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оменклатура" sheetId="1" r:id="rId5"/>
    <sheet state="visible" name="Данни" sheetId="2" r:id="rId6"/>
    <sheet state="visible" name="План" sheetId="3" r:id="rId7"/>
    <sheet state="visible" name="INVOICE BGN" sheetId="4" r:id="rId8"/>
    <sheet state="visible" name="INVOICE USD" sheetId="5" r:id="rId9"/>
  </sheets>
  <definedNames>
    <definedName hidden="1" localSheetId="1" name="_xlnm._FilterDatabase">'Данни'!$A$1:$D$999</definedName>
    <definedName hidden="1" localSheetId="4" name="_xlnm._FilterDatabase">'INVOICE USD'!$Y$1:$AA$944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tc={27b73af0-2afe-4244-92fe-eb3d0f5b4025}</author>
    <author>tc={7928ee0f-cb7f-473f-9155-899369a3e1e5}</author>
    <author>tc={d222ea04-acb3-4d11-8312-7ba3f2e2925f}</author>
    <author>tc={e676bfff-84bb-4d95-9dc5-d4d7dd88e6ec}</author>
  </authors>
  <commentList>
    <comment authorId="0" xr:uid="{27b73af0-2afe-4244-92fe-eb3d0f5b4025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Въведи тук датата (с двоен клик върху клетка М5), на която искаш да провериш стойността USD/BGN. Резултатът е в клетка М8.
</t>
      </text>
    </comment>
    <comment authorId="1" xr:uid="{7928ee0f-cb7f-473f-9155-899369a3e1e5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Промени името на колоната
</t>
      </text>
    </comment>
    <comment authorId="2" xr:uid="{d222ea04-acb3-4d11-8312-7ba3f2e2925f}" ref="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Извлича информацията от Google Finance за деня
</t>
      </text>
    </comment>
    <comment authorId="3" xr:uid="{e676bfff-84bb-4d95-9dc5-d4d7dd88e6ec}" ref="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Промени имената на колоните
</t>
      </text>
    </comment>
  </commentList>
</comments>
</file>

<file path=xl/sharedStrings.xml><?xml version="1.0" encoding="utf-8"?>
<sst xmlns="http://schemas.openxmlformats.org/spreadsheetml/2006/main" count="353" uniqueCount="125">
  <si>
    <t>ARRAYFORMULA(IMPORTRANGE("https://docs.google.com/spreadsheets/d/1iWfgTn_Pi02Cgzvv2hNxbn5R87Czwggoktc9asHRCjo/","Разбивка!A1:C1000"))</t>
  </si>
  <si>
    <t>INVOICE</t>
  </si>
  <si>
    <t>Номер</t>
  </si>
  <si>
    <t>Описание</t>
  </si>
  <si>
    <t>Unit cost</t>
  </si>
  <si>
    <t>HTS Code</t>
  </si>
  <si>
    <t>No.0000000501/29.05.2025</t>
  </si>
  <si>
    <t>8543.90.8885</t>
  </si>
  <si>
    <t>Custumer:</t>
  </si>
  <si>
    <t>Seller:</t>
  </si>
  <si>
    <t>AMCI AD</t>
  </si>
  <si>
    <t>Advanced Micro Controls Incorporated</t>
  </si>
  <si>
    <t>8543.70.4500</t>
  </si>
  <si>
    <t>14 Lubata str.</t>
  </si>
  <si>
    <t>20 Gear Drive, Plymouth Industrial Park</t>
  </si>
  <si>
    <t>Sofia 1407,Bulgaria</t>
  </si>
  <si>
    <t>CT 06786-24, Terryville , USA</t>
  </si>
  <si>
    <t>BG130316090</t>
  </si>
  <si>
    <t>#</t>
  </si>
  <si>
    <t>Item No</t>
  </si>
  <si>
    <t>Description</t>
  </si>
  <si>
    <t>Qty</t>
  </si>
  <si>
    <t>Amount</t>
  </si>
  <si>
    <t>Aluminum Content Value</t>
  </si>
  <si>
    <t>Aluminum Content weight percentage</t>
  </si>
  <si>
    <t>Country of Smelt &amp;Cast of Aluminum</t>
  </si>
  <si>
    <t>AL type 1</t>
  </si>
  <si>
    <t>Weight</t>
  </si>
  <si>
    <t>Price</t>
  </si>
  <si>
    <t>211447000</t>
  </si>
  <si>
    <t>NR60 Multiturn Body 1/4</t>
  </si>
  <si>
    <t>10 mm Multiturn Shaft for TURCK Encoders with flat</t>
  </si>
  <si>
    <t>8504.31.4035</t>
  </si>
  <si>
    <t>8504.31.2000</t>
  </si>
  <si>
    <t>No.0000000511/17.10.2025</t>
  </si>
  <si>
    <t>Дата</t>
  </si>
  <si>
    <t>USD/BGN</t>
  </si>
  <si>
    <t>DC25 SSI MULTITURN COVER WITH RESET BUTTON 4-40 tapped holes</t>
  </si>
  <si>
    <t>Дата:</t>
  </si>
  <si>
    <t>Total AL Value</t>
  </si>
  <si>
    <t>Value of the rest</t>
  </si>
  <si>
    <t>Country of Smelt &amp;Cast of Aluminum Breakdown per Aluminum Type (For ALL Aluminum types, Country of Smelt and Cast are the SAME as the country listed)</t>
  </si>
  <si>
    <t>AL type 2</t>
  </si>
  <si>
    <t>AL type 3</t>
  </si>
  <si>
    <t>21100202N</t>
  </si>
  <si>
    <t>21129000B</t>
  </si>
  <si>
    <t>21129501B</t>
  </si>
  <si>
    <t>HT-20 (K+L) Resolver Mod Dwg
  shaft length .275</t>
  </si>
  <si>
    <t>211347020</t>
  </si>
  <si>
    <t>22124400K</t>
  </si>
  <si>
    <t>575-01921-704</t>
  </si>
  <si>
    <t>Resolver Sz 11, w/ SEAL
  2.5KHz 0.5 TR, 0.1200" shaft
  +/-7 min.,12" SIDE LEADS</t>
  </si>
  <si>
    <t>22140702A</t>
  </si>
  <si>
    <t>22146700A</t>
  </si>
  <si>
    <t>9</t>
  </si>
  <si>
    <t>551-90002</t>
  </si>
  <si>
    <t>575-01921-7LD-23</t>
  </si>
  <si>
    <t>Size11,2.5KHz/0.5,7min
  0.120" shaft w/seal
  Machined body</t>
  </si>
  <si>
    <t>10</t>
  </si>
  <si>
    <t>575-95005</t>
  </si>
  <si>
    <t>575-95006</t>
  </si>
  <si>
    <t>575-95007</t>
  </si>
  <si>
    <t>575-01910</t>
  </si>
  <si>
    <t>Res For HT-6
  R11X-J12/7 w/ 0.7" l. shaft</t>
  </si>
  <si>
    <t>575-01902</t>
  </si>
  <si>
    <t>575-15903</t>
  </si>
  <si>
    <t>575-92000</t>
  </si>
  <si>
    <t>575-92002</t>
  </si>
  <si>
    <t>575-60007</t>
  </si>
  <si>
    <t>NR60 Multiturn Body
  10mm shaft; Nitrile seal
  Square Flange; End conn</t>
  </si>
  <si>
    <t>575-92006</t>
  </si>
  <si>
    <t>H25 Body with Shaft Zeroed
  for HT-400x-J Singleturn
  TR=0.95, 5KHz, w/o conn</t>
  </si>
  <si>
    <t>H25-FE</t>
  </si>
  <si>
    <t>19</t>
  </si>
  <si>
    <t>H25-FE-06</t>
  </si>
  <si>
    <t>DC 60 Rear Cover w/o conn. hole; LED pipe for Analog DC60</t>
  </si>
  <si>
    <t>20</t>
  </si>
  <si>
    <t>H25-SE-10</t>
  </si>
  <si>
    <t>H25V-FE-10</t>
  </si>
  <si>
    <t>21137201A</t>
  </si>
  <si>
    <t>NR25 Enet Multiturn rear cover 3 end conn, Aluminum</t>
  </si>
  <si>
    <t>6mm Shaft Singleturn size 25 for TURCK Encoders with flat. 316 STAINLESS</t>
  </si>
  <si>
    <t>5/8 Bearing per print 21100200N</t>
  </si>
  <si>
    <t>28</t>
  </si>
  <si>
    <t>21111202E</t>
  </si>
  <si>
    <t>DC-25 Rear Cover Size 18</t>
  </si>
  <si>
    <t>21114201B</t>
  </si>
  <si>
    <t>5/8" Shaft w/o Keyway
  with Front Slot Across Shaft
  for DC425</t>
  </si>
  <si>
    <t/>
  </si>
  <si>
    <t>21129100A</t>
  </si>
  <si>
    <t>SSI Multiturn Cover
  For DC25SE</t>
  </si>
  <si>
    <t>21134200C</t>
  </si>
  <si>
    <t>NR25 Ethernet Multiturn
  End conn. Rear cover</t>
  </si>
  <si>
    <t>21134801A</t>
  </si>
  <si>
    <t>Multiturn Brass Standoff
  for stainless steel body.
  4-40 thread on bottom</t>
  </si>
  <si>
    <t>NR25 Ethernet Rear Cover
  Uses AW # 211359001</t>
  </si>
  <si>
    <t>TOTAL USD</t>
  </si>
  <si>
    <t>Shipment: C.I.F New York</t>
  </si>
  <si>
    <t>H25/DC25 Servo Nose
  In 6061 AL.new style</t>
  </si>
  <si>
    <t>Country of origin: Bulgaria</t>
  </si>
  <si>
    <t>Payment Details: Bank Transfer</t>
  </si>
  <si>
    <t>United Bulgarian Bank</t>
  </si>
  <si>
    <t>575-95001</t>
  </si>
  <si>
    <t>Resolver Stator Assembly
  1-speed
  for HT-20C/HTE/H25/DC25/NR25</t>
  </si>
  <si>
    <t>IBAN:BG29UBBS8888100479603</t>
  </si>
  <si>
    <t>Swift:UBBSBGSF</t>
  </si>
  <si>
    <t>575-95002</t>
  </si>
  <si>
    <t>Transformer Assembly
  for HT-20C/H25/HTE/DC25/NR25</t>
  </si>
  <si>
    <t>575-95003</t>
  </si>
  <si>
    <t>Size25 Transformer Shell
  Part 1 with slot for wires
  Machined Powder metal</t>
  </si>
  <si>
    <t>575-95004</t>
  </si>
  <si>
    <t>Size25 Transformer Shell
  Part 2
  Machined Powder metal</t>
  </si>
  <si>
    <t>H25-FE-R3HC-11 Rotor Asembly
  Ref # 211323000 flat on shaf
  For 150 degC Resolver</t>
  </si>
  <si>
    <t>High Temp. Stator Assembly
 For 150 degC Resolvers 
  for Size25</t>
  </si>
  <si>
    <t>High temp Transf. Assembly
  For 150 degC Resolvers
  Teflon Bobbin</t>
  </si>
  <si>
    <t>SSI Multiturn Cover
  For DC25FS</t>
  </si>
  <si>
    <t>22108201Е</t>
  </si>
  <si>
    <t>Flange mounting plate
 For aux. Nose</t>
  </si>
  <si>
    <t>21118100D</t>
  </si>
  <si>
    <t>DC25 &amp; H25 1/4" Shaft
  2007 version</t>
  </si>
  <si>
    <t>21100201K</t>
  </si>
  <si>
    <t>HT-20 Transducer Bearing 3/8” Shaft</t>
  </si>
  <si>
    <t>HT-20 Transducer Bearing 5/8” Shaft</t>
  </si>
  <si>
    <t>-</t>
  </si>
  <si>
    <t>CD with software projects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</si>
</sst>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 ##0\ "/>
    <numFmt numFmtId="165" formatCode="#.## &quot;BGN/unit&quot;"/>
    <numFmt numFmtId="166" formatCode="# ##0\ &quot;лв.&quot;"/>
    <numFmt numFmtId="167" formatCode="#.### &quot;BGN/unit&quot;"/>
    <numFmt numFmtId="168" formatCode="0.00kg"/>
    <numFmt numFmtId="169" formatCode="m&quot;/&quot;d&quot;/&quot;yy"/>
    <numFmt numFmtId="170" formatCode="###"/>
    <numFmt numFmtId="171" formatCode="[$$]#,##0.00"/>
    <numFmt numFmtId="172" formatCode="#.## &quot;USD/unit&quot;"/>
    <numFmt numFmtId="173" formatCode="dd/mm/yyyy"/>
    <numFmt numFmtId="174" formatCode="m/d/yyyy h:mm:ss"/>
  </numFmts>
  <fonts count="4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b/>
      <sz val="24.0"/>
      <color rgb="FF000000"/>
      <name val="&quot;Arial Black&quot;"/>
    </font>
    <font>
      <b/>
      <sz val="14.0"/>
      <color theme="1"/>
      <name val="Arial"/>
    </font>
    <font/>
    <font>
      <color theme="1"/>
      <name val="Arial"/>
    </font>
    <font>
      <u/>
      <color rgb="FF0000FF"/>
    </font>
    <font>
      <b/>
      <color theme="1"/>
      <name val="Arial"/>
    </font>
    <font>
      <u/>
      <color rgb="FF0000FF"/>
    </font>
    <font>
      <b/>
      <sz val="11.0"/>
      <color theme="1"/>
      <name val="Times New Roman"/>
    </font>
    <font>
      <sz val="14.0"/>
      <color rgb="FF000000"/>
      <name val="&quot;Arial Black&quot;"/>
    </font>
    <font>
      <sz val="10.0"/>
      <color theme="1"/>
      <name val="Arial"/>
    </font>
    <font>
      <u/>
      <color rgb="FF0000FF"/>
    </font>
    <font>
      <sz val="10.0"/>
      <color theme="1"/>
      <name val="Arial"/>
      <scheme val="minor"/>
    </font>
    <font>
      <u/>
      <color rgb="FF0000FF"/>
      <name val="Roboto"/>
    </font>
    <font>
      <b/>
      <sz val="11.0"/>
      <color theme="1"/>
      <name val="Timok"/>
    </font>
    <font>
      <u/>
      <color rgb="FF0097A7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Timok"/>
    </font>
    <font>
      <sz val="10.0"/>
      <color theme="1"/>
      <name val="Times New Roman"/>
    </font>
    <font>
      <color rgb="FF434343"/>
      <name val="Arial"/>
    </font>
    <font>
      <sz val="8.0"/>
      <color theme="1"/>
      <name val="Arial"/>
    </font>
    <font>
      <b/>
      <sz val="11.0"/>
      <color rgb="FF434343"/>
      <name val="Times New Roman"/>
    </font>
    <font>
      <b/>
      <sz val="10.0"/>
      <color rgb="FF434343"/>
      <name val="Times New Roman"/>
    </font>
    <font>
      <b/>
      <color rgb="FF434343"/>
      <name val="Times New Roman"/>
    </font>
    <font>
      <sz val="8.0"/>
      <color theme="1"/>
      <name val="Arial"/>
      <scheme val="minor"/>
    </font>
    <font>
      <u/>
      <color rgb="FF0000FF"/>
    </font>
    <font>
      <u/>
      <color rgb="FF0000FF"/>
      <name val="Roboto"/>
    </font>
    <font>
      <u/>
      <color rgb="FF0097A7"/>
      <name val="Arial"/>
      <scheme val="minor"/>
    </font>
    <font>
      <b/>
      <sz val="10.0"/>
      <color theme="6"/>
      <name val="Arial"/>
      <scheme val="minor"/>
    </font>
    <font>
      <color theme="6"/>
      <name val="Arial"/>
      <scheme val="minor"/>
    </font>
    <font>
      <color rgb="FF000000"/>
      <name val="Arial"/>
    </font>
    <font>
      <u/>
      <color rgb="FF0000FF"/>
    </font>
    <font>
      <color rgb="FF1F1F1F"/>
      <name val="Arial"/>
      <scheme val="minor"/>
    </font>
    <font>
      <u/>
      <color rgb="FF0097A7"/>
    </font>
    <font>
      <color rgb="FF434343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Calibri"/>
    </font>
    <font>
      <sz val="12.0"/>
      <color theme="1"/>
      <name val="Calibri"/>
    </font>
    <font>
      <b/>
      <sz val="22.0"/>
      <color theme="1"/>
      <name val="Times New Roman"/>
    </font>
    <font>
      <b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75B3D1"/>
        <bgColor rgb="FF75B3D1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47">
    <border/>
    <border>
      <right style="medium">
        <color rgb="FFFFFFFF"/>
      </right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434343"/>
      </bottom>
    </border>
    <border>
      <right style="medium">
        <color rgb="FFFFFFFF"/>
      </right>
      <bottom style="medium">
        <color rgb="FFFFFFFF"/>
      </bottom>
    </border>
    <border>
      <bottom style="medium">
        <color rgb="FFFFFFFF"/>
      </bottom>
    </border>
    <border>
      <left style="thin">
        <color rgb="FFCCCCCC"/>
      </left>
      <right style="thin">
        <color rgb="FFCCCCCC"/>
      </right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434343"/>
      </left>
      <right style="thin">
        <color rgb="FF999999"/>
      </right>
      <top style="medium">
        <color rgb="FF434343"/>
      </top>
    </border>
    <border>
      <right style="thin">
        <color rgb="FF000000"/>
      </right>
      <top style="medium">
        <color rgb="FF434343"/>
      </top>
    </border>
    <border>
      <left style="thin">
        <color rgb="FF000000"/>
      </left>
      <right style="thin">
        <color rgb="FF000000"/>
      </right>
      <top style="medium">
        <color rgb="FF434343"/>
      </top>
    </border>
    <border>
      <left style="thin">
        <color rgb="FF000000"/>
      </left>
      <right style="medium">
        <color rgb="FF434343"/>
      </right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434343"/>
      </left>
      <right style="thin">
        <color rgb="FF000000"/>
      </right>
      <top style="medium">
        <color rgb="FF434343"/>
      </top>
    </border>
    <border>
      <left style="medium">
        <color rgb="FF434343"/>
      </left>
      <top style="medium">
        <color rgb="FF434343"/>
      </top>
      <bottom style="thin">
        <color rgb="FF000000"/>
      </bottom>
    </border>
    <border>
      <top style="medium">
        <color rgb="FF434343"/>
      </top>
      <bottom style="thin">
        <color rgb="FF000000"/>
      </bottom>
    </border>
    <border>
      <right style="medium">
        <color rgb="FF434343"/>
      </right>
      <top style="medium">
        <color rgb="FF434343"/>
      </top>
      <bottom style="thin">
        <color rgb="FF000000"/>
      </bottom>
    </border>
    <border>
      <left style="medium">
        <color rgb="FF434343"/>
      </left>
      <right style="thin">
        <color rgb="FF99999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434343"/>
      </right>
      <bottom style="thin">
        <color rgb="FF000000"/>
      </bottom>
    </border>
    <border>
      <right style="medium">
        <color rgb="FF434343"/>
      </right>
      <bottom style="thin">
        <color rgb="FF000000"/>
      </bottom>
    </border>
    <border>
      <left style="medium">
        <color rgb="FF434343"/>
      </left>
      <right style="thin">
        <color rgb="FF000000"/>
      </right>
      <bottom style="thin">
        <color rgb="FF000000"/>
      </bottom>
    </border>
    <border>
      <left style="medium">
        <color rgb="FF43434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434343"/>
      </right>
      <top style="thin">
        <color rgb="FF000000"/>
      </top>
      <bottom style="thin">
        <color rgb="FF000000"/>
      </bottom>
    </border>
    <border>
      <left style="medium">
        <color rgb="FF434343"/>
      </left>
      <right style="thin">
        <color rgb="FF999999"/>
      </right>
    </border>
    <border>
      <right style="medium">
        <color rgb="FF434343"/>
      </right>
    </border>
    <border>
      <left style="medium">
        <color rgb="FF434343"/>
      </left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FFFFFF"/>
      </bottom>
    </border>
    <border>
      <left style="medium">
        <color rgb="FFFFFFFF"/>
      </left>
      <right style="thin">
        <color rgb="FF000000"/>
      </right>
      <top style="thin">
        <color rgb="FF000000"/>
      </top>
      <bottom style="medium">
        <color rgb="FFFFFFFF"/>
      </bottom>
    </border>
    <border>
      <left style="thin">
        <color rgb="FF000000"/>
      </left>
      <right style="medium">
        <color rgb="FFFFFFFF"/>
      </right>
      <top style="medium">
        <color rgb="FFFFFFFF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000000"/>
      </right>
    </border>
    <border>
      <left style="medium">
        <color rgb="FFFFFFFF"/>
      </left>
      <right style="thin">
        <color rgb="FF000000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n">
        <color rgb="FF000000"/>
      </right>
      <top style="medium">
        <color rgb="FFFFFFFF"/>
      </top>
      <bottom style="thin">
        <color rgb="FF000000"/>
      </bottom>
    </border>
    <border>
      <left style="thin">
        <color rgb="FF000000"/>
      </left>
      <top style="medium">
        <color rgb="FF434343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434343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09">
    <xf borderId="0" fillId="0" fontId="0" numFmtId="0" xfId="0" applyAlignment="1" applyFont="1">
      <alignment readingOrder="0" shrinkToFit="0" vertical="bottom" wrapText="0"/>
    </xf>
    <xf borderId="0" fillId="2" fontId="1" numFmtId="49" xfId="0" applyFill="1" applyFont="1" applyNumberFormat="1"/>
    <xf borderId="0" fillId="0" fontId="1" numFmtId="0" xfId="0" applyFont="1"/>
    <xf borderId="0" fillId="2" fontId="1" numFmtId="0" xfId="0" applyFill="1" applyFont="1"/>
    <xf borderId="0" fillId="3" fontId="2" numFmtId="0" xfId="0" applyFill="1" applyFont="1"/>
    <xf borderId="0" fillId="3" fontId="2" numFmtId="49" xfId="0" applyFill="1" applyFont="1" applyNumberFormat="1"/>
    <xf borderId="0" fillId="4" fontId="2" numFmtId="0" xfId="0" applyFill="1" applyFont="1"/>
    <xf borderId="0" fillId="0" fontId="3" numFmtId="0" xfId="0" applyAlignment="1" applyFont="1">
      <alignment shrinkToFit="0" vertical="bottom" wrapText="0"/>
    </xf>
    <xf borderId="0" fillId="4" fontId="4" numFmtId="0" xfId="0" applyAlignment="1" applyFill="1" applyFont="1">
      <alignment readingOrder="0"/>
    </xf>
    <xf borderId="0" fillId="0" fontId="3" numFmtId="0" xfId="0" applyAlignment="1" applyFont="1">
      <alignment shrinkToFit="0" vertical="bottom" wrapText="0"/>
    </xf>
    <xf borderId="0" fillId="4" fontId="1" numFmtId="0" xfId="0" applyFill="1" applyFont="1"/>
    <xf borderId="1" fillId="0" fontId="5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left" shrinkToFit="0" vertical="bottom" wrapText="0"/>
    </xf>
    <xf borderId="1" fillId="0" fontId="7" numFmtId="0" xfId="0" applyBorder="1" applyFont="1"/>
    <xf borderId="0" fillId="5" fontId="1" numFmtId="164" xfId="0" applyAlignment="1" applyFill="1" applyFont="1" applyNumberFormat="1">
      <alignment readingOrder="0"/>
    </xf>
    <xf borderId="2" fillId="0" fontId="8" numFmtId="0" xfId="0" applyAlignment="1" applyBorder="1" applyFont="1">
      <alignment vertical="center"/>
    </xf>
    <xf borderId="0" fillId="5" fontId="1" numFmtId="164" xfId="0" applyFill="1" applyFont="1" applyNumberFormat="1"/>
    <xf borderId="2" fillId="0" fontId="8" numFmtId="4" xfId="0" applyAlignment="1" applyBorder="1" applyFont="1" applyNumberFormat="1">
      <alignment vertical="center"/>
    </xf>
    <xf borderId="2" fillId="0" fontId="8" numFmtId="165" xfId="0" applyAlignment="1" applyBorder="1" applyFont="1" applyNumberFormat="1">
      <alignment vertical="center"/>
    </xf>
    <xf borderId="2" fillId="0" fontId="1" numFmtId="10" xfId="0" applyAlignment="1" applyBorder="1" applyFont="1" applyNumberFormat="1">
      <alignment vertical="center"/>
    </xf>
    <xf borderId="0" fillId="0" fontId="9" numFmtId="49" xfId="0" applyFont="1" applyNumberFormat="1"/>
    <xf borderId="2" fillId="0" fontId="1" numFmtId="0" xfId="0" applyAlignment="1" applyBorder="1" applyFont="1">
      <alignment vertical="center"/>
    </xf>
    <xf borderId="0" fillId="0" fontId="1" numFmtId="166" xfId="0" applyFont="1" applyNumberFormat="1"/>
    <xf borderId="0" fillId="0" fontId="1" numFmtId="167" xfId="0" applyFont="1" applyNumberFormat="1"/>
    <xf borderId="2" fillId="0" fontId="1" numFmtId="0" xfId="0" applyBorder="1" applyFont="1"/>
    <xf borderId="0" fillId="0" fontId="1" numFmtId="10" xfId="0" applyFont="1" applyNumberFormat="1"/>
    <xf borderId="3" fillId="0" fontId="8" numFmtId="49" xfId="0" applyAlignment="1" applyBorder="1" applyFont="1" applyNumberFormat="1">
      <alignment horizontal="center" readingOrder="0" shrinkToFit="0" vertical="center" wrapText="1"/>
    </xf>
    <xf borderId="0" fillId="0" fontId="1" numFmtId="168" xfId="0" applyFont="1" applyNumberFormat="1"/>
    <xf borderId="3" fillId="0" fontId="10" numFmtId="0" xfId="0" applyAlignment="1" applyBorder="1" applyFont="1">
      <alignment horizontal="center" readingOrder="0" shrinkToFit="0" vertical="center" wrapText="1"/>
    </xf>
    <xf borderId="0" fillId="5" fontId="11" numFmtId="49" xfId="0" applyAlignment="1" applyFill="1" applyFont="1" applyNumberFormat="1">
      <alignment horizontal="left" readingOrder="0"/>
    </xf>
    <xf borderId="4" fillId="0" fontId="7" numFmtId="0" xfId="0" applyBorder="1" applyFont="1"/>
    <xf borderId="5" fillId="0" fontId="7" numFmtId="0" xfId="0" applyBorder="1" applyFont="1"/>
    <xf borderId="0" fillId="0" fontId="1" numFmtId="49" xfId="0" applyFont="1" applyNumberFormat="1"/>
    <xf borderId="0" fillId="0" fontId="1" numFmtId="164" xfId="0" applyFont="1" applyNumberFormat="1"/>
    <xf borderId="3" fillId="0" fontId="12" numFmtId="0" xfId="0" applyAlignment="1" applyBorder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/>
    </xf>
    <xf borderId="3" fillId="0" fontId="10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readingOrder="0" shrinkToFit="0" wrapText="0"/>
    </xf>
    <xf borderId="6" fillId="0" fontId="1" numFmtId="49" xfId="0" applyAlignment="1" applyBorder="1" applyFont="1" applyNumberFormat="1">
      <alignment shrinkToFit="0" vertical="center" wrapText="0"/>
    </xf>
    <xf borderId="0" fillId="0" fontId="13" numFmtId="169" xfId="0" applyAlignment="1" applyFont="1" applyNumberFormat="1">
      <alignment shrinkToFit="0" wrapText="0"/>
    </xf>
    <xf borderId="6" fillId="0" fontId="1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2" fillId="0" fontId="14" numFmtId="0" xfId="0" applyAlignment="1" applyBorder="1" applyFont="1">
      <alignment vertical="center"/>
    </xf>
    <xf borderId="2" fillId="0" fontId="14" numFmtId="4" xfId="0" applyAlignment="1" applyBorder="1" applyFont="1" applyNumberFormat="1">
      <alignment vertical="center"/>
    </xf>
    <xf borderId="2" fillId="0" fontId="14" numFmtId="165" xfId="0" applyAlignment="1" applyBorder="1" applyFont="1" applyNumberFormat="1">
      <alignment vertical="center"/>
    </xf>
    <xf borderId="0" fillId="0" fontId="15" numFmtId="49" xfId="0" applyAlignment="1" applyFont="1" applyNumberFormat="1">
      <alignment horizontal="left" readingOrder="0"/>
    </xf>
    <xf borderId="2" fillId="0" fontId="16" numFmtId="10" xfId="0" applyAlignment="1" applyBorder="1" applyFont="1" applyNumberFormat="1">
      <alignment vertical="center"/>
    </xf>
    <xf borderId="6" fillId="0" fontId="17" numFmtId="49" xfId="0" applyAlignment="1" applyBorder="1" applyFont="1" applyNumberFormat="1">
      <alignment shrinkToFit="0" vertical="center" wrapText="0"/>
    </xf>
    <xf borderId="2" fillId="0" fontId="16" numFmtId="0" xfId="0" applyAlignment="1" applyBorder="1" applyFont="1">
      <alignment vertical="center"/>
    </xf>
    <xf borderId="6" fillId="0" fontId="1" numFmtId="166" xfId="0" applyAlignment="1" applyBorder="1" applyFont="1" applyNumberFormat="1">
      <alignment readingOrder="0" shrinkToFit="0" vertical="center" wrapText="0"/>
    </xf>
    <xf borderId="2" fillId="0" fontId="16" numFmtId="0" xfId="0" applyBorder="1" applyFont="1"/>
    <xf borderId="5" fillId="0" fontId="18" numFmtId="0" xfId="0" applyAlignment="1" applyBorder="1" applyFont="1">
      <alignment horizontal="left" readingOrder="0" shrinkToFit="0" vertical="bottom" wrapText="0"/>
    </xf>
    <xf borderId="0" fillId="0" fontId="19" numFmtId="49" xfId="0" applyAlignment="1" applyFont="1" applyNumberFormat="1">
      <alignment horizontal="left" readingOrder="0"/>
    </xf>
    <xf borderId="5" fillId="0" fontId="20" numFmtId="0" xfId="0" applyAlignment="1" applyBorder="1" applyFont="1">
      <alignment horizontal="left" readingOrder="0" shrinkToFit="0" vertical="bottom" wrapText="0"/>
    </xf>
    <xf borderId="5" fillId="0" fontId="21" numFmtId="0" xfId="0" applyAlignment="1" applyBorder="1" applyFont="1">
      <alignment horizontal="left" readingOrder="0" shrinkToFit="0" vertical="bottom" wrapText="0"/>
    </xf>
    <xf borderId="5" fillId="0" fontId="22" numFmtId="0" xfId="0" applyAlignment="1" applyBorder="1" applyFont="1">
      <alignment horizontal="left" readingOrder="0" shrinkToFit="0" vertical="bottom" wrapText="0"/>
    </xf>
    <xf borderId="7" fillId="0" fontId="23" numFmtId="0" xfId="0" applyAlignment="1" applyBorder="1" applyFont="1">
      <alignment vertical="center"/>
    </xf>
    <xf borderId="8" fillId="0" fontId="7" numFmtId="0" xfId="0" applyBorder="1" applyFont="1"/>
    <xf borderId="9" fillId="0" fontId="7" numFmtId="0" xfId="0" applyBorder="1" applyFont="1"/>
    <xf borderId="10" fillId="0" fontId="8" numFmtId="0" xfId="0" applyAlignment="1" applyBorder="1" applyFont="1">
      <alignment vertical="center"/>
    </xf>
    <xf borderId="10" fillId="0" fontId="24" numFmtId="0" xfId="0" applyAlignment="1" applyBorder="1" applyFont="1">
      <alignment vertical="center"/>
    </xf>
    <xf borderId="10" fillId="0" fontId="25" numFmtId="0" xfId="0" applyAlignment="1" applyBorder="1" applyFont="1">
      <alignment shrinkToFit="0" vertical="center" wrapText="1"/>
    </xf>
    <xf borderId="10" fillId="0" fontId="8" numFmtId="4" xfId="0" applyAlignment="1" applyBorder="1" applyFont="1" applyNumberFormat="1">
      <alignment vertical="center"/>
    </xf>
    <xf borderId="10" fillId="0" fontId="8" numFmtId="165" xfId="0" applyAlignment="1" applyBorder="1" applyFont="1" applyNumberFormat="1">
      <alignment vertical="center"/>
    </xf>
    <xf borderId="10" fillId="0" fontId="8" numFmtId="10" xfId="0" applyAlignment="1" applyBorder="1" applyFont="1" applyNumberFormat="1">
      <alignment vertical="center"/>
    </xf>
    <xf borderId="2" fillId="0" fontId="8" numFmtId="0" xfId="0" applyAlignment="1" applyBorder="1" applyFont="1">
      <alignment vertical="bottom"/>
    </xf>
    <xf borderId="11" fillId="6" fontId="26" numFmtId="0" xfId="0" applyAlignment="1" applyBorder="1" applyFill="1" applyFont="1">
      <alignment horizontal="center" vertical="center"/>
    </xf>
    <xf borderId="12" fillId="6" fontId="26" numFmtId="0" xfId="0" applyAlignment="1" applyBorder="1" applyFill="1" applyFont="1">
      <alignment horizontal="center" vertical="center"/>
    </xf>
    <xf borderId="13" fillId="6" fontId="27" numFmtId="0" xfId="0" applyAlignment="1" applyBorder="1" applyFill="1" applyFont="1">
      <alignment horizontal="center" shrinkToFit="0" vertical="center" wrapText="1"/>
    </xf>
    <xf borderId="14" fillId="6" fontId="26" numFmtId="0" xfId="0" applyAlignment="1" applyBorder="1" applyFill="1" applyFont="1">
      <alignment horizontal="center" vertical="center"/>
    </xf>
    <xf borderId="15" fillId="6" fontId="26" numFmtId="0" xfId="0" applyAlignment="1" applyBorder="1" applyFill="1" applyFont="1">
      <alignment horizontal="center" readingOrder="0" vertical="center"/>
    </xf>
    <xf borderId="16" fillId="6" fontId="26" numFmtId="0" xfId="0" applyAlignment="1" applyBorder="1" applyFill="1" applyFont="1">
      <alignment horizontal="center" vertical="center"/>
    </xf>
    <xf borderId="12" fillId="6" fontId="26" numFmtId="4" xfId="0" applyAlignment="1" applyBorder="1" applyFill="1" applyFont="1" applyNumberFormat="1">
      <alignment horizontal="center" readingOrder="0" shrinkToFit="0" vertical="center" wrapText="1"/>
    </xf>
    <xf borderId="13" fillId="6" fontId="26" numFmtId="165" xfId="0" applyAlignment="1" applyBorder="1" applyFill="1" applyFont="1" applyNumberFormat="1">
      <alignment horizontal="center" shrinkToFit="0" vertical="center" wrapText="1"/>
    </xf>
    <xf borderId="14" fillId="6" fontId="26" numFmtId="10" xfId="0" applyAlignment="1" applyBorder="1" applyFill="1" applyFont="1" applyNumberFormat="1">
      <alignment horizontal="center" shrinkToFit="0" vertical="center" wrapText="1"/>
    </xf>
    <xf borderId="17" fillId="6" fontId="26" numFmtId="0" xfId="0" applyAlignment="1" applyBorder="1" applyFill="1" applyFont="1">
      <alignment horizontal="center" vertical="center"/>
    </xf>
    <xf borderId="18" fillId="6" fontId="7" numFmtId="0" xfId="0" applyBorder="1" applyFill="1" applyFont="1"/>
    <xf borderId="19" fillId="6" fontId="7" numFmtId="0" xfId="0" applyBorder="1" applyFill="1" applyFont="1"/>
    <xf borderId="0" fillId="0" fontId="8" numFmtId="0" xfId="0" applyAlignment="1" applyFont="1">
      <alignment vertical="bottom"/>
    </xf>
    <xf borderId="20" fillId="7" fontId="7" numFmtId="0" xfId="0" applyBorder="1" applyFill="1" applyFont="1"/>
    <xf borderId="21" fillId="7" fontId="7" numFmtId="0" xfId="0" applyBorder="1" applyFill="1" applyFont="1"/>
    <xf borderId="22" fillId="7" fontId="7" numFmtId="0" xfId="0" applyBorder="1" applyFill="1" applyFont="1"/>
    <xf borderId="23" fillId="7" fontId="7" numFmtId="0" xfId="0" applyBorder="1" applyFill="1" applyFont="1"/>
    <xf borderId="24" fillId="7" fontId="7" numFmtId="0" xfId="0" applyBorder="1" applyFill="1" applyFont="1"/>
    <xf borderId="25" fillId="7" fontId="7" numFmtId="0" xfId="0" applyBorder="1" applyFill="1" applyFont="1"/>
    <xf borderId="26" fillId="7" fontId="28" numFmtId="0" xfId="0" applyAlignment="1" applyBorder="1" applyFill="1" applyFont="1">
      <alignment horizontal="center" vertical="center"/>
    </xf>
    <xf borderId="27" fillId="7" fontId="28" numFmtId="0" xfId="0" applyAlignment="1" applyBorder="1" applyFill="1" applyFont="1">
      <alignment horizontal="center" vertical="center"/>
    </xf>
    <xf borderId="28" fillId="7" fontId="28" numFmtId="0" xfId="0" applyAlignment="1" applyBorder="1" applyFill="1" applyFont="1">
      <alignment horizontal="center" vertical="center"/>
    </xf>
    <xf borderId="29" fillId="4" fontId="1" numFmtId="0" xfId="0" applyAlignment="1" applyBorder="1" applyFill="1" applyFont="1">
      <alignment readingOrder="0" vertical="center"/>
    </xf>
    <xf borderId="0" fillId="5" fontId="1" numFmtId="49" xfId="0" applyAlignment="1" applyFill="1" applyFont="1" applyNumberFormat="1">
      <alignment horizontal="left" readingOrder="0"/>
    </xf>
    <xf borderId="0" fillId="4" fontId="29" numFmtId="0" xfId="0" applyAlignment="1" applyFill="1" applyFont="1">
      <alignment shrinkToFit="0" vertical="center" wrapText="1"/>
    </xf>
    <xf borderId="30" fillId="4" fontId="1" numFmtId="0" xfId="0" applyAlignment="1" applyBorder="1" applyFill="1" applyFont="1">
      <alignment vertical="center"/>
    </xf>
    <xf borderId="31" fillId="4" fontId="1" numFmtId="4" xfId="0" applyAlignment="1" applyBorder="1" applyFill="1" applyFont="1" applyNumberFormat="1">
      <alignment vertical="center"/>
    </xf>
    <xf borderId="0" fillId="4" fontId="1" numFmtId="4" xfId="0" applyAlignment="1" applyFill="1" applyFont="1" applyNumberFormat="1">
      <alignment vertical="center"/>
    </xf>
    <xf borderId="0" fillId="4" fontId="1" numFmtId="165" xfId="0" applyAlignment="1" applyFill="1" applyFont="1" applyNumberFormat="1">
      <alignment vertical="center"/>
    </xf>
    <xf borderId="30" fillId="4" fontId="1" numFmtId="10" xfId="0" applyAlignment="1" applyBorder="1" applyFill="1" applyFont="1" applyNumberFormat="1">
      <alignment vertical="center"/>
    </xf>
    <xf borderId="31" fillId="4" fontId="1" numFmtId="0" xfId="0" applyAlignment="1" applyBorder="1" applyFill="1" applyFont="1">
      <alignment vertical="center"/>
    </xf>
    <xf borderId="0" fillId="4" fontId="1" numFmtId="0" xfId="0" applyAlignment="1" applyFill="1" applyFont="1">
      <alignment vertical="center"/>
    </xf>
    <xf borderId="29" fillId="7" fontId="1" numFmtId="0" xfId="0" applyAlignment="1" applyBorder="1" applyFill="1" applyFont="1">
      <alignment readingOrder="0" vertical="center"/>
    </xf>
    <xf borderId="0" fillId="7" fontId="1" numFmtId="49" xfId="0" applyAlignment="1" applyFill="1" applyFont="1" applyNumberFormat="1">
      <alignment horizontal="left" readingOrder="0"/>
    </xf>
    <xf borderId="0" fillId="7" fontId="29" numFmtId="0" xfId="0" applyAlignment="1" applyFill="1" applyFont="1">
      <alignment shrinkToFit="0" vertical="center" wrapText="1"/>
    </xf>
    <xf borderId="0" fillId="7" fontId="1" numFmtId="164" xfId="0" applyAlignment="1" applyFill="1" applyFont="1" applyNumberFormat="1">
      <alignment readingOrder="0"/>
    </xf>
    <xf borderId="30" fillId="7" fontId="1" numFmtId="0" xfId="0" applyAlignment="1" applyBorder="1" applyFill="1" applyFont="1">
      <alignment vertical="center"/>
    </xf>
    <xf borderId="31" fillId="7" fontId="1" numFmtId="4" xfId="0" applyAlignment="1" applyBorder="1" applyFill="1" applyFont="1" applyNumberFormat="1">
      <alignment vertical="center"/>
    </xf>
    <xf borderId="0" fillId="7" fontId="1" numFmtId="4" xfId="0" applyAlignment="1" applyFill="1" applyFont="1" applyNumberFormat="1">
      <alignment vertical="center"/>
    </xf>
    <xf borderId="0" fillId="7" fontId="1" numFmtId="165" xfId="0" applyAlignment="1" applyFill="1" applyFont="1" applyNumberFormat="1">
      <alignment vertical="center"/>
    </xf>
    <xf borderId="30" fillId="7" fontId="1" numFmtId="10" xfId="0" applyAlignment="1" applyBorder="1" applyFill="1" applyFont="1" applyNumberFormat="1">
      <alignment vertical="center"/>
    </xf>
    <xf borderId="31" fillId="7" fontId="1" numFmtId="0" xfId="0" applyAlignment="1" applyBorder="1" applyFill="1" applyFont="1">
      <alignment vertical="center"/>
    </xf>
    <xf borderId="0" fillId="0" fontId="30" numFmtId="170" xfId="0" applyFont="1" applyNumberFormat="1"/>
    <xf borderId="0" fillId="7" fontId="1" numFmtId="0" xfId="0" applyAlignment="1" applyFill="1" applyFont="1">
      <alignment vertical="center"/>
    </xf>
    <xf borderId="6" fillId="0" fontId="31" numFmtId="170" xfId="0" applyAlignment="1" applyBorder="1" applyFont="1" applyNumberFormat="1">
      <alignment shrinkToFit="0" vertical="center" wrapText="0"/>
    </xf>
    <xf borderId="0" fillId="4" fontId="1" numFmtId="49" xfId="0" applyAlignment="1" applyFill="1" applyFont="1" applyNumberFormat="1">
      <alignment horizontal="left" readingOrder="0"/>
    </xf>
    <xf borderId="0" fillId="4" fontId="1" numFmtId="164" xfId="0" applyAlignment="1" applyFill="1" applyFont="1" applyNumberFormat="1">
      <alignment readingOrder="0"/>
    </xf>
    <xf borderId="6" fillId="0" fontId="1" numFmtId="0" xfId="0" applyAlignment="1" applyBorder="1" applyFont="1">
      <alignment shrinkToFit="0" vertical="center" wrapText="0"/>
    </xf>
    <xf borderId="0" fillId="7" fontId="32" numFmtId="49" xfId="0" applyAlignment="1" applyFill="1" applyFont="1" applyNumberFormat="1">
      <alignment horizontal="left" readingOrder="0"/>
    </xf>
    <xf borderId="0" fillId="0" fontId="3" numFmtId="49" xfId="0" applyAlignment="1" applyFont="1" applyNumberFormat="1">
      <alignment shrinkToFit="0" vertical="bottom" wrapText="0"/>
    </xf>
    <xf borderId="2" fillId="0" fontId="8" numFmtId="171" xfId="0" applyAlignment="1" applyBorder="1" applyFont="1" applyNumberFormat="1">
      <alignment vertical="center"/>
    </xf>
    <xf borderId="2" fillId="0" fontId="8" numFmtId="172" xfId="0" applyAlignment="1" applyBorder="1" applyFont="1" applyNumberFormat="1">
      <alignment vertical="center"/>
    </xf>
    <xf borderId="2" fillId="0" fontId="1" numFmtId="171" xfId="0" applyAlignment="1" applyBorder="1" applyFont="1" applyNumberFormat="1">
      <alignment vertical="center"/>
    </xf>
    <xf borderId="2" fillId="0" fontId="1" numFmtId="171" xfId="0" applyAlignment="1" applyBorder="1" applyFont="1" applyNumberFormat="1">
      <alignment vertical="center"/>
    </xf>
    <xf borderId="2" fillId="0" fontId="1" numFmtId="2" xfId="0" applyAlignment="1" applyBorder="1" applyFont="1" applyNumberFormat="1">
      <alignment vertical="center"/>
    </xf>
    <xf borderId="10" fillId="0" fontId="1" numFmtId="0" xfId="0" applyAlignment="1" applyBorder="1" applyFont="1">
      <alignment vertical="center"/>
    </xf>
    <xf borderId="7" fillId="0" fontId="1" numFmtId="10" xfId="0" applyAlignment="1" applyBorder="1" applyFont="1" applyNumberFormat="1">
      <alignment vertical="center"/>
    </xf>
    <xf borderId="32" fillId="0" fontId="1" numFmtId="0" xfId="0" applyAlignment="1" applyBorder="1" applyFont="1">
      <alignment readingOrder="0" vertical="center"/>
    </xf>
    <xf borderId="33" fillId="0" fontId="16" numFmtId="0" xfId="0" applyAlignment="1" applyBorder="1" applyFont="1">
      <alignment readingOrder="0" vertical="center"/>
    </xf>
    <xf borderId="9" fillId="0" fontId="1" numFmtId="2" xfId="0" applyAlignment="1" applyBorder="1" applyFont="1" applyNumberFormat="1">
      <alignment vertical="center"/>
    </xf>
    <xf borderId="2" fillId="0" fontId="14" numFmtId="171" xfId="0" applyAlignment="1" applyBorder="1" applyFont="1" applyNumberFormat="1">
      <alignment vertical="center"/>
    </xf>
    <xf borderId="2" fillId="0" fontId="14" numFmtId="172" xfId="0" applyAlignment="1" applyBorder="1" applyFont="1" applyNumberFormat="1">
      <alignment vertical="center"/>
    </xf>
    <xf borderId="34" fillId="0" fontId="33" numFmtId="14" xfId="0" applyAlignment="1" applyBorder="1" applyFont="1" applyNumberFormat="1">
      <alignment vertical="center"/>
    </xf>
    <xf borderId="21" fillId="0" fontId="34" numFmtId="0" xfId="0" applyBorder="1" applyFont="1"/>
    <xf borderId="9" fillId="0" fontId="16" numFmtId="2" xfId="0" applyAlignment="1" applyBorder="1" applyFont="1" applyNumberFormat="1">
      <alignment vertical="center"/>
    </xf>
    <xf borderId="2" fillId="0" fontId="16" numFmtId="2" xfId="0" applyAlignment="1" applyBorder="1" applyFont="1" applyNumberFormat="1">
      <alignment vertical="center"/>
    </xf>
    <xf borderId="5" fillId="0" fontId="18" numFmtId="49" xfId="0" applyAlignment="1" applyBorder="1" applyFont="1" applyNumberFormat="1">
      <alignment horizontal="left" readingOrder="0" shrinkToFit="0" vertical="bottom" wrapText="0"/>
    </xf>
    <xf borderId="35" fillId="8" fontId="1" numFmtId="0" xfId="0" applyAlignment="1" applyBorder="1" applyFill="1" applyFont="1">
      <alignment readingOrder="0"/>
    </xf>
    <xf borderId="33" fillId="8" fontId="16" numFmtId="173" xfId="0" applyAlignment="1" applyBorder="1" applyFill="1" applyFont="1" applyNumberFormat="1">
      <alignment readingOrder="0" vertical="center"/>
    </xf>
    <xf borderId="2" fillId="0" fontId="16" numFmtId="171" xfId="0" applyAlignment="1" applyBorder="1" applyFont="1" applyNumberFormat="1">
      <alignment readingOrder="0" vertical="center"/>
    </xf>
    <xf borderId="2" fillId="0" fontId="16" numFmtId="171" xfId="0" applyAlignment="1" applyBorder="1" applyFont="1" applyNumberFormat="1">
      <alignment readingOrder="0" vertical="center"/>
    </xf>
    <xf borderId="36" fillId="0" fontId="16" numFmtId="2" xfId="0" applyAlignment="1" applyBorder="1" applyFont="1" applyNumberFormat="1">
      <alignment vertical="center"/>
    </xf>
    <xf borderId="37" fillId="0" fontId="1" numFmtId="0" xfId="0" applyBorder="1" applyFont="1"/>
    <xf borderId="5" fillId="0" fontId="22" numFmtId="49" xfId="0" applyAlignment="1" applyBorder="1" applyFont="1" applyNumberFormat="1">
      <alignment horizontal="left" readingOrder="0" shrinkToFit="0" vertical="bottom" wrapText="0"/>
    </xf>
    <xf borderId="2" fillId="0" fontId="16" numFmtId="171" xfId="0" applyAlignment="1" applyBorder="1" applyFont="1" applyNumberFormat="1">
      <alignment vertical="center"/>
    </xf>
    <xf borderId="2" fillId="0" fontId="16" numFmtId="171" xfId="0" applyAlignment="1" applyBorder="1" applyFont="1" applyNumberFormat="1">
      <alignment vertical="center"/>
    </xf>
    <xf borderId="7" fillId="0" fontId="16" numFmtId="10" xfId="0" applyAlignment="1" applyBorder="1" applyFont="1" applyNumberFormat="1">
      <alignment vertical="center"/>
    </xf>
    <xf borderId="0" fillId="0" fontId="1" numFmtId="174" xfId="0" applyFont="1" applyNumberFormat="1"/>
    <xf borderId="38" fillId="0" fontId="16" numFmtId="2" xfId="0" applyAlignment="1" applyBorder="1" applyFont="1" applyNumberFormat="1">
      <alignment vertical="center"/>
    </xf>
    <xf borderId="34" fillId="0" fontId="16" numFmtId="173" xfId="0" applyAlignment="1" applyBorder="1" applyFont="1" applyNumberFormat="1">
      <alignment readingOrder="0" vertical="center"/>
    </xf>
    <xf borderId="39" fillId="0" fontId="16" numFmtId="4" xfId="0" applyAlignment="1" applyBorder="1" applyFont="1" applyNumberFormat="1">
      <alignment readingOrder="0" vertical="center"/>
    </xf>
    <xf borderId="10" fillId="0" fontId="24" numFmtId="49" xfId="0" applyAlignment="1" applyBorder="1" applyFont="1" applyNumberFormat="1">
      <alignment vertical="center"/>
    </xf>
    <xf borderId="10" fillId="0" fontId="8" numFmtId="171" xfId="0" applyAlignment="1" applyBorder="1" applyFont="1" applyNumberFormat="1">
      <alignment vertical="center"/>
    </xf>
    <xf borderId="10" fillId="0" fontId="8" numFmtId="172" xfId="0" applyAlignment="1" applyBorder="1" applyFont="1" applyNumberFormat="1">
      <alignment vertical="center"/>
    </xf>
    <xf borderId="10" fillId="0" fontId="8" numFmtId="171" xfId="0" applyAlignment="1" applyBorder="1" applyFont="1" applyNumberFormat="1">
      <alignment vertical="center"/>
    </xf>
    <xf borderId="10" fillId="0" fontId="8" numFmtId="2" xfId="0" applyAlignment="1" applyBorder="1" applyFont="1" applyNumberFormat="1">
      <alignment vertical="center"/>
    </xf>
    <xf borderId="12" fillId="6" fontId="26" numFmtId="49" xfId="0" applyAlignment="1" applyBorder="1" applyFill="1" applyFont="1" applyNumberFormat="1">
      <alignment horizontal="center" vertical="center"/>
    </xf>
    <xf borderId="16" fillId="6" fontId="26" numFmtId="171" xfId="0" applyAlignment="1" applyBorder="1" applyFill="1" applyFont="1" applyNumberFormat="1">
      <alignment horizontal="center" vertical="center"/>
    </xf>
    <xf borderId="12" fillId="6" fontId="26" numFmtId="171" xfId="0" applyAlignment="1" applyBorder="1" applyFill="1" applyFont="1" applyNumberFormat="1">
      <alignment horizontal="center" readingOrder="0" shrinkToFit="0" vertical="center" wrapText="1"/>
    </xf>
    <xf borderId="13" fillId="6" fontId="26" numFmtId="172" xfId="0" applyAlignment="1" applyBorder="1" applyFill="1" applyFont="1" applyNumberFormat="1">
      <alignment horizontal="center" shrinkToFit="0" vertical="center" wrapText="1"/>
    </xf>
    <xf borderId="40" fillId="6" fontId="26" numFmtId="171" xfId="0" applyAlignment="1" applyBorder="1" applyFill="1" applyFont="1" applyNumberFormat="1">
      <alignment horizontal="center" readingOrder="0" shrinkToFit="0" vertical="center" wrapText="1"/>
    </xf>
    <xf borderId="40" fillId="6" fontId="26" numFmtId="171" xfId="0" applyAlignment="1" applyBorder="1" applyFill="1" applyFont="1" applyNumberFormat="1">
      <alignment horizontal="center" readingOrder="0" shrinkToFit="0" vertical="center" wrapText="1"/>
    </xf>
    <xf borderId="17" fillId="6" fontId="26" numFmtId="0" xfId="0" applyAlignment="1" applyBorder="1" applyFill="1" applyFont="1">
      <alignment horizontal="center" readingOrder="0" shrinkToFit="0" vertical="center" wrapText="1"/>
    </xf>
    <xf borderId="0" fillId="6" fontId="26" numFmtId="0" xfId="0" applyAlignment="1" applyFill="1" applyFont="1">
      <alignment horizontal="center" vertical="center"/>
    </xf>
    <xf borderId="0" fillId="7" fontId="1" numFmtId="171" xfId="0" applyAlignment="1" applyFill="1" applyFont="1" applyNumberFormat="1">
      <alignment vertical="center"/>
    </xf>
    <xf borderId="41" fillId="7" fontId="7" numFmtId="0" xfId="0" applyBorder="1" applyFill="1" applyFont="1"/>
    <xf borderId="27" fillId="7" fontId="28" numFmtId="2" xfId="0" applyAlignment="1" applyBorder="1" applyFill="1" applyFont="1" applyNumberFormat="1">
      <alignment horizontal="center" vertical="center"/>
    </xf>
    <xf borderId="27" fillId="7" fontId="28" numFmtId="0" xfId="0" applyAlignment="1" applyBorder="1" applyFill="1" applyFont="1">
      <alignment horizontal="center" readingOrder="0" vertical="center"/>
    </xf>
    <xf borderId="0" fillId="7" fontId="1" numFmtId="2" xfId="0" applyAlignment="1" applyFill="1" applyFont="1" applyNumberFormat="1">
      <alignment vertical="center"/>
    </xf>
    <xf borderId="30" fillId="7" fontId="28" numFmtId="0" xfId="0" applyAlignment="1" applyBorder="1" applyFill="1" applyFont="1">
      <alignment horizontal="center" vertical="center"/>
    </xf>
    <xf borderId="27" fillId="4" fontId="35" numFmtId="0" xfId="0" applyAlignment="1" applyBorder="1" applyFill="1" applyFont="1">
      <alignment horizontal="right" readingOrder="0"/>
    </xf>
    <xf borderId="0" fillId="4" fontId="36" numFmtId="49" xfId="0" applyAlignment="1" applyFill="1" applyFont="1" applyNumberFormat="1">
      <alignment horizontal="left" readingOrder="0"/>
    </xf>
    <xf borderId="0" fillId="4" fontId="29" numFmtId="166" xfId="0" applyAlignment="1" applyFill="1" applyFont="1" applyNumberFormat="1">
      <alignment shrinkToFit="0" vertical="center" wrapText="1"/>
    </xf>
    <xf borderId="0" fillId="4" fontId="1" numFmtId="171" xfId="0" applyAlignment="1" applyFill="1" applyFont="1" applyNumberFormat="1">
      <alignment vertical="center"/>
    </xf>
    <xf borderId="0" fillId="4" fontId="1" numFmtId="172" xfId="0" applyAlignment="1" applyFill="1" applyFont="1" applyNumberFormat="1">
      <alignment vertical="center"/>
    </xf>
    <xf borderId="0" fillId="4" fontId="1" numFmtId="171" xfId="0" applyAlignment="1" applyFill="1" applyFont="1" applyNumberFormat="1">
      <alignment vertical="center"/>
    </xf>
    <xf borderId="30" fillId="4" fontId="1" numFmtId="171" xfId="0" applyAlignment="1" applyBorder="1" applyFill="1" applyFont="1" applyNumberFormat="1">
      <alignment vertical="center"/>
    </xf>
    <xf borderId="31" fillId="4" fontId="1" numFmtId="10" xfId="0" applyAlignment="1" applyBorder="1" applyFill="1" applyFont="1" applyNumberFormat="1">
      <alignment vertical="center"/>
    </xf>
    <xf borderId="42" fillId="4" fontId="1" numFmtId="0" xfId="0" applyAlignment="1" applyBorder="1" applyFill="1" applyFont="1">
      <alignment vertical="center"/>
    </xf>
    <xf borderId="37" fillId="4" fontId="1" numFmtId="2" xfId="0" applyAlignment="1" applyBorder="1" applyFill="1" applyFont="1" applyNumberFormat="1">
      <alignment vertical="center"/>
    </xf>
    <xf borderId="0" fillId="4" fontId="1" numFmtId="2" xfId="0" applyAlignment="1" applyFill="1" applyFont="1" applyNumberFormat="1">
      <alignment vertical="center"/>
    </xf>
    <xf borderId="30" fillId="4" fontId="1" numFmtId="0" xfId="0" applyAlignment="1" applyBorder="1" applyFill="1" applyFont="1">
      <alignment readingOrder="0" vertical="center"/>
    </xf>
    <xf borderId="30" fillId="0" fontId="1" numFmtId="0" xfId="0" applyAlignment="1" applyBorder="1" applyFont="1">
      <alignment vertical="center"/>
    </xf>
    <xf borderId="22" fillId="7" fontId="35" numFmtId="0" xfId="0" applyAlignment="1" applyBorder="1" applyFill="1" applyFont="1">
      <alignment horizontal="right" readingOrder="0"/>
    </xf>
    <xf borderId="0" fillId="7" fontId="37" numFmtId="49" xfId="0" applyAlignment="1" applyFill="1" applyFont="1" applyNumberFormat="1">
      <alignment horizontal="left" readingOrder="0"/>
    </xf>
    <xf borderId="0" fillId="7" fontId="29" numFmtId="166" xfId="0" applyAlignment="1" applyFill="1" applyFont="1" applyNumberFormat="1">
      <alignment shrinkToFit="0" vertical="center" wrapText="1"/>
    </xf>
    <xf borderId="0" fillId="4" fontId="1" numFmtId="164" xfId="0" applyFill="1" applyFont="1" applyNumberFormat="1"/>
    <xf borderId="0" fillId="7" fontId="1" numFmtId="171" xfId="0" applyAlignment="1" applyFill="1" applyFont="1" applyNumberFormat="1">
      <alignment vertical="center"/>
    </xf>
    <xf borderId="0" fillId="7" fontId="1" numFmtId="172" xfId="0" applyAlignment="1" applyFill="1" applyFont="1" applyNumberFormat="1">
      <alignment vertical="center"/>
    </xf>
    <xf borderId="30" fillId="7" fontId="1" numFmtId="171" xfId="0" applyAlignment="1" applyBorder="1" applyFill="1" applyFont="1" applyNumberFormat="1">
      <alignment vertical="center"/>
    </xf>
    <xf borderId="31" fillId="7" fontId="1" numFmtId="10" xfId="0" applyAlignment="1" applyBorder="1" applyFill="1" applyFont="1" applyNumberFormat="1">
      <alignment vertical="center"/>
    </xf>
    <xf borderId="42" fillId="7" fontId="1" numFmtId="0" xfId="0" applyAlignment="1" applyBorder="1" applyFill="1" applyFont="1">
      <alignment vertical="center"/>
    </xf>
    <xf borderId="37" fillId="7" fontId="1" numFmtId="2" xfId="0" applyAlignment="1" applyBorder="1" applyFill="1" applyFont="1" applyNumberFormat="1">
      <alignment vertical="center"/>
    </xf>
    <xf borderId="0" fillId="7" fontId="1" numFmtId="164" xfId="0" applyFill="1" applyFont="1" applyNumberFormat="1"/>
    <xf borderId="0" fillId="0" fontId="38" numFmtId="49" xfId="0" applyAlignment="1" applyFont="1" applyNumberFormat="1">
      <alignment readingOrder="0"/>
    </xf>
    <xf borderId="30" fillId="7" fontId="1" numFmtId="0" xfId="0" applyAlignment="1" applyBorder="1" applyFill="1" applyFont="1">
      <alignment readingOrder="0" vertical="center"/>
    </xf>
    <xf borderId="22" fillId="4" fontId="35" numFmtId="0" xfId="0" applyAlignment="1" applyBorder="1" applyFill="1" applyFont="1">
      <alignment horizontal="right" readingOrder="0"/>
    </xf>
    <xf borderId="0" fillId="4" fontId="37" numFmtId="49" xfId="0" applyAlignment="1" applyFill="1" applyFont="1" applyNumberFormat="1">
      <alignment horizontal="left"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7" fontId="37" numFmtId="49" xfId="0" applyAlignment="1" applyFill="1" applyFont="1" applyNumberFormat="1">
      <alignment horizontal="left" readingOrder="0"/>
    </xf>
    <xf borderId="22" fillId="4" fontId="35" numFmtId="49" xfId="0" applyAlignment="1" applyBorder="1" applyFill="1" applyFont="1" applyNumberFormat="1">
      <alignment horizontal="right" readingOrder="0"/>
    </xf>
    <xf borderId="22" fillId="7" fontId="35" numFmtId="49" xfId="0" applyAlignment="1" applyBorder="1" applyFill="1" applyFont="1" applyNumberFormat="1">
      <alignment horizontal="right" readingOrder="0"/>
    </xf>
    <xf borderId="0" fillId="7" fontId="39" numFmtId="0" xfId="0" applyAlignment="1" applyFill="1" applyFont="1">
      <alignment horizontal="left" readingOrder="0" vertical="center"/>
    </xf>
    <xf borderId="0" fillId="4" fontId="39" numFmtId="0" xfId="0" applyAlignment="1" applyFill="1" applyFont="1">
      <alignment horizontal="left" readingOrder="0" vertical="center"/>
    </xf>
    <xf borderId="0" fillId="7" fontId="39" numFmtId="0" xfId="0" applyAlignment="1" applyFill="1" applyFont="1">
      <alignment readingOrder="0" vertical="center"/>
    </xf>
    <xf borderId="0" fillId="4" fontId="39" numFmtId="0" xfId="0" applyAlignment="1" applyFill="1" applyFont="1">
      <alignment readingOrder="0" vertical="center"/>
    </xf>
    <xf borderId="0" fillId="0" fontId="3" numFmtId="0" xfId="0" applyAlignment="1" applyFont="1">
      <alignment readingOrder="0" shrinkToFit="0" vertical="bottom" wrapText="0"/>
    </xf>
    <xf borderId="0" fillId="7" fontId="39" numFmtId="49" xfId="0" applyAlignment="1" applyFill="1" applyFont="1" applyNumberFormat="1">
      <alignment readingOrder="0" vertical="center"/>
    </xf>
    <xf borderId="0" fillId="4" fontId="39" numFmtId="49" xfId="0" applyAlignment="1" applyFill="1" applyFont="1" applyNumberFormat="1">
      <alignment readingOrder="0" vertical="center"/>
    </xf>
    <xf borderId="30" fillId="7" fontId="1" numFmtId="164" xfId="0" applyAlignment="1" applyBorder="1" applyFill="1" applyFont="1" applyNumberFormat="1">
      <alignment vertical="center"/>
    </xf>
    <xf borderId="30" fillId="4" fontId="1" numFmtId="164" xfId="0" applyAlignment="1" applyBorder="1" applyFill="1" applyFont="1" applyNumberFormat="1">
      <alignment vertical="center"/>
    </xf>
    <xf borderId="0" fillId="7" fontId="1" numFmtId="172" xfId="0" applyAlignment="1" applyFill="1" applyFont="1" applyNumberFormat="1">
      <alignment readingOrder="0" vertical="center"/>
    </xf>
    <xf borderId="31" fillId="7" fontId="1" numFmtId="171" xfId="0" applyAlignment="1" applyBorder="1" applyFill="1" applyFont="1" applyNumberFormat="1">
      <alignment vertical="center"/>
    </xf>
    <xf borderId="31" fillId="4" fontId="1" numFmtId="171" xfId="0" applyAlignment="1" applyBorder="1" applyFill="1" applyFont="1" applyNumberFormat="1">
      <alignment vertical="center"/>
    </xf>
    <xf borderId="0" fillId="7" fontId="1" numFmtId="49" xfId="0" applyAlignment="1" applyFill="1" applyFont="1" applyNumberFormat="1">
      <alignment readingOrder="0"/>
    </xf>
    <xf borderId="0" fillId="4" fontId="1" numFmtId="49" xfId="0" applyAlignment="1" applyFill="1" applyFont="1" applyNumberFormat="1">
      <alignment readingOrder="0"/>
    </xf>
    <xf borderId="0" fillId="7" fontId="29" numFmtId="49" xfId="0" applyAlignment="1" applyFill="1" applyFont="1" applyNumberFormat="1">
      <alignment readingOrder="0" shrinkToFit="0" vertical="center" wrapText="1"/>
    </xf>
    <xf borderId="0" fillId="4" fontId="29" numFmtId="49" xfId="0" applyAlignment="1" applyFill="1" applyFont="1" applyNumberFormat="1">
      <alignment shrinkToFit="0" vertical="center" wrapText="1"/>
    </xf>
    <xf borderId="0" fillId="7" fontId="29" numFmtId="49" xfId="0" applyAlignment="1" applyFill="1" applyFont="1" applyNumberFormat="1">
      <alignment shrinkToFit="0" vertical="center" wrapText="1"/>
    </xf>
    <xf borderId="6" fillId="0" fontId="1" numFmtId="0" xfId="0" applyAlignment="1" applyBorder="1" applyFont="1">
      <alignment shrinkToFit="0" vertical="center" wrapText="0"/>
    </xf>
    <xf borderId="41" fillId="4" fontId="1" numFmtId="0" xfId="0" applyAlignment="1" applyBorder="1" applyFill="1" applyFont="1">
      <alignment vertical="center"/>
    </xf>
    <xf borderId="43" fillId="4" fontId="1" numFmtId="0" xfId="0" applyAlignment="1" applyBorder="1" applyFill="1" applyFont="1">
      <alignment vertical="center"/>
    </xf>
    <xf borderId="21" fillId="4" fontId="1" numFmtId="2" xfId="0" applyAlignment="1" applyBorder="1" applyFill="1" applyFont="1" applyNumberFormat="1">
      <alignment vertical="center"/>
    </xf>
    <xf borderId="44" fillId="7" fontId="1" numFmtId="0" xfId="0" applyAlignment="1" applyBorder="1" applyFill="1" applyFont="1">
      <alignment readingOrder="0" vertical="center"/>
    </xf>
    <xf borderId="44" fillId="7" fontId="39" numFmtId="49" xfId="0" applyAlignment="1" applyBorder="1" applyFill="1" applyFont="1" applyNumberFormat="1">
      <alignment readingOrder="0" vertical="center"/>
    </xf>
    <xf borderId="44" fillId="7" fontId="29" numFmtId="0" xfId="0" applyAlignment="1" applyBorder="1" applyFill="1" applyFont="1">
      <alignment shrinkToFit="0" vertical="center" wrapText="1"/>
    </xf>
    <xf borderId="44" fillId="7" fontId="1" numFmtId="0" xfId="0" applyAlignment="1" applyBorder="1" applyFill="1" applyFont="1">
      <alignment vertical="center"/>
    </xf>
    <xf borderId="44" fillId="7" fontId="40" numFmtId="171" xfId="0" applyAlignment="1" applyBorder="1" applyFill="1" applyFont="1" applyNumberFormat="1">
      <alignment readingOrder="0" vertical="center"/>
    </xf>
    <xf borderId="44" fillId="7" fontId="40" numFmtId="171" xfId="0" applyAlignment="1" applyBorder="1" applyFill="1" applyFont="1" applyNumberFormat="1">
      <alignment vertical="center"/>
    </xf>
    <xf borderId="44" fillId="7" fontId="1" numFmtId="172" xfId="0" applyAlignment="1" applyBorder="1" applyFill="1" applyFont="1" applyNumberFormat="1">
      <alignment vertical="center"/>
    </xf>
    <xf borderId="2" fillId="4" fontId="16" numFmtId="171" xfId="0" applyAlignment="1" applyBorder="1" applyFill="1" applyFont="1" applyNumberFormat="1">
      <alignment vertical="center"/>
    </xf>
    <xf borderId="2" fillId="4" fontId="16" numFmtId="171" xfId="0" applyAlignment="1" applyBorder="1" applyFill="1" applyFont="1" applyNumberFormat="1">
      <alignment vertical="center"/>
    </xf>
    <xf borderId="44" fillId="7" fontId="1" numFmtId="10" xfId="0" applyAlignment="1" applyBorder="1" applyFill="1" applyFont="1" applyNumberFormat="1">
      <alignment vertical="center"/>
    </xf>
    <xf borderId="45" fillId="7" fontId="1" numFmtId="0" xfId="0" applyAlignment="1" applyBorder="1" applyFill="1" applyFont="1">
      <alignment vertical="center"/>
    </xf>
    <xf borderId="45" fillId="7" fontId="1" numFmtId="2" xfId="0" applyAlignment="1" applyBorder="1" applyFill="1" applyFont="1" applyNumberFormat="1">
      <alignment vertical="center"/>
    </xf>
    <xf borderId="44" fillId="7" fontId="1" numFmtId="2" xfId="0" applyAlignment="1" applyBorder="1" applyFill="1" applyFont="1" applyNumberFormat="1">
      <alignment vertical="center"/>
    </xf>
    <xf borderId="5" fillId="4" fontId="41" numFmtId="0" xfId="0" applyAlignment="1" applyBorder="1" applyFill="1" applyFont="1">
      <alignment horizontal="left" readingOrder="0" shrinkToFit="0" vertical="top" wrapText="0"/>
    </xf>
    <xf borderId="5" fillId="4" fontId="7" numFmtId="0" xfId="0" applyBorder="1" applyFill="1" applyFont="1"/>
    <xf borderId="4" fillId="4" fontId="7" numFmtId="0" xfId="0" applyBorder="1" applyFill="1" applyFont="1"/>
    <xf borderId="2" fillId="4" fontId="8" numFmtId="0" xfId="0" applyAlignment="1" applyBorder="1" applyFill="1" applyFont="1">
      <alignment vertical="center"/>
    </xf>
    <xf borderId="2" fillId="4" fontId="8" numFmtId="171" xfId="0" applyAlignment="1" applyBorder="1" applyFill="1" applyFont="1" applyNumberFormat="1">
      <alignment vertical="center"/>
    </xf>
    <xf borderId="2" fillId="4" fontId="8" numFmtId="172" xfId="0" applyAlignment="1" applyBorder="1" applyFill="1" applyFont="1" applyNumberFormat="1">
      <alignment vertical="center"/>
    </xf>
    <xf borderId="2" fillId="4" fontId="1" numFmtId="10" xfId="0" applyAlignment="1" applyBorder="1" applyFill="1" applyFont="1" applyNumberFormat="1">
      <alignment vertical="center"/>
    </xf>
    <xf borderId="2" fillId="4" fontId="1" numFmtId="0" xfId="0" applyAlignment="1" applyBorder="1" applyFill="1" applyFont="1">
      <alignment vertical="center"/>
    </xf>
    <xf borderId="2" fillId="4" fontId="1" numFmtId="2" xfId="0" applyAlignment="1" applyBorder="1" applyFill="1" applyFont="1" applyNumberFormat="1">
      <alignment vertical="center"/>
    </xf>
    <xf borderId="5" fillId="7" fontId="41" numFmtId="0" xfId="0" applyAlignment="1" applyBorder="1" applyFill="1" applyFont="1">
      <alignment horizontal="left" readingOrder="0" shrinkToFit="0" vertical="top" wrapText="0"/>
    </xf>
    <xf borderId="5" fillId="7" fontId="7" numFmtId="0" xfId="0" applyBorder="1" applyFill="1" applyFont="1"/>
    <xf borderId="4" fillId="7" fontId="7" numFmtId="0" xfId="0" applyBorder="1" applyFill="1" applyFont="1"/>
    <xf borderId="5" fillId="4" fontId="42" numFmtId="0" xfId="0" applyAlignment="1" applyBorder="1" applyFill="1" applyFont="1">
      <alignment horizontal="left" readingOrder="0" shrinkToFit="0" vertical="bottom" wrapText="0"/>
    </xf>
    <xf borderId="5" fillId="7" fontId="42" numFmtId="0" xfId="0" applyAlignment="1" applyBorder="1" applyFill="1" applyFont="1">
      <alignment horizontal="left" readingOrder="0" shrinkToFit="0" vertical="bottom" wrapText="0"/>
    </xf>
    <xf borderId="2" fillId="4" fontId="14" numFmtId="0" xfId="0" applyAlignment="1" applyBorder="1" applyFill="1" applyFont="1">
      <alignment vertical="center"/>
    </xf>
    <xf borderId="2" fillId="4" fontId="14" numFmtId="171" xfId="0" applyAlignment="1" applyBorder="1" applyFill="1" applyFont="1" applyNumberFormat="1">
      <alignment vertical="center"/>
    </xf>
    <xf borderId="2" fillId="4" fontId="14" numFmtId="172" xfId="0" applyAlignment="1" applyBorder="1" applyFill="1" applyFont="1" applyNumberFormat="1">
      <alignment vertical="center"/>
    </xf>
    <xf borderId="2" fillId="4" fontId="16" numFmtId="10" xfId="0" applyAlignment="1" applyBorder="1" applyFill="1" applyFont="1" applyNumberFormat="1">
      <alignment vertical="center"/>
    </xf>
    <xf borderId="2" fillId="4" fontId="16" numFmtId="0" xfId="0" applyAlignment="1" applyBorder="1" applyFill="1" applyFont="1">
      <alignment vertical="center"/>
    </xf>
    <xf borderId="2" fillId="4" fontId="16" numFmtId="2" xfId="0" applyAlignment="1" applyBorder="1" applyFill="1" applyFont="1" applyNumberFormat="1">
      <alignment vertical="center"/>
    </xf>
    <xf borderId="0" fillId="7" fontId="16" numFmtId="0" xfId="0" applyAlignment="1" applyFill="1" applyFont="1">
      <alignment vertical="center"/>
    </xf>
    <xf borderId="0" fillId="4" fontId="16" numFmtId="0" xfId="0" applyAlignment="1" applyFill="1" applyFont="1">
      <alignment vertical="center"/>
    </xf>
    <xf borderId="7" fillId="4" fontId="23" numFmtId="0" xfId="0" applyAlignment="1" applyBorder="1" applyFill="1" applyFont="1">
      <alignment vertical="center"/>
    </xf>
    <xf borderId="8" fillId="4" fontId="7" numFmtId="0" xfId="0" applyBorder="1" applyFill="1" applyFont="1"/>
    <xf borderId="9" fillId="4" fontId="7" numFmtId="0" xfId="0" applyBorder="1" applyFill="1" applyFont="1"/>
    <xf borderId="8" fillId="7" fontId="7" numFmtId="0" xfId="0" applyBorder="1" applyFill="1" applyFont="1"/>
    <xf borderId="9" fillId="7" fontId="7" numFmtId="0" xfId="0" applyBorder="1" applyFill="1" applyFont="1"/>
    <xf borderId="10" fillId="4" fontId="8" numFmtId="0" xfId="0" applyAlignment="1" applyBorder="1" applyFill="1" applyFont="1">
      <alignment vertical="center"/>
    </xf>
    <xf borderId="10" fillId="4" fontId="24" numFmtId="49" xfId="0" applyAlignment="1" applyBorder="1" applyFill="1" applyFont="1" applyNumberFormat="1">
      <alignment vertical="center"/>
    </xf>
    <xf borderId="10" fillId="4" fontId="25" numFmtId="0" xfId="0" applyAlignment="1" applyBorder="1" applyFill="1" applyFont="1">
      <alignment shrinkToFit="0" vertical="center" wrapText="1"/>
    </xf>
    <xf borderId="10" fillId="4" fontId="8" numFmtId="171" xfId="0" applyAlignment="1" applyBorder="1" applyFill="1" applyFont="1" applyNumberFormat="1">
      <alignment vertical="center"/>
    </xf>
    <xf borderId="10" fillId="4" fontId="8" numFmtId="172" xfId="0" applyAlignment="1" applyBorder="1" applyFill="1" applyFont="1" applyNumberFormat="1">
      <alignment vertical="center"/>
    </xf>
    <xf borderId="10" fillId="4" fontId="8" numFmtId="171" xfId="0" applyAlignment="1" applyBorder="1" applyFill="1" applyFont="1" applyNumberFormat="1">
      <alignment vertical="center"/>
    </xf>
    <xf borderId="10" fillId="4" fontId="8" numFmtId="10" xfId="0" applyAlignment="1" applyBorder="1" applyFill="1" applyFont="1" applyNumberFormat="1">
      <alignment vertical="center"/>
    </xf>
    <xf borderId="10" fillId="4" fontId="8" numFmtId="2" xfId="0" applyAlignment="1" applyBorder="1" applyFill="1" applyFont="1" applyNumberFormat="1">
      <alignment vertical="center"/>
    </xf>
    <xf borderId="0" fillId="4" fontId="8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0" fontId="39" numFmtId="49" xfId="0" applyAlignment="1" applyFont="1" applyNumberFormat="1">
      <alignment vertical="center"/>
    </xf>
    <xf borderId="0" fillId="0" fontId="29" numFmtId="0" xfId="0" applyAlignment="1" applyFont="1">
      <alignment shrinkToFit="0" vertical="center" wrapText="1"/>
    </xf>
    <xf borderId="0" fillId="0" fontId="1" numFmtId="171" xfId="0" applyAlignment="1" applyFont="1" applyNumberFormat="1">
      <alignment vertical="center"/>
    </xf>
    <xf borderId="0" fillId="0" fontId="1" numFmtId="172" xfId="0" applyAlignment="1" applyFont="1" applyNumberFormat="1">
      <alignment vertical="center"/>
    </xf>
    <xf borderId="0" fillId="0" fontId="1" numFmtId="171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0" fontId="1" numFmtId="171" xfId="0" applyFont="1" applyNumberFormat="1"/>
    <xf borderId="0" fillId="0" fontId="1" numFmtId="172" xfId="0" applyFont="1" applyNumberFormat="1"/>
    <xf borderId="0" fillId="0" fontId="1" numFmtId="171" xfId="0" applyFont="1" applyNumberFormat="1"/>
    <xf borderId="0" fillId="0" fontId="1" numFmtId="2" xfId="0" applyFont="1" applyNumberFormat="1"/>
    <xf borderId="46" fillId="0" fontId="1" numFmtId="0" xfId="0" applyAlignment="1" applyBorder="1" applyFont="1">
      <alignment shrinkToFit="0" vertical="center" wrapText="0"/>
    </xf>
    <xf borderId="46" fillId="0" fontId="1" numFmtId="0" xfId="0" applyAlignment="1" applyBorder="1" applyFont="1">
      <alignment shrinkToFit="0" vertical="center" wrapText="0"/>
    </xf>
    <xf borderId="44" fillId="4" fontId="1" numFmtId="0" xfId="0" applyAlignment="1" applyBorder="1" applyFill="1" applyFont="1">
      <alignment readingOrder="0" vertical="center"/>
    </xf>
    <xf borderId="44" fillId="4" fontId="39" numFmtId="0" xfId="0" applyAlignment="1" applyBorder="1" applyFill="1" applyFont="1">
      <alignment readingOrder="0" vertical="center"/>
    </xf>
    <xf borderId="44" fillId="4" fontId="29" numFmtId="0" xfId="0" applyAlignment="1" applyBorder="1" applyFill="1" applyFont="1">
      <alignment shrinkToFit="0" vertical="center" wrapText="1"/>
    </xf>
    <xf borderId="44" fillId="4" fontId="1" numFmtId="0" xfId="0" applyAlignment="1" applyBorder="1" applyFill="1" applyFont="1">
      <alignment vertical="center"/>
    </xf>
    <xf borderId="44" fillId="4" fontId="40" numFmtId="0" xfId="0" applyAlignment="1" applyBorder="1" applyFill="1" applyFont="1">
      <alignment readingOrder="0" vertical="center"/>
    </xf>
    <xf borderId="44" fillId="4" fontId="40" numFmtId="4" xfId="0" applyAlignment="1" applyBorder="1" applyFill="1" applyFont="1" applyNumberFormat="1">
      <alignment vertical="center"/>
    </xf>
    <xf borderId="44" fillId="4" fontId="1" numFmtId="165" xfId="0" applyAlignment="1" applyBorder="1" applyFill="1" applyFont="1" applyNumberFormat="1">
      <alignment vertical="center"/>
    </xf>
    <xf borderId="44" fillId="4" fontId="1" numFmtId="10" xfId="0" applyAlignment="1" applyBorder="1" applyFill="1" applyFont="1" applyNumberFormat="1">
      <alignment vertical="center"/>
    </xf>
    <xf borderId="9" fillId="4" fontId="43" numFmtId="0" xfId="0" applyAlignment="1" applyBorder="1" applyFill="1" applyFont="1">
      <alignment horizontal="center" vertical="center"/>
    </xf>
    <xf borderId="2" fillId="4" fontId="8" numFmtId="4" xfId="0" applyAlignment="1" applyBorder="1" applyFill="1" applyFont="1" applyNumberFormat="1">
      <alignment vertical="center"/>
    </xf>
    <xf borderId="2" fillId="4" fontId="8" numFmtId="165" xfId="0" applyAlignment="1" applyBorder="1" applyFill="1" applyFont="1" applyNumberFormat="1">
      <alignment vertical="center"/>
    </xf>
    <xf borderId="9" fillId="4" fontId="44" numFmtId="0" xfId="0" applyAlignment="1" applyBorder="1" applyFill="1" applyFont="1">
      <alignment horizontal="center" vertical="center"/>
    </xf>
    <xf borderId="0" fillId="7" fontId="42" numFmtId="0" xfId="0" applyAlignment="1" applyFill="1" applyFont="1">
      <alignment horizontal="left" readingOrder="0" shrinkToFit="0" vertical="bottom" wrapText="0"/>
    </xf>
    <xf borderId="2" fillId="4" fontId="25" numFmtId="0" xfId="0" applyAlignment="1" applyBorder="1" applyFill="1" applyFont="1">
      <alignment shrinkToFit="0" vertical="center" wrapText="1"/>
    </xf>
    <xf borderId="9" fillId="4" fontId="23" numFmtId="169" xfId="0" applyAlignment="1" applyBorder="1" applyFill="1" applyFont="1" applyNumberFormat="1">
      <alignment horizontal="left" vertical="center"/>
    </xf>
    <xf borderId="2" fillId="4" fontId="14" numFmtId="4" xfId="0" applyAlignment="1" applyBorder="1" applyFill="1" applyFont="1" applyNumberFormat="1">
      <alignment vertical="center"/>
    </xf>
    <xf borderId="2" fillId="4" fontId="14" numFmtId="165" xfId="0" applyAlignment="1" applyBorder="1" applyFill="1" applyFont="1" applyNumberFormat="1">
      <alignment vertical="center"/>
    </xf>
    <xf borderId="9" fillId="4" fontId="23" numFmtId="0" xfId="0" applyAlignment="1" applyBorder="1" applyFill="1" applyFont="1">
      <alignment vertical="center"/>
    </xf>
    <xf borderId="0" fillId="4" fontId="42" numFmtId="0" xfId="0" applyAlignment="1" applyFill="1" applyFont="1">
      <alignment horizontal="left" readingOrder="0" shrinkToFit="0" vertical="bottom" wrapText="0"/>
    </xf>
    <xf borderId="0" fillId="4" fontId="3" numFmtId="0" xfId="0" applyAlignment="1" applyFill="1" applyFont="1">
      <alignment shrinkToFit="0" vertical="bottom" wrapText="0"/>
    </xf>
    <xf borderId="10" fillId="4" fontId="24" numFmtId="0" xfId="0" applyAlignment="1" applyBorder="1" applyFill="1" applyFont="1">
      <alignment vertical="center"/>
    </xf>
    <xf borderId="10" fillId="4" fontId="8" numFmtId="4" xfId="0" applyAlignment="1" applyBorder="1" applyFill="1" applyFont="1" applyNumberFormat="1">
      <alignment vertical="center"/>
    </xf>
    <xf borderId="10" fillId="4" fontId="8" numFmtId="165" xfId="0" applyAlignment="1" applyBorder="1" applyFill="1" applyFont="1" applyNumberFormat="1">
      <alignment vertical="center"/>
    </xf>
    <xf borderId="0" fillId="0" fontId="39" numFmtId="0" xfId="0" applyAlignment="1" applyFont="1">
      <alignment vertical="center"/>
    </xf>
    <xf borderId="0" fillId="0" fontId="1" numFmtId="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4" pivot="0" name="Данн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vaylo Avramov" id="{22aa23b4-974a-40fa-987c-8f24feb879dd}" providerId="google-sheets"/>
</x18tc:personList>
</file>

<file path=xl/tables/table1.xml><?xml version="1.0" encoding="utf-8"?>
<table xmlns="http://schemas.openxmlformats.org/spreadsheetml/2006/main" ref="A1:D999" displayName="Table1" name="Table1" id="1">
  <autoFilter ref="$A$1:$D$999"/>
  <tableColumns count="4">
    <tableColumn name="Номер" id="1"/>
    <tableColumn name="Описание" id="2"/>
    <tableColumn name="Unit cost" id="3"/>
    <tableColumn name="HTS Code" id="4"/>
  </tableColumns>
  <tableStyleInfo name="Данн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34343"/>
      </a:dk1>
      <a:lt1>
        <a:srgbClr val="F3F3F3"/>
      </a:lt1>
      <a:dk2>
        <a:srgbClr val="434343"/>
      </a:dk2>
      <a:lt2>
        <a:srgbClr val="F3F3F3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1" dT="2025-06-03T10:20:57.00" personId="{22aa23b4-974a-40fa-987c-8f24feb879dd}" id="{e676bfff-84bb-4d95-9dc5-d4d7dd88e6ec}" done="1">
    <x18tc:text xml:space="preserve">Промени имената на колоните</x18tc:text>
  </x18tc:threadedComment>
  <x18tc:threadedComment ref="M4" dT="2025-06-03T10:27:05.00" personId="{22aa23b4-974a-40fa-987c-8f24feb879dd}" id="{d222ea04-acb3-4d11-8312-7ba3f2e2925f}" done="1">
    <x18tc:text xml:space="preserve">Извлича информацията от Google Finance за деня</x18tc:text>
  </x18tc:threadedComment>
  <x18tc:threadedComment ref="J11" dT="2025-06-03T10:27:17.00" personId="{22aa23b4-974a-40fa-987c-8f24feb879dd}" id="{7928ee0f-cb7f-473f-9155-899369a3e1e5}" done="1">
    <x18tc:text xml:space="preserve">Промени името на колоната</x18tc:text>
  </x18tc:threadedComment>
  <x18tc:threadedComment ref="M5" dT="2025-06-04T12:58:20.00" personId="{22aa23b4-974a-40fa-987c-8f24feb879dd}" id="{27b73af0-2afe-4244-92fe-eb3d0f5b4025}" done="0">
    <x18tc:text xml:space="preserve">Въведи тук датата (с двоен клик върху клетка М5), на която искаш да провериш стойността USD/BGN. Резултатът е в клетка М8.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g6wc2meXCmRJBkpKQPl4Mv_bCCloWjR1/view?usp=drivesdk" TargetMode="External"/><Relationship Id="rId42" Type="http://schemas.openxmlformats.org/officeDocument/2006/relationships/hyperlink" Target="https://drive.google.com/file/d/1j2sMWi8H6HIr6z6UjCdcDy8aPfxJZYu4/view?usp=drivesdk" TargetMode="External"/><Relationship Id="rId41" Type="http://schemas.openxmlformats.org/officeDocument/2006/relationships/hyperlink" Target="https://drive.google.com/file/d/1dHYOJVGw9b2QBIcSOsUiqVTTIOb2gW6v/view?usp=drivesdk" TargetMode="External"/><Relationship Id="rId44" Type="http://schemas.openxmlformats.org/officeDocument/2006/relationships/hyperlink" Target="https://drive.google.com/file/d/1fSQl1Nw2p-8uJGxBZqoOuxLbyyNHTm4X/view?usp=drivesdk" TargetMode="External"/><Relationship Id="rId43" Type="http://schemas.openxmlformats.org/officeDocument/2006/relationships/hyperlink" Target="https://drive.google.com/file/d/1j2sMWi8H6HIr6z6UjCdcDy8aPfxJZYu4/view?usp=drivesdk" TargetMode="External"/><Relationship Id="rId46" Type="http://schemas.openxmlformats.org/officeDocument/2006/relationships/hyperlink" Target="https://drive.google.com/file/d/1fhBZzPHI1Xo3EUm452dvpKYYQ6XeL6b4/view?usp=drivesdk" TargetMode="External"/><Relationship Id="rId45" Type="http://schemas.openxmlformats.org/officeDocument/2006/relationships/hyperlink" Target="https://drive.google.com/file/d/1fhBZzPHI1Xo3EUm452dvpKYYQ6XeL6b4/view?usp=drivesdk" TargetMode="External"/><Relationship Id="rId107" Type="http://schemas.openxmlformats.org/officeDocument/2006/relationships/hyperlink" Target="https://drive.google.com/file/d/1cxpcrpEm509FoE42ZnYU6V-iyY-SURrK/view?usp=drivesdk" TargetMode="External"/><Relationship Id="rId106" Type="http://schemas.openxmlformats.org/officeDocument/2006/relationships/hyperlink" Target="https://drive.google.com/file/d/1g7g8n3KXgbWVVaMLpljiDmd4K2OX3jcX/view?usp=drivesdk" TargetMode="External"/><Relationship Id="rId105" Type="http://schemas.openxmlformats.org/officeDocument/2006/relationships/hyperlink" Target="https://drive.google.com/file/d/1H4pJqFKf9S1JSoEoEZePLsQekP4FKVcH/view?usp=drive_link" TargetMode="External"/><Relationship Id="rId104" Type="http://schemas.openxmlformats.org/officeDocument/2006/relationships/hyperlink" Target="https://drive.google.com/file/d/1hcxhk--FLb7sHzXIfwMGvBH_KBSW4Yv0/view?usp=drive_link" TargetMode="External"/><Relationship Id="rId109" Type="http://schemas.openxmlformats.org/officeDocument/2006/relationships/hyperlink" Target="https://drive.google.com/file/d/1hPh0efFXxdCiX5XxCadaj5_LVdBUMRfM/view?usp=drivesdk" TargetMode="External"/><Relationship Id="rId108" Type="http://schemas.openxmlformats.org/officeDocument/2006/relationships/hyperlink" Target="https://drive.google.com/file/d/1i60J7ODxyPUp4srDWfTqANsFAK8oAf8G/view?usp=drivesdk" TargetMode="External"/><Relationship Id="rId48" Type="http://schemas.openxmlformats.org/officeDocument/2006/relationships/hyperlink" Target="https://drive.google.com/file/d/1dQg3AyjhmTvecCv9eiXL0xY8Lre_b-5N/view?usp=drivesdk" TargetMode="External"/><Relationship Id="rId47" Type="http://schemas.openxmlformats.org/officeDocument/2006/relationships/hyperlink" Target="https://drive.google.com/file/d/1fmheISbQySwm2qiYVMxwiWOwtlqg7QsL/view?usp=drivesdk" TargetMode="External"/><Relationship Id="rId49" Type="http://schemas.openxmlformats.org/officeDocument/2006/relationships/hyperlink" Target="https://drive.google.com/file/d/1dQg3AyjhmTvecCv9eiXL0xY8Lre_b-5N/view?usp=drivesdk" TargetMode="External"/><Relationship Id="rId103" Type="http://schemas.openxmlformats.org/officeDocument/2006/relationships/hyperlink" Target="https://drive.google.com/file/d/1hPd8n7F3z-Vi1ZrIiV_pk2Wvs4PjTNAv/view?usp=drivesdk" TargetMode="External"/><Relationship Id="rId102" Type="http://schemas.openxmlformats.org/officeDocument/2006/relationships/hyperlink" Target="https://drive.google.com/file/d/1MGWv99f5OEVVsaNgHBSA42MhZINyUicK/view?usp=drive_link" TargetMode="External"/><Relationship Id="rId101" Type="http://schemas.openxmlformats.org/officeDocument/2006/relationships/hyperlink" Target="https://drive.google.com/file/d/1tNF_5GaIVgvo0l91kvJdOBhdvy-Gq62d/view?usp=drivesdk" TargetMode="External"/><Relationship Id="rId100" Type="http://schemas.openxmlformats.org/officeDocument/2006/relationships/hyperlink" Target="https://drive.google.com/file/d/13JocFUNPCl4cHaa6IsAjAWkyWKdRjNFQ/view?usp=drive_link" TargetMode="External"/><Relationship Id="rId31" Type="http://schemas.openxmlformats.org/officeDocument/2006/relationships/hyperlink" Target="https://drive.google.com/file/d/1dJcFati3jb3C82mETm96-02gPPYGX3Sw/view?usp=drivesdk" TargetMode="External"/><Relationship Id="rId30" Type="http://schemas.openxmlformats.org/officeDocument/2006/relationships/hyperlink" Target="https://drive.google.com/file/d/1cv4RyHS0OuN20w3EZE2caQiwqTbFbxZo/view?usp=drive_link" TargetMode="External"/><Relationship Id="rId33" Type="http://schemas.openxmlformats.org/officeDocument/2006/relationships/hyperlink" Target="https://drive.google.com/file/d/1gc2dpbUcByv9WOYBW7DCNQZQUZ1fr4uV/view?usp=drivesdk" TargetMode="External"/><Relationship Id="rId32" Type="http://schemas.openxmlformats.org/officeDocument/2006/relationships/hyperlink" Target="https://drive.google.com/file/d/1ip6eMFu3Pbd2wWJ7kGi6DtFIXTB5Pkvf/view?usp=drive_link" TargetMode="External"/><Relationship Id="rId35" Type="http://schemas.openxmlformats.org/officeDocument/2006/relationships/hyperlink" Target="https://drive.google.com/file/d/1U-JtTXCM1BqKPZzHDw-gOCDaAOM473iF/view?usp=drive_link" TargetMode="External"/><Relationship Id="rId34" Type="http://schemas.openxmlformats.org/officeDocument/2006/relationships/hyperlink" Target="https://drive.google.com/file/d/1hLpZW2wBQLMIUMN8Sfud942Cd1sCU9ry/view?usp=drivesdk" TargetMode="External"/><Relationship Id="rId37" Type="http://schemas.openxmlformats.org/officeDocument/2006/relationships/hyperlink" Target="https://drive.google.com/file/d/1dBRIf_hfaCzGam9-l5mu34PJMyqMPoE2/view?usp=drive_link" TargetMode="External"/><Relationship Id="rId36" Type="http://schemas.openxmlformats.org/officeDocument/2006/relationships/hyperlink" Target="https://drive.google.com/file/d/1dQg3AyjhmTvecCv9eiXL0xY8Lre_b-5N/view?usp=drivesdk" TargetMode="External"/><Relationship Id="rId39" Type="http://schemas.openxmlformats.org/officeDocument/2006/relationships/hyperlink" Target="https://drive.google.com/file/d/1s4RmkAJHw0UqHNF96TObjYL4ZoGpS18u/view?usp=drive_link" TargetMode="External"/><Relationship Id="rId38" Type="http://schemas.openxmlformats.org/officeDocument/2006/relationships/hyperlink" Target="https://drive.google.com/file/d/1z2DlvFfRUoSALv7O444VvaYncZYZAPpZ/view?usp=drive_link" TargetMode="External"/><Relationship Id="rId20" Type="http://schemas.openxmlformats.org/officeDocument/2006/relationships/hyperlink" Target="https://drive.google.com/file/d/1tfbypQOfafcul9pXxPL2Nv1QsbLOApkW/view?usp=drive_link" TargetMode="External"/><Relationship Id="rId22" Type="http://schemas.openxmlformats.org/officeDocument/2006/relationships/hyperlink" Target="https://drive.google.com/file/d/1dQg3AyjhmTvecCv9eiXL0xY8Lre_b-5N/view?usp=drivesdk" TargetMode="External"/><Relationship Id="rId21" Type="http://schemas.openxmlformats.org/officeDocument/2006/relationships/hyperlink" Target="https://drive.google.com/file/d/1tI6caDsXYOh7dkIi2AfB-Z7913kD6SaQ/view?usp=drivesdk" TargetMode="External"/><Relationship Id="rId24" Type="http://schemas.openxmlformats.org/officeDocument/2006/relationships/hyperlink" Target="https://drive.google.com/file/d/1BruWgEwDuCi8rK6PkM6t9hbrZNufBxt2/view?usp=drive_link" TargetMode="External"/><Relationship Id="rId23" Type="http://schemas.openxmlformats.org/officeDocument/2006/relationships/hyperlink" Target="https://drive.google.com/file/d/1iTcuDPZN-w_vrzJDdrFvksADT4cJrrZH/view?usp=drivesdk" TargetMode="External"/><Relationship Id="rId129" Type="http://schemas.openxmlformats.org/officeDocument/2006/relationships/hyperlink" Target="https://drive.google.com/file/d/1s5ahiwxo-RyDxoxjFCJFovz8Vk3pQXt1/view?usp=drive_link" TargetMode="External"/><Relationship Id="rId128" Type="http://schemas.openxmlformats.org/officeDocument/2006/relationships/hyperlink" Target="https://drive.google.com/file/d/1s2kywhvOOBLKmMeWLRTLlvYFYhb6skYG/view?usp=drivesdk" TargetMode="External"/><Relationship Id="rId127" Type="http://schemas.openxmlformats.org/officeDocument/2006/relationships/hyperlink" Target="https://drive.google.com/file/d/1yYuaLO9RqnZvRy4tHFGeHzeXHKiJKsLa/view?usp=drivesdk" TargetMode="External"/><Relationship Id="rId126" Type="http://schemas.openxmlformats.org/officeDocument/2006/relationships/hyperlink" Target="https://drive.google.com/file/d/1ifCZz4SOSKqsOBxm36cZ6olGid5l5bBx/view?usp=drivesdk" TargetMode="External"/><Relationship Id="rId26" Type="http://schemas.openxmlformats.org/officeDocument/2006/relationships/hyperlink" Target="https://drive.google.com/file/d/1ijqDaQzmC94ExEsAW6T8h62PNrW8uf0-/view?usp=drivesdk" TargetMode="External"/><Relationship Id="rId121" Type="http://schemas.openxmlformats.org/officeDocument/2006/relationships/hyperlink" Target="https://drive.google.com/file/d/1hGnGOlKgXj0u_zmhdyH3hMsY_bhd_ShB/view?usp=drivesdk" TargetMode="External"/><Relationship Id="rId25" Type="http://schemas.openxmlformats.org/officeDocument/2006/relationships/hyperlink" Target="https://drive.google.com/file/d/1hYdkz3NvkJkO3oTAwVHRV9YeZfHTNaMo/view?usp=drive_link" TargetMode="External"/><Relationship Id="rId120" Type="http://schemas.openxmlformats.org/officeDocument/2006/relationships/hyperlink" Target="https://drive.google.com/file/d/1hJT1Hf4HavIm1lWMJ8xgjp3XbBUHlVAe/view?usp=drivesdk" TargetMode="External"/><Relationship Id="rId28" Type="http://schemas.openxmlformats.org/officeDocument/2006/relationships/hyperlink" Target="https://drive.google.com/file/d/1ge2jfn6emJgwSMdlXvCmNRXSaPkMRMCj/view?usp=drivesdk" TargetMode="External"/><Relationship Id="rId27" Type="http://schemas.openxmlformats.org/officeDocument/2006/relationships/hyperlink" Target="https://drive.google.com/file/d/1fkbS6wLR6cirZwmFVQDoDT_3AlQ8qm7q/view?usp=drivesdk" TargetMode="External"/><Relationship Id="rId125" Type="http://schemas.openxmlformats.org/officeDocument/2006/relationships/hyperlink" Target="https://drive.google.com/file/d/1hDg9veX-qKDpLG3fNi_kkMqv33CqQrAy/view?usp=drivesdk" TargetMode="External"/><Relationship Id="rId29" Type="http://schemas.openxmlformats.org/officeDocument/2006/relationships/hyperlink" Target="https://drive.google.com/file/d/1tShaX7-RwtqCvyzyq_oz6iPpskw-7hfk/view?usp=drivesdk" TargetMode="External"/><Relationship Id="rId124" Type="http://schemas.openxmlformats.org/officeDocument/2006/relationships/hyperlink" Target="https://drive.google.com/file/d/1ijqDaQzmC94ExEsAW6T8h62PNrW8uf0-/view?usp=drivesdk" TargetMode="External"/><Relationship Id="rId123" Type="http://schemas.openxmlformats.org/officeDocument/2006/relationships/hyperlink" Target="https://drive.google.com/file/d/1hEiUleCPkNU8IgFCSraRMLw3pknewkF9/view?usp=drivesdk" TargetMode="External"/><Relationship Id="rId122" Type="http://schemas.openxmlformats.org/officeDocument/2006/relationships/hyperlink" Target="https://drive.google.com/file/d/1gSh71V9Z_TmbI005yLMmRiB-SOfMJoWq/view?usp=drivesdk" TargetMode="External"/><Relationship Id="rId95" Type="http://schemas.openxmlformats.org/officeDocument/2006/relationships/hyperlink" Target="https://drive.google.com/file/d/1uMHEX3_vAwB1AX9aJqsWzMk-3__3OHzd/view?usp=drive_link" TargetMode="External"/><Relationship Id="rId94" Type="http://schemas.openxmlformats.org/officeDocument/2006/relationships/hyperlink" Target="https://drive.google.com/file/d/1tI1R_ClqJh3owRjEv_SYNvsdBmVBIp6Q/view?usp=drive_link" TargetMode="External"/><Relationship Id="rId97" Type="http://schemas.openxmlformats.org/officeDocument/2006/relationships/hyperlink" Target="https://drive.google.com/file/d/1d5msNjKIcRQF0IMbgTfwVYWZEsFiZpqf/view?usp=drive_link" TargetMode="External"/><Relationship Id="rId96" Type="http://schemas.openxmlformats.org/officeDocument/2006/relationships/hyperlink" Target="https://drive.google.com/file/d/1_l9_ct_aW-Y9R_D6hjB1gG4-rNJ6rO60/view?usp=drive_link" TargetMode="External"/><Relationship Id="rId11" Type="http://schemas.openxmlformats.org/officeDocument/2006/relationships/hyperlink" Target="https://drive.google.com/file/d/1s6zuSdkg88XkBC2Lg9veqOzENkAa4JYB/view?usp=drive_link" TargetMode="External"/><Relationship Id="rId99" Type="http://schemas.openxmlformats.org/officeDocument/2006/relationships/hyperlink" Target="https://drive.google.com/file/d/1thEkB2XnnMwtdyGeM1h7ur_U4IyM4eaj/view?usp=drivesdk" TargetMode="External"/><Relationship Id="rId10" Type="http://schemas.openxmlformats.org/officeDocument/2006/relationships/hyperlink" Target="https://drive.google.com/file/d/1i-SkM_kkKWT8WzCYmr0Kt0mnRgxOm2ny/view?usp=drive_link" TargetMode="External"/><Relationship Id="rId98" Type="http://schemas.openxmlformats.org/officeDocument/2006/relationships/hyperlink" Target="https://drive.google.com/file/d/1dERaNw64HlwzK7OTMji6JeR8lS1R1c41/view?usp=drive_link" TargetMode="External"/><Relationship Id="rId13" Type="http://schemas.openxmlformats.org/officeDocument/2006/relationships/hyperlink" Target="https://drive.google.com/file/d/1tI1R_ClqJh3owRjEv_SYNvsdBmVBIp6Q/view?usp=drive_link" TargetMode="External"/><Relationship Id="rId12" Type="http://schemas.openxmlformats.org/officeDocument/2006/relationships/hyperlink" Target="https://drive.google.com/file/d/1sRgER-MVG4DwXsnhjEh9ub7aj-a2F-Qm/view?usp=drive_link" TargetMode="External"/><Relationship Id="rId91" Type="http://schemas.openxmlformats.org/officeDocument/2006/relationships/hyperlink" Target="https://drive.google.com/file/d/1tI1R_ClqJh3owRjEv_SYNvsdBmVBIp6Q/view?usp=drive_link" TargetMode="External"/><Relationship Id="rId90" Type="http://schemas.openxmlformats.org/officeDocument/2006/relationships/hyperlink" Target="https://drive.google.com/file/d/1u5KHJmBkE6Fy75NHYahlQSju7wif-nuB/view?usp=drive_link" TargetMode="External"/><Relationship Id="rId93" Type="http://schemas.openxmlformats.org/officeDocument/2006/relationships/hyperlink" Target="https://drive.google.com/file/d/1sBlGqyJepqB_VpJePlCMFWWlv7wujd_3/view?usp=drivesdk" TargetMode="External"/><Relationship Id="rId92" Type="http://schemas.openxmlformats.org/officeDocument/2006/relationships/hyperlink" Target="https://drive.google.com/file/d/1sqmMmMS9Q_EFOZfB2YujdOl9r9MiB_zr/view?usp=drive_link" TargetMode="External"/><Relationship Id="rId118" Type="http://schemas.openxmlformats.org/officeDocument/2006/relationships/hyperlink" Target="https://drive.google.com/file/d/1gXtD4bi4L_4Ef1wn6GDWkvVTRclbdbsS/view?usp=drivesdk" TargetMode="External"/><Relationship Id="rId117" Type="http://schemas.openxmlformats.org/officeDocument/2006/relationships/hyperlink" Target="https://drive.google.com/file/d/1gU26-efVtRuAqQidzEXe1_5hcXviFyoW/view?usp=drivesdk" TargetMode="External"/><Relationship Id="rId116" Type="http://schemas.openxmlformats.org/officeDocument/2006/relationships/hyperlink" Target="https://drive.google.com/file/d/1fc1zSHi_6Csvt-ndGN_zSgs7I-Pdo63D/view?usp=drivesdk" TargetMode="External"/><Relationship Id="rId115" Type="http://schemas.openxmlformats.org/officeDocument/2006/relationships/hyperlink" Target="https://drive.google.com/file/d/1ivRs9M5FUAW-4Ofubit7hXAq3BUOWydn/view?usp=drivesdk" TargetMode="External"/><Relationship Id="rId119" Type="http://schemas.openxmlformats.org/officeDocument/2006/relationships/hyperlink" Target="https://drive.google.com/file/d/1gXtD4bi4L_4Ef1wn6GDWkvVTRclbdbsS/view?usp=drivesdk" TargetMode="External"/><Relationship Id="rId15" Type="http://schemas.openxmlformats.org/officeDocument/2006/relationships/hyperlink" Target="https://drive.google.com/file/d/1fhBZzPHI1Xo3EUm452dvpKYYQ6XeL6b4/view?usp=drivesdk" TargetMode="External"/><Relationship Id="rId110" Type="http://schemas.openxmlformats.org/officeDocument/2006/relationships/hyperlink" Target="https://drive.google.com/file/d/1h81mvCPKo8bckM7YS4KLYU1T1AEBnlRU/view?usp=drivesdk" TargetMode="External"/><Relationship Id="rId14" Type="http://schemas.openxmlformats.org/officeDocument/2006/relationships/hyperlink" Target="https://drive.google.com/file/d/1_i6HzPg1QWAOkgo8FK0YIjtW2tfGvAkV/view?usp=drive_link" TargetMode="External"/><Relationship Id="rId17" Type="http://schemas.openxmlformats.org/officeDocument/2006/relationships/hyperlink" Target="https://drive.google.com/file/d/1h81mvCPKo8bckM7YS4KLYU1T1AEBnlRU/view?usp=drivesdk" TargetMode="External"/><Relationship Id="rId16" Type="http://schemas.openxmlformats.org/officeDocument/2006/relationships/hyperlink" Target="https://drive.google.com/file/d/1g4jEFNfWCuA96A3U1M2sz34qc1P1WsUU/view?usp=drivesdk" TargetMode="External"/><Relationship Id="rId19" Type="http://schemas.openxmlformats.org/officeDocument/2006/relationships/hyperlink" Target="https://drive.google.com/file/d/1cxpcrpEm509FoE42ZnYU6V-iyY-SURrK/view?usp=drivesdk" TargetMode="External"/><Relationship Id="rId114" Type="http://schemas.openxmlformats.org/officeDocument/2006/relationships/hyperlink" Target="https://drive.google.com/file/d/1dQg3AyjhmTvecCv9eiXL0xY8Lre_b-5N/view?usp=drivesdk" TargetMode="External"/><Relationship Id="rId18" Type="http://schemas.openxmlformats.org/officeDocument/2006/relationships/hyperlink" Target="https://drive.google.com/file/d/18vinacCqm8GaKYCUe54n1H0LF5v3dpFt/view?usp=drive_link" TargetMode="External"/><Relationship Id="rId113" Type="http://schemas.openxmlformats.org/officeDocument/2006/relationships/hyperlink" Target="https://drive.google.com/file/d/1xFK_8gN2FZhIRMKNZNp9v40_ncwE_ZsE/view?usp=drive_link" TargetMode="External"/><Relationship Id="rId112" Type="http://schemas.openxmlformats.org/officeDocument/2006/relationships/hyperlink" Target="https://drive.google.com/file/d/1giMeSapNoX5ALMJ1L-8hsMuU9-lAQBB_/view?usp=drivesdk" TargetMode="External"/><Relationship Id="rId111" Type="http://schemas.openxmlformats.org/officeDocument/2006/relationships/hyperlink" Target="https://drive.google.com/file/d/1fV2mC2m7tlnGLoTNOY8T3lyUQkAEcrKd/view?usp=drivesdk" TargetMode="External"/><Relationship Id="rId84" Type="http://schemas.openxmlformats.org/officeDocument/2006/relationships/hyperlink" Target="https://drive.google.com/file/d/1iYezwwQETw0hwuKDhiGSr5Gj03GrnwE2/view?usp=drivesdk" TargetMode="External"/><Relationship Id="rId83" Type="http://schemas.openxmlformats.org/officeDocument/2006/relationships/hyperlink" Target="https://drive.google.com/file/d/1g7g8n3KXgbWVVaMLpljiDmd4K2OX3jcX/view?usp=drive_link" TargetMode="External"/><Relationship Id="rId86" Type="http://schemas.openxmlformats.org/officeDocument/2006/relationships/hyperlink" Target="https://drive.google.com/file/d/1ihhrJuTjzcaY00x6huWsfQSiog6dXFRJ/view?usp=drivesdk" TargetMode="External"/><Relationship Id="rId85" Type="http://schemas.openxmlformats.org/officeDocument/2006/relationships/hyperlink" Target="https://drive.google.com/file/d/1iYezwwQETw0hwuKDhiGSr5Gj03GrnwE2/view?usp=drivesdk" TargetMode="External"/><Relationship Id="rId88" Type="http://schemas.openxmlformats.org/officeDocument/2006/relationships/hyperlink" Target="https://drive.google.com/file/d/17-QrrIZJ56Ozrfewmt2rqsJJxJqIfbfK/view?usp=drivesdk" TargetMode="External"/><Relationship Id="rId150" Type="http://schemas.openxmlformats.org/officeDocument/2006/relationships/hyperlink" Target="https://drive.google.com/file/d/1suUZtbgRR5T5D3Q_Hwd5YjnSJ3FFaqUB/view?usp=drive_link" TargetMode="External"/><Relationship Id="rId87" Type="http://schemas.openxmlformats.org/officeDocument/2006/relationships/hyperlink" Target="https://drive.google.com/file/d/1ihhrJuTjzcaY00x6huWsfQSiog6dXFRJ/view?usp=drivesdk" TargetMode="External"/><Relationship Id="rId89" Type="http://schemas.openxmlformats.org/officeDocument/2006/relationships/hyperlink" Target="https://drive.google.com/file/d/1swwKLkyLTEzbqwWlRQBc6akwHTqnMnl3/view?usp=drive_link" TargetMode="External"/><Relationship Id="rId80" Type="http://schemas.openxmlformats.org/officeDocument/2006/relationships/hyperlink" Target="https://drive.google.com/file/d/1gHvVVK6J28XsJ2SIZ1aDASvXP7U5s9rq/view?usp=drivesdk" TargetMode="External"/><Relationship Id="rId82" Type="http://schemas.openxmlformats.org/officeDocument/2006/relationships/hyperlink" Target="https://drive.google.com/file/d/1dJBiAtfC2msnQ9WO2EWKB3RQYJS_wQgO/view?usp=drive_link" TargetMode="External"/><Relationship Id="rId81" Type="http://schemas.openxmlformats.org/officeDocument/2006/relationships/hyperlink" Target="https://drive.google.com/file/d/1gHZR_uqnQE1Na-OLFq_YOopcBQQoC6-_/view?usp=drivesdk" TargetMode="External"/><Relationship Id="rId1" Type="http://schemas.openxmlformats.org/officeDocument/2006/relationships/hyperlink" Target="https://drive.google.com/file/d/1hah219gYOJC8pmlNDsExP7RPKmocOvx2/view?usp=drive_link" TargetMode="External"/><Relationship Id="rId2" Type="http://schemas.openxmlformats.org/officeDocument/2006/relationships/hyperlink" Target="https://drive.google.com/file/d/1hv_w0xgCuDN2fl8IYwG9GcLc3H3b8-g0/view?usp=drive_link" TargetMode="External"/><Relationship Id="rId3" Type="http://schemas.openxmlformats.org/officeDocument/2006/relationships/hyperlink" Target="https://drive.google.com/file/d/1tI1R_ClqJh3owRjEv_SYNvsdBmVBIp6Q/view?usp=drive_link" TargetMode="External"/><Relationship Id="rId149" Type="http://schemas.openxmlformats.org/officeDocument/2006/relationships/hyperlink" Target="https://drive.google.com/file/d/16JrtdxRR-fGwgxau6CHM5o9boK85resn/view?usp=drivesdk" TargetMode="External"/><Relationship Id="rId4" Type="http://schemas.openxmlformats.org/officeDocument/2006/relationships/hyperlink" Target="https://drive.google.com/file/d/1hysUMbOEdnKNNavQRPqqKMecyTxg4Nrf/view?usp=drive_link" TargetMode="External"/><Relationship Id="rId148" Type="http://schemas.openxmlformats.org/officeDocument/2006/relationships/hyperlink" Target="https://drive.google.com/file/d/1tY8k3uRrrERvltgTR_rGzUrMCslOLyRM/view?usp=drive_link" TargetMode="External"/><Relationship Id="rId9" Type="http://schemas.openxmlformats.org/officeDocument/2006/relationships/hyperlink" Target="https://drive.google.com/file/d/1hk_jAg1xzkFVBrbIVLeMoKgRV_DqTmJN/view?usp=drive_link" TargetMode="External"/><Relationship Id="rId143" Type="http://schemas.openxmlformats.org/officeDocument/2006/relationships/hyperlink" Target="https://drive.google.com/file/d/1tgYtpjPkBKiClsIQ0efP0tXsRzJcf2lk/view?usp=drive_link" TargetMode="External"/><Relationship Id="rId142" Type="http://schemas.openxmlformats.org/officeDocument/2006/relationships/hyperlink" Target="https://drive.google.com/file/d/1i0ighlnIwJB7DcjsDIVc-_Mm6NkDqECj/view?usp=drivesdk" TargetMode="External"/><Relationship Id="rId141" Type="http://schemas.openxmlformats.org/officeDocument/2006/relationships/hyperlink" Target="https://drive.google.com/file/d/1s2kywhvOOBLKmMeWLRTLlvYFYhb6skYG/view?usp=drivesdk" TargetMode="External"/><Relationship Id="rId140" Type="http://schemas.openxmlformats.org/officeDocument/2006/relationships/hyperlink" Target="https://drive.google.com/file/d/1s2kywhvOOBLKmMeWLRTLlvYFYhb6skYG/view?usp=drivesdk" TargetMode="External"/><Relationship Id="rId5" Type="http://schemas.openxmlformats.org/officeDocument/2006/relationships/hyperlink" Target="https://drive.google.com/file/d/1x9rtS9IQtV6Hzr7PbnypwPm_kedlnUpE/view?usp=drivesdk" TargetMode="External"/><Relationship Id="rId147" Type="http://schemas.openxmlformats.org/officeDocument/2006/relationships/hyperlink" Target="https://drive.google.com/file/d/1tgYtpjPkBKiClsIQ0efP0tXsRzJcf2lk/view?usp=drive_link" TargetMode="External"/><Relationship Id="rId6" Type="http://schemas.openxmlformats.org/officeDocument/2006/relationships/hyperlink" Target="https://drive.google.com/file/d/1hmjrT75rea1TeErSZNWdtUvsxKWbmJaY/view?usp=drive_link" TargetMode="External"/><Relationship Id="rId146" Type="http://schemas.openxmlformats.org/officeDocument/2006/relationships/hyperlink" Target="https://drive.google.com/file/d/1tgYtpjPkBKiClsIQ0efP0tXsRzJcf2lk/view?usp=drive_link" TargetMode="External"/><Relationship Id="rId7" Type="http://schemas.openxmlformats.org/officeDocument/2006/relationships/hyperlink" Target="https://drive.google.com/file/d/1i00qwrqmKL2myeIlwStpPycp6RHPf0XP/view?usp=drive_link" TargetMode="External"/><Relationship Id="rId145" Type="http://schemas.openxmlformats.org/officeDocument/2006/relationships/hyperlink" Target="https://drive.google.com/file/d/1tgYtpjPkBKiClsIQ0efP0tXsRzJcf2lk/view?usp=drive_link" TargetMode="External"/><Relationship Id="rId8" Type="http://schemas.openxmlformats.org/officeDocument/2006/relationships/hyperlink" Target="https://drive.google.com/file/d/1hs-QZOi0vP9HUqVQ_OWQmldmO8ojH0rZ/view?usp=drive_link" TargetMode="External"/><Relationship Id="rId144" Type="http://schemas.openxmlformats.org/officeDocument/2006/relationships/hyperlink" Target="https://drive.google.com/file/d/1tgYtpjPkBKiClsIQ0efP0tXsRzJcf2lk/view?usp=drive_link" TargetMode="External"/><Relationship Id="rId73" Type="http://schemas.openxmlformats.org/officeDocument/2006/relationships/hyperlink" Target="https://drive.google.com/file/d/1gXszB_CmLdpNRzhwvmQ_RR0E7azjiGxM/view?usp=drivesdk" TargetMode="External"/><Relationship Id="rId72" Type="http://schemas.openxmlformats.org/officeDocument/2006/relationships/hyperlink" Target="https://drive.google.com/file/d/1gXszB_CmLdpNRzhwvmQ_RR0E7azjiGxM/view?usp=drivesdk" TargetMode="External"/><Relationship Id="rId75" Type="http://schemas.openxmlformats.org/officeDocument/2006/relationships/hyperlink" Target="https://drive.google.com/file/d/1gXtD4bi4L_4Ef1wn6GDWkvVTRclbdbsS/view?usp=drivesdk" TargetMode="External"/><Relationship Id="rId74" Type="http://schemas.openxmlformats.org/officeDocument/2006/relationships/hyperlink" Target="https://drive.google.com/file/d/1cxpcrpEm509FoE42ZnYU6V-iyY-SURrK/view?usp=drivesdk" TargetMode="External"/><Relationship Id="rId77" Type="http://schemas.openxmlformats.org/officeDocument/2006/relationships/hyperlink" Target="https://drive.google.com/file/d/1EvjVw0OVw_p-lgy1Skjpt7UGZCxf_Nm1/view?usp=drive_link" TargetMode="External"/><Relationship Id="rId76" Type="http://schemas.openxmlformats.org/officeDocument/2006/relationships/hyperlink" Target="https://drive.google.com/file/d/1gWE223wkukQLs0LQITmYVaAELJZExSwL/view?usp=drivesdk" TargetMode="External"/><Relationship Id="rId79" Type="http://schemas.openxmlformats.org/officeDocument/2006/relationships/hyperlink" Target="https://drive.google.com/file/d/1gRQdHq28TC4zS4NgO0A45rU_T1UVshk7/view?usp=drivesdk" TargetMode="External"/><Relationship Id="rId78" Type="http://schemas.openxmlformats.org/officeDocument/2006/relationships/hyperlink" Target="https://drive.google.com/file/d/1tamF1tOWK5mQBs1-EfkkK_dt0kEDNs5u/view?usp=drivesdk" TargetMode="External"/><Relationship Id="rId71" Type="http://schemas.openxmlformats.org/officeDocument/2006/relationships/hyperlink" Target="https://drive.google.com/file/d/1dHfU6iAMprNiXotWW0Dh5Yn1xvTHV-IU/view?usp=drive_link" TargetMode="External"/><Relationship Id="rId70" Type="http://schemas.openxmlformats.org/officeDocument/2006/relationships/hyperlink" Target="https://drive.google.com/file/d/1cv4RyHS0OuN20w3EZE2caQiwqTbFbxZo/view?usp=drive_link" TargetMode="External"/><Relationship Id="rId139" Type="http://schemas.openxmlformats.org/officeDocument/2006/relationships/hyperlink" Target="https://drive.google.com/file/d/1sfGzXjkDCl8Lf8QQdcOF229O9nk6rciB/view?usp=drivesdk" TargetMode="External"/><Relationship Id="rId138" Type="http://schemas.openxmlformats.org/officeDocument/2006/relationships/hyperlink" Target="https://drive.google.com/file/d/1sqSZN4Z9ABmQcwub4VSwb13KSlI017G3/view?usp=drivesdk" TargetMode="External"/><Relationship Id="rId137" Type="http://schemas.openxmlformats.org/officeDocument/2006/relationships/hyperlink" Target="https://drive.google.com/file/d/1tgu6gYP4YMKAc4689krPEwQgaP2EMkAW/view?usp=drivesdk" TargetMode="External"/><Relationship Id="rId132" Type="http://schemas.openxmlformats.org/officeDocument/2006/relationships/hyperlink" Target="https://drive.google.com/file/d/1sVrWgfc_ctebbxvllKNj5Ebrl6gxxztX/view?usp=drive_link" TargetMode="External"/><Relationship Id="rId131" Type="http://schemas.openxmlformats.org/officeDocument/2006/relationships/hyperlink" Target="https://drive.google.com/file/d/1sPJJ_VmT5rEIeNHhs4MrjW4ZDV_NWfg3/view?usp=drivesdk" TargetMode="External"/><Relationship Id="rId130" Type="http://schemas.openxmlformats.org/officeDocument/2006/relationships/hyperlink" Target="https://drive.google.com/file/d/1sktfp3RZcnotGtRdd6qX1Z8GxJr6WXnW/view?usp=drivesdk" TargetMode="External"/><Relationship Id="rId136" Type="http://schemas.openxmlformats.org/officeDocument/2006/relationships/hyperlink" Target="https://drive.google.com/file/d/1s-64o91DsCQtSFp_MnzwjUvjbn4_jvP-/view?usp=drivesdk" TargetMode="External"/><Relationship Id="rId135" Type="http://schemas.openxmlformats.org/officeDocument/2006/relationships/hyperlink" Target="https://drive.google.com/file/d/1sKYzHST4nDPZv1znSL3y4S3l4yAE_S9m/view?usp=drivesdk" TargetMode="External"/><Relationship Id="rId134" Type="http://schemas.openxmlformats.org/officeDocument/2006/relationships/hyperlink" Target="https://drive.google.com/file/d/1t_qq6cBYpaeUw2ViE1nbpYz10vPMUldK/view?usp=drivesdk" TargetMode="External"/><Relationship Id="rId133" Type="http://schemas.openxmlformats.org/officeDocument/2006/relationships/hyperlink" Target="https://drive.google.com/file/d/1tVWfmuSxPQszRAJSWPXO7maMywCwsqlH/view?usp=drivesdk" TargetMode="External"/><Relationship Id="rId62" Type="http://schemas.openxmlformats.org/officeDocument/2006/relationships/hyperlink" Target="https://drive.google.com/open?id=1WzEA9vlju_9fzvy_s-b_xdnZzLM4Jcbr" TargetMode="External"/><Relationship Id="rId61" Type="http://schemas.openxmlformats.org/officeDocument/2006/relationships/hyperlink" Target="https://drive.google.com/file/d/1tgYtpjPkBKiClsIQ0efP0tXsRzJcf2lk/view?usp=drive_link" TargetMode="External"/><Relationship Id="rId64" Type="http://schemas.openxmlformats.org/officeDocument/2006/relationships/hyperlink" Target="https://drive.google.com/file/d/1suBrngQ9r3Vidvi1kHOGPGJjFjl65utd/view?usp=drive_link" TargetMode="External"/><Relationship Id="rId63" Type="http://schemas.openxmlformats.org/officeDocument/2006/relationships/hyperlink" Target="https://drive.google.com/file/d/1srb4ZheBJ4ZccaVATBOXLvjDTK2vqvVu/view?usp=drive_link" TargetMode="External"/><Relationship Id="rId66" Type="http://schemas.openxmlformats.org/officeDocument/2006/relationships/hyperlink" Target="https://drive.google.com/file/d/13VJ8R6TgEVJhiKwU_2_1UyHUeGe0V8Z6/view?usp=drive_link" TargetMode="External"/><Relationship Id="rId65" Type="http://schemas.openxmlformats.org/officeDocument/2006/relationships/hyperlink" Target="https://drive.google.com/file/d/1pPM2QWUS1FX66Vm4uj95E1q1mmgrl4Bg/view?usp=drive_link" TargetMode="External"/><Relationship Id="rId68" Type="http://schemas.openxmlformats.org/officeDocument/2006/relationships/hyperlink" Target="https://drive.google.com/file/d/1b6DCF-YpK7lqGEUhBrQYTqdPgsbMokjL/view?usp=drive_link" TargetMode="External"/><Relationship Id="rId67" Type="http://schemas.openxmlformats.org/officeDocument/2006/relationships/hyperlink" Target="https://drive.google.com/file/d/1gXszB_CmLdpNRzhwvmQ_RR0E7azjiGxM/view?usp=drive_link" TargetMode="External"/><Relationship Id="rId60" Type="http://schemas.openxmlformats.org/officeDocument/2006/relationships/hyperlink" Target="https://drive.google.com/file/d/1dB_cedOGF4iK5_Qc7a6biMSaPD39eLTK/view?usp=drive_link" TargetMode="External"/><Relationship Id="rId165" Type="http://schemas.openxmlformats.org/officeDocument/2006/relationships/hyperlink" Target="https://drive.google.com/file/d/1dGAnJ7Jx1HSa8Gxrv2Bn3-cjmDW_fMBe/view?usp=drive_link" TargetMode="External"/><Relationship Id="rId69" Type="http://schemas.openxmlformats.org/officeDocument/2006/relationships/hyperlink" Target="https://drive.google.com/file/d/1w8vkHvQlhGKjw5dAY554d2NUE3QQMgwu/view?usp=drive_link" TargetMode="External"/><Relationship Id="rId164" Type="http://schemas.openxmlformats.org/officeDocument/2006/relationships/hyperlink" Target="https://drive.google.com/file/d/12en0w2oEc5l-E6VEsCELs7RaqFVRouAj/view?usp=drive_link" TargetMode="External"/><Relationship Id="rId163" Type="http://schemas.openxmlformats.org/officeDocument/2006/relationships/hyperlink" Target="https://drive.google.com/file/d/12en0w2oEc5l-E6VEsCELs7RaqFVRouAj/view?usp=drive_link" TargetMode="External"/><Relationship Id="rId162" Type="http://schemas.openxmlformats.org/officeDocument/2006/relationships/hyperlink" Target="https://drive.google.com/file/d/1lVqdJ5wO-9uv9G5qgLEBA0357b6ONS-u/view?usp=drive_link" TargetMode="External"/><Relationship Id="rId167" Type="http://schemas.openxmlformats.org/officeDocument/2006/relationships/drawing" Target="../drawings/drawing1.xml"/><Relationship Id="rId166" Type="http://schemas.openxmlformats.org/officeDocument/2006/relationships/hyperlink" Target="https://drive.google.com/file/d/1U-JgoBgnofRvMI5M8j8JfE15lYKSf61O/view?usp=drive_link" TargetMode="External"/><Relationship Id="rId51" Type="http://schemas.openxmlformats.org/officeDocument/2006/relationships/hyperlink" Target="https://drive.google.com/file/d/1dQg3AyjhmTvecCv9eiXL0xY8Lre_b-5N/view?usp=drivesdk" TargetMode="External"/><Relationship Id="rId50" Type="http://schemas.openxmlformats.org/officeDocument/2006/relationships/hyperlink" Target="https://drive.google.com/file/d/1dQg3AyjhmTvecCv9eiXL0xY8Lre_b-5N/view?usp=drivesdk" TargetMode="External"/><Relationship Id="rId53" Type="http://schemas.openxmlformats.org/officeDocument/2006/relationships/hyperlink" Target="https://drive.google.com/file/d/1cUu5GJZqb_gwRqsVmfv1hddzmIrrIXpf/view?usp=drivesdk" TargetMode="External"/><Relationship Id="rId52" Type="http://schemas.openxmlformats.org/officeDocument/2006/relationships/hyperlink" Target="https://drive.google.com/file/d/1g5UODsqaePbAIIbElCK0YIStD6WduwrW/view?usp=drivesdk" TargetMode="External"/><Relationship Id="rId55" Type="http://schemas.openxmlformats.org/officeDocument/2006/relationships/hyperlink" Target="https://drive.google.com/file/d/1fZo2gVNO_LL1GquMDc57U-LIa2AkUOVq/view?usp=drivesdk" TargetMode="External"/><Relationship Id="rId161" Type="http://schemas.openxmlformats.org/officeDocument/2006/relationships/hyperlink" Target="https://drive.google.com/file/d/1PMEcqWieTaotPur00UXUMdLf4RwUNFdT/view?usp=drive_link" TargetMode="External"/><Relationship Id="rId54" Type="http://schemas.openxmlformats.org/officeDocument/2006/relationships/hyperlink" Target="https://drive.google.com/file/d/1R_PYFt0MXjNe0y1IKD_QayM5Om2ON9Ov/view?usp=drive_link" TargetMode="External"/><Relationship Id="rId160" Type="http://schemas.openxmlformats.org/officeDocument/2006/relationships/hyperlink" Target="https://drive.google.com/file/d/1hCJYWCQ4tHlXp2BljaZA6JTHpzQ2MJrH/view?usp=drive_link" TargetMode="External"/><Relationship Id="rId57" Type="http://schemas.openxmlformats.org/officeDocument/2006/relationships/hyperlink" Target="https://drive.google.com/file/d/1kaL9cipM5y93p-5w2wZ54ART9xfM8mVL/view?usp=drivesdk" TargetMode="External"/><Relationship Id="rId56" Type="http://schemas.openxmlformats.org/officeDocument/2006/relationships/hyperlink" Target="https://drive.google.com/file/d/1fZk5ZSux69GgorX4EAC0djAWRwojkq-j/view?usp=drivesdk" TargetMode="External"/><Relationship Id="rId159" Type="http://schemas.openxmlformats.org/officeDocument/2006/relationships/hyperlink" Target="https://drive.google.com/file/d/1d2TG7ucmfzpduhhPcQJzz3WGKGpT2cL8/view?usp=drive_link" TargetMode="External"/><Relationship Id="rId59" Type="http://schemas.openxmlformats.org/officeDocument/2006/relationships/hyperlink" Target="https://drive.google.com/file/d/1chvfGdQK5zw8mbGdicKVZvHY-8oPrB6B/view?usp=drive_link" TargetMode="External"/><Relationship Id="rId154" Type="http://schemas.openxmlformats.org/officeDocument/2006/relationships/hyperlink" Target="https://drive.google.com/file/d/15iZuJCY2sm4epiDuj0J691gr_bODlH5i/view?usp=drive_link" TargetMode="External"/><Relationship Id="rId58" Type="http://schemas.openxmlformats.org/officeDocument/2006/relationships/hyperlink" Target="https://drive.google.com/file/d/1ggCKiKYsw2b61Fs88YS2ZeY7ldflpmfA/view?usp=drivesdk" TargetMode="External"/><Relationship Id="rId153" Type="http://schemas.openxmlformats.org/officeDocument/2006/relationships/hyperlink" Target="https://drive.google.com/file/d/1ia3zrLrMxHcF4E_uAzMDh3epem0N56WN/view?usp=drivesdk" TargetMode="External"/><Relationship Id="rId152" Type="http://schemas.openxmlformats.org/officeDocument/2006/relationships/hyperlink" Target="https://drive.google.com/file/d/1tAfwrzRGriK7h1V-k_-DCnmiq38RSETA/view?usp=drivesdk" TargetMode="External"/><Relationship Id="rId151" Type="http://schemas.openxmlformats.org/officeDocument/2006/relationships/hyperlink" Target="https://drive.google.com/file/d/1iy11Qorxiyr4jcgXarztGpqbuepyu_gh/view?usp=drivesdk" TargetMode="External"/><Relationship Id="rId158" Type="http://schemas.openxmlformats.org/officeDocument/2006/relationships/hyperlink" Target="https://drive.google.com/file/d/1dDiH06MTHHC260fdB9u5B55PZioMZ8dL/view?usp=drive_link" TargetMode="External"/><Relationship Id="rId157" Type="http://schemas.openxmlformats.org/officeDocument/2006/relationships/hyperlink" Target="https://drive.google.com/file/d/1imyBhUFC5mP9dXeHQwDLeQACHJWQrFRJ/view?usp=drive_link" TargetMode="External"/><Relationship Id="rId156" Type="http://schemas.openxmlformats.org/officeDocument/2006/relationships/hyperlink" Target="https://drive.google.com/file/d/1H4pJqFKf9S1JSoEoEZePLsQekP4FKVcH/view?usp=drive_link" TargetMode="External"/><Relationship Id="rId155" Type="http://schemas.openxmlformats.org/officeDocument/2006/relationships/hyperlink" Target="https://drive.google.com/file/d/1n0a7l4-pKfIt22PDu-H9cZSdjuMJxZw-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s6zuSdkg88XkBC2Lg9veqOzENkAa4JYB/view?usp=drive_link" TargetMode="External"/><Relationship Id="rId10" Type="http://schemas.openxmlformats.org/officeDocument/2006/relationships/hyperlink" Target="https://drive.google.com/file/d/1j2sMWi8H6HIr6z6UjCdcDy8aPfxJZYu4/view?usp=drivesdk" TargetMode="External"/><Relationship Id="rId12" Type="http://schemas.openxmlformats.org/officeDocument/2006/relationships/drawing" Target="../drawings/drawing3.xml"/><Relationship Id="rId1" Type="http://schemas.openxmlformats.org/officeDocument/2006/relationships/hyperlink" Target="https://drive.google.com/file/d/12en0w2oEc5l-E6VEsCELs7RaqFVRouAj/view?usp=drive_link" TargetMode="External"/><Relationship Id="rId2" Type="http://schemas.openxmlformats.org/officeDocument/2006/relationships/hyperlink" Target="https://drive.google.com/file/d/1gc2dpbUcByv9WOYBW7DCNQZQUZ1fr4uV/view?usp=drivesdk" TargetMode="External"/><Relationship Id="rId3" Type="http://schemas.openxmlformats.org/officeDocument/2006/relationships/hyperlink" Target="https://drive.google.com/file/d/1pPM2QWUS1FX66Vm4uj95E1q1mmgrl4Bg/view?usp=drive_link" TargetMode="External"/><Relationship Id="rId4" Type="http://schemas.openxmlformats.org/officeDocument/2006/relationships/hyperlink" Target="https://drive.google.com/file/d/1H4pJqFKf9S1JSoEoEZePLsQekP4FKVcH/view?usp=drive_link" TargetMode="External"/><Relationship Id="rId9" Type="http://schemas.openxmlformats.org/officeDocument/2006/relationships/hyperlink" Target="https://drive.google.com/file/d/1j2sMWi8H6HIr6z6UjCdcDy8aPfxJZYu4/view?usp=drivesdk" TargetMode="External"/><Relationship Id="rId5" Type="http://schemas.openxmlformats.org/officeDocument/2006/relationships/hyperlink" Target="https://drive.google.com/file/d/1gRQdHq28TC4zS4NgO0A45rU_T1UVshk7/view?usp=drivesdk" TargetMode="External"/><Relationship Id="rId6" Type="http://schemas.openxmlformats.org/officeDocument/2006/relationships/hyperlink" Target="https://drive.google.com/file/d/1dJcFati3jb3C82mETm96-02gPPYGX3Sw/view?usp=drivesdk" TargetMode="External"/><Relationship Id="rId7" Type="http://schemas.openxmlformats.org/officeDocument/2006/relationships/hyperlink" Target="https://drive.google.com/file/d/1hPd8n7F3z-Vi1ZrIiV_pk2Wvs4PjTNAv/view?usp=drivesdk" TargetMode="External"/><Relationship Id="rId8" Type="http://schemas.openxmlformats.org/officeDocument/2006/relationships/hyperlink" Target="https://drive.google.com/file/d/1h81mvCPKo8bckM7YS4KLYU1T1AEBnlRU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2en0w2oEc5l-E6VEsCELs7RaqFVRouAj/view?usp=drive_link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71.5"/>
    <col customWidth="1" min="3" max="3" width="15.25"/>
    <col customWidth="1" min="4" max="4" width="18.38"/>
    <col customWidth="1" min="5" max="5" width="17.5"/>
    <col customWidth="1" min="6" max="6" width="17.25"/>
    <col customWidth="1" min="7" max="7" width="6.0"/>
    <col customWidth="1" min="8" max="8" width="12.38"/>
    <col customWidth="1" min="9" max="9" width="17.75"/>
    <col customWidth="1" min="10" max="10" width="6.0"/>
    <col customWidth="1" min="11" max="11" width="12.38"/>
    <col customWidth="1" min="12" max="12" width="16.25"/>
    <col customWidth="1" min="13" max="13" width="6.0"/>
    <col customWidth="1" min="14" max="14" width="13.38"/>
  </cols>
  <sheetData>
    <row r="1">
      <c r="A1" s="1" t="str">
        <f>IFERROR(__xludf.DUMMYFUNCTION("ARRAYFORMULA(IMPORTRANGE(""https://docs.google.com/spreadsheets/d/1iWfgTn_Pi02Cgzvv2hNxbn5R87Czwggoktc9asHRCjo/"",""Номенклатура!A1:BG1000""))"),"Номер")</f>
        <v>Номер</v>
      </c>
      <c r="B1" s="3" t="str">
        <f>IFERROR(__xludf.DUMMYFUNCTION("""COMPUTED_VALUE"""),"Описание")</f>
        <v>Описание</v>
      </c>
      <c r="C1" s="3" t="str">
        <f>IFERROR(__xludf.DUMMYFUNCTION("""COMPUTED_VALUE"""),"Цена на ал в 1 бр.")</f>
        <v>Цена на ал в 1 бр.</v>
      </c>
      <c r="D1" s="3" t="str">
        <f>IFERROR(__xludf.DUMMYFUNCTION("""COMPUTED_VALUE"""),"Премахване на 0-лите")</f>
        <v>Премахване на 0-лите</v>
      </c>
      <c r="E1" s="3" t="str">
        <f>IFERROR(__xludf.DUMMYFUNCTION("""COMPUTED_VALUE"""),"Процент АЛ в детайл")</f>
        <v>Процент АЛ в детайл</v>
      </c>
      <c r="F1" s="3" t="str">
        <f>IFERROR(__xludf.DUMMYFUNCTION("""COMPUTED_VALUE"""),"Видове АL")</f>
        <v>Видове АL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</row>
    <row r="2">
      <c r="A2" s="1"/>
      <c r="B2" s="3"/>
      <c r="C2" s="3"/>
      <c r="D2" s="3"/>
      <c r="E2" s="3"/>
      <c r="F2" s="3" t="str">
        <f>IFERROR(__xludf.DUMMYFUNCTION("""COMPUTED_VALUE"""),"Вид AL за тялото")</f>
        <v>Вид AL за тялото</v>
      </c>
      <c r="G2" s="3" t="str">
        <f>IFERROR(__xludf.DUMMYFUNCTION("""COMPUTED_VALUE"""),"Тегло")</f>
        <v>Тегло</v>
      </c>
      <c r="H2" s="3" t="str">
        <f>IFERROR(__xludf.DUMMYFUNCTION("""COMPUTED_VALUE"""),"Цена")</f>
        <v>Цена</v>
      </c>
      <c r="I2" s="3" t="str">
        <f>IFERROR(__xludf.DUMMYFUNCTION("""COMPUTED_VALUE"""),"Вид AL за Пр. Капаци")</f>
        <v>Вид AL за Пр. Капаци</v>
      </c>
      <c r="J2" s="3" t="str">
        <f>IFERROR(__xludf.DUMMYFUNCTION("""COMPUTED_VALUE"""),"Тегло")</f>
        <v>Тегло</v>
      </c>
      <c r="K2" s="3" t="str">
        <f>IFERROR(__xludf.DUMMYFUNCTION("""COMPUTED_VALUE"""),"Цена")</f>
        <v>Цена</v>
      </c>
      <c r="L2" s="3" t="str">
        <f>IFERROR(__xludf.DUMMYFUNCTION("""COMPUTED_VALUE"""),"Вид AL за З.Капаци")</f>
        <v>Вид AL за З.Капаци</v>
      </c>
      <c r="M2" s="3" t="str">
        <f>IFERROR(__xludf.DUMMYFUNCTION("""COMPUTED_VALUE"""),"Тегло")</f>
        <v>Тегло</v>
      </c>
      <c r="N2" s="3" t="str">
        <f>IFERROR(__xludf.DUMMYFUNCTION("""COMPUTED_VALUE"""),"Цена")</f>
        <v>Цена</v>
      </c>
      <c r="O2" s="3"/>
      <c r="P2" s="3" t="str">
        <f>IFERROR(__xludf.DUMMYFUNCTION("""COMPUTED_VALUE"""),"R Вар. 25 (0.21 .107BGN/unit- .kg/unit;  2.904BGN/unit- .kg/unit; 0.317 .BGN/unit- .kg/unit)")</f>
        <v>R Вар. 25 (0.21 .107BGN/unit- .kg/unit;  2.904BGN/unit- .kg/unit; 0.317 .BGN/unit- .kg/unit)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</row>
    <row r="3">
      <c r="A3" s="20" t="str">
        <f>IFERROR(__xludf.DUMMYFUNCTION("""COMPUTED_VALUE"""),"575-60044")</f>
        <v>575-60044</v>
      </c>
      <c r="B3" s="22" t="str">
        <f>IFERROR(__xludf.DUMMYFUNCTION("""COMPUTED_VALUE"""),"DC60 Multiturn Body 3/8'' shaft; Nitrile seal Sq. Flange Side PG9 conn")</f>
        <v>DC60 Multiturn Body 3/8'' shaft; Nitrile seal Sq. Flange Side PG9 conn</v>
      </c>
      <c r="C3" s="23">
        <f>IFERROR(__xludf.DUMMYFUNCTION("""COMPUTED_VALUE"""),2.9035)</f>
        <v>2.9035</v>
      </c>
      <c r="D3" s="23">
        <f>IFERROR(__xludf.DUMMYFUNCTION("""COMPUTED_VALUE"""),2.9035)</f>
        <v>2.9035</v>
      </c>
      <c r="E3" s="25" t="str">
        <f>IFERROR(__xludf.DUMMYFUNCTION("""COMPUTED_VALUE"""),"")</f>
        <v/>
      </c>
      <c r="F3" s="2" t="str">
        <f>IFERROR(__xludf.DUMMYFUNCTION("""COMPUTED_VALUE"""),"Ф62 AL 2017 Italy")</f>
        <v>Ф62 AL 2017 Italy</v>
      </c>
      <c r="G3" s="27">
        <f>IFERROR(__xludf.DUMMYFUNCTION("""COMPUTED_VALUE"""),0.21)</f>
        <v>0.21</v>
      </c>
      <c r="H3" s="23">
        <f>IFERROR(__xludf.DUMMYFUNCTION("""COMPUTED_VALUE"""),2.7216)</f>
        <v>2.7216</v>
      </c>
      <c r="I3" s="2" t="str">
        <f>IFERROR(__xludf.DUMMYFUNCTION("""COMPUTED_VALUE"""),"AL USA (pc.)")</f>
        <v>AL USA (pc.)</v>
      </c>
      <c r="J3" s="27">
        <f>IFERROR(__xludf.DUMMYFUNCTION("""COMPUTED_VALUE"""),0.107)</f>
        <v>0.107</v>
      </c>
      <c r="K3" s="23">
        <f>IFERROR(__xludf.DUMMYFUNCTION("""COMPUTED_VALUE"""),0.18189999999999998)</f>
        <v>0.1819</v>
      </c>
      <c r="L3" s="2" t="str">
        <f>IFERROR(__xludf.DUMMYFUNCTION("""COMPUTED_VALUE"""),"")</f>
        <v/>
      </c>
      <c r="M3" s="27" t="str">
        <f>IFERROR(__xludf.DUMMYFUNCTION("""COMPUTED_VALUE"""),"")</f>
        <v/>
      </c>
      <c r="N3" s="23" t="str">
        <f>IFERROR(__xludf.DUMMYFUNCTION("""COMPUTED_VALUE"""),"")</f>
        <v/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2" t="str">
        <f>IFERROR(__xludf.DUMMYFUNCTION("""COMPUTED_VALUE"""),"575-91001-9")</f>
        <v>575-91001-9</v>
      </c>
      <c r="B4" s="22" t="str">
        <f>IFERROR(__xludf.DUMMYFUNCTION("""COMPUTED_VALUE"""),"DC25FS &lt;/= 9 min IP69Kw hole on shaft no knurl M12 side conn. HARSCO")</f>
        <v>DC25FS &lt;/= 9 min IP69Kw hole on shaft no knurl M12 side conn. HARSCO</v>
      </c>
      <c r="C4" s="23">
        <f>IFERROR(__xludf.DUMMYFUNCTION("""COMPUTED_VALUE"""),3.94836)</f>
        <v>3.94836</v>
      </c>
      <c r="D4" s="23">
        <f>IFERROR(__xludf.DUMMYFUNCTION("""COMPUTED_VALUE"""),3.94836)</f>
        <v>3.94836</v>
      </c>
      <c r="E4" s="25" t="str">
        <f>IFERROR(__xludf.DUMMYFUNCTION("""COMPUTED_VALUE"""),"")</f>
        <v/>
      </c>
      <c r="F4" s="2" t="str">
        <f>IFERROR(__xludf.DUMMYFUNCTION("""COMPUTED_VALUE"""),"Ф65 AL 2017 Italy")</f>
        <v>Ф65 AL 2017 Italy</v>
      </c>
      <c r="G4" s="27">
        <f>IFERROR(__xludf.DUMMYFUNCTION("""COMPUTED_VALUE"""),0.234)</f>
        <v>0.234</v>
      </c>
      <c r="H4" s="23">
        <f>IFERROR(__xludf.DUMMYFUNCTION("""COMPUTED_VALUE"""),3.0326400000000002)</f>
        <v>3.03264</v>
      </c>
      <c r="I4" s="2" t="str">
        <f>IFERROR(__xludf.DUMMYFUNCTION("""COMPUTED_VALUE"""),"AL USA")</f>
        <v>AL USA</v>
      </c>
      <c r="J4" s="27">
        <f>IFERROR(__xludf.DUMMYFUNCTION("""COMPUTED_VALUE"""),0.066)</f>
        <v>0.066</v>
      </c>
      <c r="K4" s="23">
        <f>IFERROR(__xludf.DUMMYFUNCTION("""COMPUTED_VALUE"""),0.11220000000000001)</f>
        <v>0.1122</v>
      </c>
      <c r="L4" s="2" t="str">
        <f>IFERROR(__xludf.DUMMYFUNCTION("""COMPUTED_VALUE"""),"Ф65 AL 2017 Italy")</f>
        <v>Ф65 AL 2017 Italy</v>
      </c>
      <c r="M4" s="27">
        <f>IFERROR(__xludf.DUMMYFUNCTION("""COMPUTED_VALUE"""),0.062)</f>
        <v>0.062</v>
      </c>
      <c r="N4" s="23">
        <f>IFERROR(__xludf.DUMMYFUNCTION("""COMPUTED_VALUE"""),0.80352)</f>
        <v>0.80352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tr">
        <f>IFERROR(__xludf.DUMMYFUNCTION("""COMPUTED_VALUE"""),"575-92015")</f>
        <v>575-92015</v>
      </c>
      <c r="B5" s="22" t="str">
        <f>IFERROR(__xludf.DUMMYFUNCTION("""COMPUTED_VALUE"""),"DC25FE, Multiturn Body 5/8"" shaft flange end conn.")</f>
        <v>DC25FE, Multiturn Body 5/8" shaft flange end conn.</v>
      </c>
      <c r="C5" s="23">
        <f>IFERROR(__xludf.DUMMYFUNCTION("""COMPUTED_VALUE"""),3.4419000000000004)</f>
        <v>3.4419</v>
      </c>
      <c r="D5" s="23">
        <f>IFERROR(__xludf.DUMMYFUNCTION("""COMPUTED_VALUE"""),3.4419000000000004)</f>
        <v>3.4419</v>
      </c>
      <c r="E5" s="25" t="str">
        <f>IFERROR(__xludf.DUMMYFUNCTION("""COMPUTED_VALUE"""),"")</f>
        <v/>
      </c>
      <c r="F5" s="2" t="str">
        <f>IFERROR(__xludf.DUMMYFUNCTION("""COMPUTED_VALUE"""),"Ф65 AL 2017 Italy")</f>
        <v>Ф65 AL 2017 Italy</v>
      </c>
      <c r="G5" s="27">
        <f>IFERROR(__xludf.DUMMYFUNCTION("""COMPUTED_VALUE"""),0.24)</f>
        <v>0.24</v>
      </c>
      <c r="H5" s="23">
        <f>IFERROR(__xludf.DUMMYFUNCTION("""COMPUTED_VALUE"""),3.1104000000000003)</f>
        <v>3.1104</v>
      </c>
      <c r="I5" s="2" t="str">
        <f>IFERROR(__xludf.DUMMYFUNCTION("""COMPUTED_VALUE"""),"AL USA")</f>
        <v>AL USA</v>
      </c>
      <c r="J5" s="27">
        <f>IFERROR(__xludf.DUMMYFUNCTION("""COMPUTED_VALUE"""),0.195)</f>
        <v>0.195</v>
      </c>
      <c r="K5" s="23">
        <f>IFERROR(__xludf.DUMMYFUNCTION("""COMPUTED_VALUE"""),0.3315)</f>
        <v>0.3315</v>
      </c>
      <c r="L5" s="2" t="str">
        <f>IFERROR(__xludf.DUMMYFUNCTION("""COMPUTED_VALUE"""),"")</f>
        <v/>
      </c>
      <c r="M5" s="27" t="str">
        <f>IFERROR(__xludf.DUMMYFUNCTION("""COMPUTED_VALUE"""),"")</f>
        <v/>
      </c>
      <c r="N5" s="23" t="str">
        <f>IFERROR(__xludf.DUMMYFUNCTION("""COMPUTED_VALUE"""),"")</f>
        <v/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2" t="str">
        <f>IFERROR(__xludf.DUMMYFUNCTION("""COMPUTED_VALUE"""),"575-93001")</f>
        <v>575-93001</v>
      </c>
      <c r="B6" s="22" t="str">
        <f>IFERROR(__xludf.DUMMYFUNCTION("""COMPUTED_VALUE"""),"H25 Resolver Shaft 5/8"" With MS-16 side conn. w/o seal Short body")</f>
        <v>H25 Resolver Shaft 5/8" With MS-16 side conn. w/o seal Short body</v>
      </c>
      <c r="C6" s="23">
        <f>IFERROR(__xludf.DUMMYFUNCTION("""COMPUTED_VALUE"""),2.0628)</f>
        <v>2.0628</v>
      </c>
      <c r="D6" s="23">
        <f>IFERROR(__xludf.DUMMYFUNCTION("""COMPUTED_VALUE"""),2.0628)</f>
        <v>2.0628</v>
      </c>
      <c r="E6" s="25" t="str">
        <f>IFERROR(__xludf.DUMMYFUNCTION("""COMPUTED_VALUE"""),"")</f>
        <v/>
      </c>
      <c r="F6" s="2" t="str">
        <f>IFERROR(__xludf.DUMMYFUNCTION("""COMPUTED_VALUE"""),"Cast AL Bulgaria (pc.)")</f>
        <v>Cast AL Bulgaria (pc.)</v>
      </c>
      <c r="G6" s="27">
        <f>IFERROR(__xludf.DUMMYFUNCTION("""COMPUTED_VALUE"""),0.213)</f>
        <v>0.213</v>
      </c>
      <c r="H6" s="23">
        <f>IFERROR(__xludf.DUMMYFUNCTION("""COMPUTED_VALUE"""),0.99258)</f>
        <v>0.99258</v>
      </c>
      <c r="I6" s="2" t="str">
        <f>IFERROR(__xludf.DUMMYFUNCTION("""COMPUTED_VALUE"""),"AL USA")</f>
        <v>AL USA</v>
      </c>
      <c r="J6" s="27">
        <f>IFERROR(__xludf.DUMMYFUNCTION("""COMPUTED_VALUE"""),0.195)</f>
        <v>0.195</v>
      </c>
      <c r="K6" s="23">
        <f>IFERROR(__xludf.DUMMYFUNCTION("""COMPUTED_VALUE"""),0.3315)</f>
        <v>0.3315</v>
      </c>
      <c r="L6" s="2" t="str">
        <f>IFERROR(__xludf.DUMMYFUNCTION("""COMPUTED_VALUE"""),"Ф65 AL 2017 Italy")</f>
        <v>Ф65 AL 2017 Italy</v>
      </c>
      <c r="M6" s="27">
        <f>IFERROR(__xludf.DUMMYFUNCTION("""COMPUTED_VALUE"""),0.057)</f>
        <v>0.057</v>
      </c>
      <c r="N6" s="23">
        <f>IFERROR(__xludf.DUMMYFUNCTION("""COMPUTED_VALUE"""),0.73872)</f>
        <v>0.73872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2" t="str">
        <f>IFERROR(__xludf.DUMMYFUNCTION("""COMPUTED_VALUE"""),"H25-FE-06")</f>
        <v>H25-FE-06</v>
      </c>
      <c r="B7" s="22" t="str">
        <f>IFERROR(__xludf.DUMMYFUNCTION("""COMPUTED_VALUE"""),"Transducer 1 Turn Flange Mntaligned at zero degrees With 3mm Key Way, 3/8""shaft")</f>
        <v>Transducer 1 Turn Flange Mntaligned at zero degrees With 3mm Key Way, 3/8"shaft</v>
      </c>
      <c r="C7" s="23">
        <f>IFERROR(__xludf.DUMMYFUNCTION("""COMPUTED_VALUE"""),4.14956)</f>
        <v>4.14956</v>
      </c>
      <c r="D7" s="23">
        <f>IFERROR(__xludf.DUMMYFUNCTION("""COMPUTED_VALUE"""),4.14956)</f>
        <v>4.14956</v>
      </c>
      <c r="E7" s="25" t="str">
        <f>IFERROR(__xludf.DUMMYFUNCTION("""COMPUTED_VALUE"""),"")</f>
        <v/>
      </c>
      <c r="F7" s="2" t="str">
        <f>IFERROR(__xludf.DUMMYFUNCTION("""COMPUTED_VALUE"""),"Ф65 AL 2017 Italy")</f>
        <v>Ф65 AL 2017 Italy</v>
      </c>
      <c r="G7" s="27">
        <f>IFERROR(__xludf.DUMMYFUNCTION("""COMPUTED_VALUE"""),0.311)</f>
        <v>0.311</v>
      </c>
      <c r="H7" s="23">
        <f>IFERROR(__xludf.DUMMYFUNCTION("""COMPUTED_VALUE"""),4.03056)</f>
        <v>4.03056</v>
      </c>
      <c r="I7" s="2" t="str">
        <f>IFERROR(__xludf.DUMMYFUNCTION("""COMPUTED_VALUE"""),"AL USA (pc.)")</f>
        <v>AL USA (pc.)</v>
      </c>
      <c r="J7" s="27">
        <f>IFERROR(__xludf.DUMMYFUNCTION("""COMPUTED_VALUE"""),0.07)</f>
        <v>0.07</v>
      </c>
      <c r="K7" s="23">
        <f>IFERROR(__xludf.DUMMYFUNCTION("""COMPUTED_VALUE"""),0.11900000000000001)</f>
        <v>0.119</v>
      </c>
      <c r="L7" s="2" t="str">
        <f>IFERROR(__xludf.DUMMYFUNCTION("""COMPUTED_VALUE"""),"")</f>
        <v/>
      </c>
      <c r="M7" s="27" t="str">
        <f>IFERROR(__xludf.DUMMYFUNCTION("""COMPUTED_VALUE"""),"")</f>
        <v/>
      </c>
      <c r="N7" s="23" t="str">
        <f>IFERROR(__xludf.DUMMYFUNCTION("""COMPUTED_VALUE"""),"")</f>
        <v/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2" t="str">
        <f>IFERROR(__xludf.DUMMYFUNCTION("""COMPUTED_VALUE"""),"H25-FE")</f>
        <v>H25-FE</v>
      </c>
      <c r="B8" s="22" t="str">
        <f>IFERROR(__xludf.DUMMYFUNCTION("""COMPUTED_VALUE"""),"Size 25 resolver 3/8"" shaft Flange mount End connector 0.95 TR @ 5000 Hz")</f>
        <v>Size 25 resolver 3/8" shaft Flange mount End connector 0.95 TR @ 5000 Hz</v>
      </c>
      <c r="C8" s="23">
        <f>IFERROR(__xludf.DUMMYFUNCTION("""COMPUTED_VALUE"""),4.14956)</f>
        <v>4.14956</v>
      </c>
      <c r="D8" s="23">
        <f>IFERROR(__xludf.DUMMYFUNCTION("""COMPUTED_VALUE"""),4.14956)</f>
        <v>4.14956</v>
      </c>
      <c r="E8" s="25" t="str">
        <f>IFERROR(__xludf.DUMMYFUNCTION("""COMPUTED_VALUE"""),"")</f>
        <v/>
      </c>
      <c r="F8" s="2" t="str">
        <f>IFERROR(__xludf.DUMMYFUNCTION("""COMPUTED_VALUE"""),"Ф65 AL 2017 Italy")</f>
        <v>Ф65 AL 2017 Italy</v>
      </c>
      <c r="G8" s="27">
        <f>IFERROR(__xludf.DUMMYFUNCTION("""COMPUTED_VALUE"""),0.311)</f>
        <v>0.311</v>
      </c>
      <c r="H8" s="23">
        <f>IFERROR(__xludf.DUMMYFUNCTION("""COMPUTED_VALUE"""),4.03056)</f>
        <v>4.03056</v>
      </c>
      <c r="I8" s="2" t="str">
        <f>IFERROR(__xludf.DUMMYFUNCTION("""COMPUTED_VALUE"""),"AL USA (pc.)")</f>
        <v>AL USA (pc.)</v>
      </c>
      <c r="J8" s="27">
        <f>IFERROR(__xludf.DUMMYFUNCTION("""COMPUTED_VALUE"""),0.07)</f>
        <v>0.07</v>
      </c>
      <c r="K8" s="23">
        <f>IFERROR(__xludf.DUMMYFUNCTION("""COMPUTED_VALUE"""),0.11900000000000001)</f>
        <v>0.119</v>
      </c>
      <c r="L8" s="2" t="str">
        <f>IFERROR(__xludf.DUMMYFUNCTION("""COMPUTED_VALUE"""),"")</f>
        <v/>
      </c>
      <c r="M8" s="27" t="str">
        <f>IFERROR(__xludf.DUMMYFUNCTION("""COMPUTED_VALUE"""),"")</f>
        <v/>
      </c>
      <c r="N8" s="23" t="str">
        <f>IFERROR(__xludf.DUMMYFUNCTION("""COMPUTED_VALUE"""),"")</f>
        <v/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 t="str">
        <f>IFERROR(__xludf.DUMMYFUNCTION("""COMPUTED_VALUE"""),"575-60007")</f>
        <v>575-60007</v>
      </c>
      <c r="B9" s="22" t="str">
        <f>IFERROR(__xludf.DUMMYFUNCTION("""COMPUTED_VALUE"""),"NR-60 Multi Body 10mm shaft Nitrile seal Square flange End conn.")</f>
        <v>NR-60 Multi Body 10mm shaft Nitrile seal Square flange End conn.</v>
      </c>
      <c r="C9" s="23">
        <f>IFERROR(__xludf.DUMMYFUNCTION("""COMPUTED_VALUE"""),2.9812600000000002)</f>
        <v>2.98126</v>
      </c>
      <c r="D9" s="23">
        <f>IFERROR(__xludf.DUMMYFUNCTION("""COMPUTED_VALUE"""),2.9812600000000002)</f>
        <v>2.98126</v>
      </c>
      <c r="E9" s="25" t="str">
        <f>IFERROR(__xludf.DUMMYFUNCTION("""COMPUTED_VALUE"""),"")</f>
        <v/>
      </c>
      <c r="F9" s="2" t="str">
        <f>IFERROR(__xludf.DUMMYFUNCTION("""COMPUTED_VALUE"""),"Ф62 AL 2017 Italy")</f>
        <v>Ф62 AL 2017 Italy</v>
      </c>
      <c r="G9" s="27">
        <f>IFERROR(__xludf.DUMMYFUNCTION("""COMPUTED_VALUE"""),0.216)</f>
        <v>0.216</v>
      </c>
      <c r="H9" s="23">
        <f>IFERROR(__xludf.DUMMYFUNCTION("""COMPUTED_VALUE"""),2.79936)</f>
        <v>2.79936</v>
      </c>
      <c r="I9" s="2" t="str">
        <f>IFERROR(__xludf.DUMMYFUNCTION("""COMPUTED_VALUE"""),"AL USA (pc.)")</f>
        <v>AL USA (pc.)</v>
      </c>
      <c r="J9" s="27">
        <f>IFERROR(__xludf.DUMMYFUNCTION("""COMPUTED_VALUE"""),0.107)</f>
        <v>0.107</v>
      </c>
      <c r="K9" s="23">
        <f>IFERROR(__xludf.DUMMYFUNCTION("""COMPUTED_VALUE"""),0.18189999999999998)</f>
        <v>0.1819</v>
      </c>
      <c r="L9" s="2" t="str">
        <f>IFERROR(__xludf.DUMMYFUNCTION("""COMPUTED_VALUE"""),"")</f>
        <v/>
      </c>
      <c r="M9" s="27" t="str">
        <f>IFERROR(__xludf.DUMMYFUNCTION("""COMPUTED_VALUE"""),"")</f>
        <v/>
      </c>
      <c r="N9" s="23" t="str">
        <f>IFERROR(__xludf.DUMMYFUNCTION("""COMPUTED_VALUE"""),"")</f>
        <v/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2" t="str">
        <f>IFERROR(__xludf.DUMMYFUNCTION("""COMPUTED_VALUE"""),"575-91001")</f>
        <v>575-91001</v>
      </c>
      <c r="B10" s="22" t="str">
        <f>IFERROR(__xludf.DUMMYFUNCTION("""COMPUTED_VALUE"""),"DC25FE &lt;/= 9 min 3/8"" sahft flange end conn.")</f>
        <v>DC25FE &lt;/= 9 min 3/8" sahft flange end conn.</v>
      </c>
      <c r="C10" s="23">
        <f>IFERROR(__xludf.DUMMYFUNCTION("""COMPUTED_VALUE"""),3.3849200000000006)</f>
        <v>3.38492</v>
      </c>
      <c r="D10" s="23">
        <f>IFERROR(__xludf.DUMMYFUNCTION("""COMPUTED_VALUE"""),3.3849200000000006)</f>
        <v>3.38492</v>
      </c>
      <c r="E10" s="25" t="str">
        <f>IFERROR(__xludf.DUMMYFUNCTION("""COMPUTED_VALUE"""),"")</f>
        <v/>
      </c>
      <c r="F10" s="2" t="str">
        <f>IFERROR(__xludf.DUMMYFUNCTION("""COMPUTED_VALUE"""),"Ф65 AL 2017 Italy")</f>
        <v>Ф65 AL 2017 Italy</v>
      </c>
      <c r="G10" s="27">
        <f>IFERROR(__xludf.DUMMYFUNCTION("""COMPUTED_VALUE"""),0.252)</f>
        <v>0.252</v>
      </c>
      <c r="H10" s="23">
        <f>IFERROR(__xludf.DUMMYFUNCTION("""COMPUTED_VALUE"""),3.2659200000000004)</f>
        <v>3.26592</v>
      </c>
      <c r="I10" s="2" t="str">
        <f>IFERROR(__xludf.DUMMYFUNCTION("""COMPUTED_VALUE"""),"AL USA (pc.)")</f>
        <v>AL USA (pc.)</v>
      </c>
      <c r="J10" s="27">
        <f>IFERROR(__xludf.DUMMYFUNCTION("""COMPUTED_VALUE"""),0.07)</f>
        <v>0.07</v>
      </c>
      <c r="K10" s="23">
        <f>IFERROR(__xludf.DUMMYFUNCTION("""COMPUTED_VALUE"""),0.11900000000000001)</f>
        <v>0.119</v>
      </c>
      <c r="L10" s="2" t="str">
        <f>IFERROR(__xludf.DUMMYFUNCTION("""COMPUTED_VALUE"""),"")</f>
        <v/>
      </c>
      <c r="M10" s="27" t="str">
        <f>IFERROR(__xludf.DUMMYFUNCTION("""COMPUTED_VALUE"""),"")</f>
        <v/>
      </c>
      <c r="N10" s="23" t="str">
        <f>IFERROR(__xludf.DUMMYFUNCTION("""COMPUTED_VALUE"""),"")</f>
        <v/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2" t="str">
        <f>IFERROR(__xludf.DUMMYFUNCTION("""COMPUTED_VALUE"""),"575-92000")</f>
        <v>575-92000</v>
      </c>
      <c r="B11" s="22" t="str">
        <f>IFERROR(__xludf.DUMMYFUNCTION("""COMPUTED_VALUE"""),"DC25FS Multiturn Body 3/8"" shaft Flange Multiturn Body 3/8"" shaft MS23 side conn")</f>
        <v>DC25FS Multiturn Body 3/8" shaft Flange Multiturn Body 3/8" shaft MS23 side conn</v>
      </c>
      <c r="C11" s="23">
        <f>IFERROR(__xludf.DUMMYFUNCTION("""COMPUTED_VALUE"""),1.1675)</f>
        <v>1.1675</v>
      </c>
      <c r="D11" s="23">
        <f>IFERROR(__xludf.DUMMYFUNCTION("""COMPUTED_VALUE"""),1.1675)</f>
        <v>1.1675</v>
      </c>
      <c r="E11" s="25" t="str">
        <f>IFERROR(__xludf.DUMMYFUNCTION("""COMPUTED_VALUE"""),"")</f>
        <v/>
      </c>
      <c r="F11" s="2" t="str">
        <f>IFERROR(__xludf.DUMMYFUNCTION("""COMPUTED_VALUE"""),"Cast AL Bulgaria (pc.)")</f>
        <v>Cast AL Bulgaria (pc.)</v>
      </c>
      <c r="G11" s="27">
        <f>IFERROR(__xludf.DUMMYFUNCTION("""COMPUTED_VALUE"""),0.225)</f>
        <v>0.225</v>
      </c>
      <c r="H11" s="23">
        <f>IFERROR(__xludf.DUMMYFUNCTION("""COMPUTED_VALUE"""),1.0485)</f>
        <v>1.0485</v>
      </c>
      <c r="I11" s="2" t="str">
        <f>IFERROR(__xludf.DUMMYFUNCTION("""COMPUTED_VALUE"""),"AL USA (pc.)")</f>
        <v>AL USA (pc.)</v>
      </c>
      <c r="J11" s="27">
        <f>IFERROR(__xludf.DUMMYFUNCTION("""COMPUTED_VALUE"""),0.07)</f>
        <v>0.07</v>
      </c>
      <c r="K11" s="23">
        <f>IFERROR(__xludf.DUMMYFUNCTION("""COMPUTED_VALUE"""),0.11900000000000001)</f>
        <v>0.119</v>
      </c>
      <c r="L11" s="2" t="str">
        <f>IFERROR(__xludf.DUMMYFUNCTION("""COMPUTED_VALUE"""),"")</f>
        <v/>
      </c>
      <c r="M11" s="27" t="str">
        <f>IFERROR(__xludf.DUMMYFUNCTION("""COMPUTED_VALUE"""),"")</f>
        <v/>
      </c>
      <c r="N11" s="23" t="str">
        <f>IFERROR(__xludf.DUMMYFUNCTION("""COMPUTED_VALUE"""),"")</f>
        <v/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2" t="str">
        <f>IFERROR(__xludf.DUMMYFUNCTION("""COMPUTED_VALUE"""),"575-92006")</f>
        <v>575-92006</v>
      </c>
      <c r="B12" s="22" t="str">
        <f>IFERROR(__xludf.DUMMYFUNCTION("""COMPUTED_VALUE"""),"DC25FE &lt;/= 9 min 5/8"" shaft flange end conn")</f>
        <v>DC25FE &lt;/= 9 min 5/8" shaft flange end conn</v>
      </c>
      <c r="C12" s="23">
        <f>IFERROR(__xludf.DUMMYFUNCTION("""COMPUTED_VALUE"""),3.5974200000000005)</f>
        <v>3.59742</v>
      </c>
      <c r="D12" s="23">
        <f>IFERROR(__xludf.DUMMYFUNCTION("""COMPUTED_VALUE"""),3.5974200000000005)</f>
        <v>3.59742</v>
      </c>
      <c r="E12" s="25" t="str">
        <f>IFERROR(__xludf.DUMMYFUNCTION("""COMPUTED_VALUE"""),"")</f>
        <v/>
      </c>
      <c r="F12" s="2" t="str">
        <f>IFERROR(__xludf.DUMMYFUNCTION("""COMPUTED_VALUE"""),"Ф65 AL 2017 Italy")</f>
        <v>Ф65 AL 2017 Italy</v>
      </c>
      <c r="G12" s="27">
        <f>IFERROR(__xludf.DUMMYFUNCTION("""COMPUTED_VALUE"""),0.252)</f>
        <v>0.252</v>
      </c>
      <c r="H12" s="23">
        <f>IFERROR(__xludf.DUMMYFUNCTION("""COMPUTED_VALUE"""),3.2659200000000004)</f>
        <v>3.26592</v>
      </c>
      <c r="I12" s="2" t="str">
        <f>IFERROR(__xludf.DUMMYFUNCTION("""COMPUTED_VALUE"""),"AL USA")</f>
        <v>AL USA</v>
      </c>
      <c r="J12" s="27">
        <f>IFERROR(__xludf.DUMMYFUNCTION("""COMPUTED_VALUE"""),0.195)</f>
        <v>0.195</v>
      </c>
      <c r="K12" s="23">
        <f>IFERROR(__xludf.DUMMYFUNCTION("""COMPUTED_VALUE"""),0.3315)</f>
        <v>0.3315</v>
      </c>
      <c r="L12" s="2" t="str">
        <f>IFERROR(__xludf.DUMMYFUNCTION("""COMPUTED_VALUE"""),"")</f>
        <v/>
      </c>
      <c r="M12" s="27" t="str">
        <f>IFERROR(__xludf.DUMMYFUNCTION("""COMPUTED_VALUE"""),"")</f>
        <v/>
      </c>
      <c r="N12" s="23" t="str">
        <f>IFERROR(__xludf.DUMMYFUNCTION("""COMPUTED_VALUE"""),"")</f>
        <v/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2" t="str">
        <f>IFERROR(__xludf.DUMMYFUNCTION("""COMPUTED_VALUE"""),"DC25-2FE")</f>
        <v>DC25-2FE</v>
      </c>
      <c r="B13" s="22" t="str">
        <f>IFERROR(__xludf.DUMMYFUNCTION("""COMPUTED_VALUE"""),"DC25 Housing 2Sp. End conn. 3/8"" shaft ")</f>
        <v>DC25 Housing 2Sp. End conn. 3/8" shaft </v>
      </c>
      <c r="C13" s="23">
        <f>IFERROR(__xludf.DUMMYFUNCTION("""COMPUTED_VALUE"""),3.3849200000000006)</f>
        <v>3.38492</v>
      </c>
      <c r="D13" s="23">
        <f>IFERROR(__xludf.DUMMYFUNCTION("""COMPUTED_VALUE"""),3.3849200000000006)</f>
        <v>3.38492</v>
      </c>
      <c r="E13" s="25" t="str">
        <f>IFERROR(__xludf.DUMMYFUNCTION("""COMPUTED_VALUE"""),"")</f>
        <v/>
      </c>
      <c r="F13" s="2" t="str">
        <f>IFERROR(__xludf.DUMMYFUNCTION("""COMPUTED_VALUE"""),"Ф65 AL 2017 Italy")</f>
        <v>Ф65 AL 2017 Italy</v>
      </c>
      <c r="G13" s="27">
        <f>IFERROR(__xludf.DUMMYFUNCTION("""COMPUTED_VALUE"""),0.252)</f>
        <v>0.252</v>
      </c>
      <c r="H13" s="23">
        <f>IFERROR(__xludf.DUMMYFUNCTION("""COMPUTED_VALUE"""),3.2659200000000004)</f>
        <v>3.26592</v>
      </c>
      <c r="I13" s="2" t="str">
        <f>IFERROR(__xludf.DUMMYFUNCTION("""COMPUTED_VALUE"""),"AL USA (pc.)")</f>
        <v>AL USA (pc.)</v>
      </c>
      <c r="J13" s="27">
        <f>IFERROR(__xludf.DUMMYFUNCTION("""COMPUTED_VALUE"""),0.07)</f>
        <v>0.07</v>
      </c>
      <c r="K13" s="23">
        <f>IFERROR(__xludf.DUMMYFUNCTION("""COMPUTED_VALUE"""),0.11900000000000001)</f>
        <v>0.119</v>
      </c>
      <c r="L13" s="2" t="str">
        <f>IFERROR(__xludf.DUMMYFUNCTION("""COMPUTED_VALUE"""),"")</f>
        <v/>
      </c>
      <c r="M13" s="27" t="str">
        <f>IFERROR(__xludf.DUMMYFUNCTION("""COMPUTED_VALUE"""),"")</f>
        <v/>
      </c>
      <c r="N13" s="23" t="str">
        <f>IFERROR(__xludf.DUMMYFUNCTION("""COMPUTED_VALUE"""),"")</f>
        <v/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2" t="str">
        <f>IFERROR(__xludf.DUMMYFUNCTION("""COMPUTED_VALUE"""),"H25-F1E")</f>
        <v>H25-F1E</v>
      </c>
      <c r="B14" s="22" t="str">
        <f>IFERROR(__xludf.DUMMYFUNCTION("""COMPUTED_VALUE"""),"Transducer 1 Turn C&amp;A Flange TR=0/95; 5KHz end conn.")</f>
        <v>Transducer 1 Turn C&amp;A Flange TR=0/95; 5KHz end conn.</v>
      </c>
      <c r="C14" s="23">
        <f>IFERROR(__xludf.DUMMYFUNCTION("""COMPUTED_VALUE"""),31.05216)</f>
        <v>31.05216</v>
      </c>
      <c r="D14" s="23">
        <f>IFERROR(__xludf.DUMMYFUNCTION("""COMPUTED_VALUE"""),31.05216)</f>
        <v>31.05216</v>
      </c>
      <c r="E14" s="25" t="str">
        <f>IFERROR(__xludf.DUMMYFUNCTION("""COMPUTED_VALUE"""),"")</f>
        <v/>
      </c>
      <c r="F14" s="2" t="str">
        <f>IFERROR(__xludf.DUMMYFUNCTION("""COMPUTED_VALUE"""),"Ф65 AL 2017 Italy")</f>
        <v>Ф65 AL 2017 Italy</v>
      </c>
      <c r="G14" s="27">
        <f>IFERROR(__xludf.DUMMYFUNCTION("""COMPUTED_VALUE"""),0.311)</f>
        <v>0.311</v>
      </c>
      <c r="H14" s="23">
        <f>IFERROR(__xludf.DUMMYFUNCTION("""COMPUTED_VALUE"""),4.03056)</f>
        <v>4.03056</v>
      </c>
      <c r="I14" s="2" t="str">
        <f>IFERROR(__xludf.DUMMYFUNCTION("""COMPUTED_VALUE"""),"Ф65 AL 2017 Italy")</f>
        <v>Ф65 AL 2017 Italy</v>
      </c>
      <c r="J14" s="27">
        <f>IFERROR(__xludf.DUMMYFUNCTION("""COMPUTED_VALUE"""),0.087)</f>
        <v>0.087</v>
      </c>
      <c r="K14" s="23">
        <f>IFERROR(__xludf.DUMMYFUNCTION("""COMPUTED_VALUE"""),1.12752)</f>
        <v>1.12752</v>
      </c>
      <c r="L14" s="2" t="str">
        <f>IFERROR(__xludf.DUMMYFUNCTION("""COMPUTED_VALUE"""),"кв.80 AL2017 Italy")</f>
        <v>кв.80 AL2017 Italy</v>
      </c>
      <c r="M14" s="27">
        <f>IFERROR(__xludf.DUMMYFUNCTION("""COMPUTED_VALUE"""),0.111)</f>
        <v>0.111</v>
      </c>
      <c r="N14" s="23">
        <f>IFERROR(__xludf.DUMMYFUNCTION("""COMPUTED_VALUE"""),25.89408)</f>
        <v>25.89408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2" t="str">
        <f>IFERROR(__xludf.DUMMYFUNCTION("""COMPUTED_VALUE"""),"H25-FS-06")</f>
        <v>H25-FS-06</v>
      </c>
      <c r="B15" s="22" t="str">
        <f>IFERROR(__xludf.DUMMYFUNCTION("""COMPUTED_VALUE"""),"Size 25 resolver 3/8"" shaft Flange mount Side connector w/3 mm keyway")</f>
        <v>Size 25 resolver 3/8" shaft Flange mount Side connector w/3 mm keyway</v>
      </c>
      <c r="C15" s="23">
        <f>IFERROR(__xludf.DUMMYFUNCTION("""COMPUTED_VALUE"""),1.8503)</f>
        <v>1.8503</v>
      </c>
      <c r="D15" s="23">
        <f>IFERROR(__xludf.DUMMYFUNCTION("""COMPUTED_VALUE"""),1.8503)</f>
        <v>1.8503</v>
      </c>
      <c r="E15" s="25" t="str">
        <f>IFERROR(__xludf.DUMMYFUNCTION("""COMPUTED_VALUE"""),"")</f>
        <v/>
      </c>
      <c r="F15" s="2" t="str">
        <f>IFERROR(__xludf.DUMMYFUNCTION("""COMPUTED_VALUE"""),"Cast AL Bulgaria (pc.)")</f>
        <v>Cast AL Bulgaria (pc.)</v>
      </c>
      <c r="G15" s="27">
        <f>IFERROR(__xludf.DUMMYFUNCTION("""COMPUTED_VALUE"""),0.213)</f>
        <v>0.213</v>
      </c>
      <c r="H15" s="23">
        <f>IFERROR(__xludf.DUMMYFUNCTION("""COMPUTED_VALUE"""),0.99258)</f>
        <v>0.99258</v>
      </c>
      <c r="I15" s="2" t="str">
        <f>IFERROR(__xludf.DUMMYFUNCTION("""COMPUTED_VALUE"""),"AL USA (pc.)")</f>
        <v>AL USA (pc.)</v>
      </c>
      <c r="J15" s="27">
        <f>IFERROR(__xludf.DUMMYFUNCTION("""COMPUTED_VALUE"""),0.07)</f>
        <v>0.07</v>
      </c>
      <c r="K15" s="23">
        <f>IFERROR(__xludf.DUMMYFUNCTION("""COMPUTED_VALUE"""),0.11900000000000001)</f>
        <v>0.119</v>
      </c>
      <c r="L15" s="2" t="str">
        <f>IFERROR(__xludf.DUMMYFUNCTION("""COMPUTED_VALUE"""),"Ф65 AL 2017 Italy")</f>
        <v>Ф65 AL 2017 Italy</v>
      </c>
      <c r="M15" s="27">
        <f>IFERROR(__xludf.DUMMYFUNCTION("""COMPUTED_VALUE"""),0.057)</f>
        <v>0.057</v>
      </c>
      <c r="N15" s="23">
        <f>IFERROR(__xludf.DUMMYFUNCTION("""COMPUTED_VALUE"""),0.73872)</f>
        <v>0.73872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2" t="str">
        <f>IFERROR(__xludf.DUMMYFUNCTION("""COMPUTED_VALUE"""),"H25-SE")</f>
        <v>H25-SE</v>
      </c>
      <c r="B16" s="22" t="str">
        <f>IFERROR(__xludf.DUMMYFUNCTION("""COMPUTED_VALUE"""),"Size 25 resolver 3/8"" shaft  servo mount End connector 0.95 0.95 T.R. @5000 Hz")</f>
        <v>Size 25 resolver 3/8" shaft  servo mount End connector 0.95 0.95 T.R. @5000 Hz</v>
      </c>
      <c r="C16" s="23">
        <f>IFERROR(__xludf.DUMMYFUNCTION("""COMPUTED_VALUE"""),4.717440000000001)</f>
        <v>4.71744</v>
      </c>
      <c r="D16" s="23">
        <f>IFERROR(__xludf.DUMMYFUNCTION("""COMPUTED_VALUE"""),4.717440000000001)</f>
        <v>4.71744</v>
      </c>
      <c r="E16" s="25" t="str">
        <f>IFERROR(__xludf.DUMMYFUNCTION("""COMPUTED_VALUE"""),"")</f>
        <v/>
      </c>
      <c r="F16" s="2" t="str">
        <f>IFERROR(__xludf.DUMMYFUNCTION("""COMPUTED_VALUE"""),"Ф65 AL 2017 Italy")</f>
        <v>Ф65 AL 2017 Italy</v>
      </c>
      <c r="G16" s="27">
        <f>IFERROR(__xludf.DUMMYFUNCTION("""COMPUTED_VALUE"""),0.311)</f>
        <v>0.311</v>
      </c>
      <c r="H16" s="23">
        <f>IFERROR(__xludf.DUMMYFUNCTION("""COMPUTED_VALUE"""),4.03056)</f>
        <v>4.03056</v>
      </c>
      <c r="I16" s="2" t="str">
        <f>IFERROR(__xludf.DUMMYFUNCTION("""COMPUTED_VALUE"""),"Ф65 AL 2017 Italy")</f>
        <v>Ф65 AL 2017 Italy</v>
      </c>
      <c r="J16" s="27">
        <f>IFERROR(__xludf.DUMMYFUNCTION("""COMPUTED_VALUE"""),0.053)</f>
        <v>0.053</v>
      </c>
      <c r="K16" s="23">
        <f>IFERROR(__xludf.DUMMYFUNCTION("""COMPUTED_VALUE"""),0.68688)</f>
        <v>0.68688</v>
      </c>
      <c r="L16" s="2" t="str">
        <f>IFERROR(__xludf.DUMMYFUNCTION("""COMPUTED_VALUE"""),"")</f>
        <v/>
      </c>
      <c r="M16" s="27" t="str">
        <f>IFERROR(__xludf.DUMMYFUNCTION("""COMPUTED_VALUE"""),"")</f>
        <v/>
      </c>
      <c r="N16" s="23" t="str">
        <f>IFERROR(__xludf.DUMMYFUNCTION("""COMPUTED_VALUE"""),"")</f>
        <v/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2" t="str">
        <f>IFERROR(__xludf.DUMMYFUNCTION("""COMPUTED_VALUE"""),"575-60021")</f>
        <v>575-60021</v>
      </c>
      <c r="B17" s="22" t="str">
        <f>IFERROR(__xludf.DUMMYFUNCTION("""COMPUTED_VALUE"""),"NR-60 Encoder Avago assembly,10 mm, multiturn shaft, servo mount, for SIDE CONNECTORS")</f>
        <v>NR-60 Encoder Avago assembly,10 mm, multiturn shaft, servo mount, for SIDE CONNECTORS</v>
      </c>
      <c r="C17" s="23">
        <f>IFERROR(__xludf.DUMMYFUNCTION("""COMPUTED_VALUE"""),2.4499)</f>
        <v>2.4499</v>
      </c>
      <c r="D17" s="23">
        <f>IFERROR(__xludf.DUMMYFUNCTION("""COMPUTED_VALUE"""),2.4499)</f>
        <v>2.4499</v>
      </c>
      <c r="E17" s="25" t="str">
        <f>IFERROR(__xludf.DUMMYFUNCTION("""COMPUTED_VALUE"""),"")</f>
        <v/>
      </c>
      <c r="F17" s="2" t="str">
        <f>IFERROR(__xludf.DUMMYFUNCTION("""COMPUTED_VALUE"""),"Ф62 AL 2017 Italy")</f>
        <v>Ф62 AL 2017 Italy</v>
      </c>
      <c r="G17" s="27">
        <f>IFERROR(__xludf.DUMMYFUNCTION("""COMPUTED_VALUE"""),0.175)</f>
        <v>0.175</v>
      </c>
      <c r="H17" s="23">
        <f>IFERROR(__xludf.DUMMYFUNCTION("""COMPUTED_VALUE"""),2.268)</f>
        <v>2.268</v>
      </c>
      <c r="I17" s="2" t="str">
        <f>IFERROR(__xludf.DUMMYFUNCTION("""COMPUTED_VALUE"""),"AL USA (pc.)")</f>
        <v>AL USA (pc.)</v>
      </c>
      <c r="J17" s="27">
        <f>IFERROR(__xludf.DUMMYFUNCTION("""COMPUTED_VALUE"""),0.107)</f>
        <v>0.107</v>
      </c>
      <c r="K17" s="23">
        <f>IFERROR(__xludf.DUMMYFUNCTION("""COMPUTED_VALUE"""),0.18189999999999998)</f>
        <v>0.1819</v>
      </c>
      <c r="L17" s="2" t="str">
        <f>IFERROR(__xludf.DUMMYFUNCTION("""COMPUTED_VALUE"""),"AL cast USA (pc.)")</f>
        <v>AL cast USA (pc.)</v>
      </c>
      <c r="M17" s="27">
        <f>IFERROR(__xludf.DUMMYFUNCTION("""COMPUTED_VALUE"""),0.127)</f>
        <v>0.127</v>
      </c>
      <c r="N17" s="23" t="str">
        <f>IFERROR(__xludf.DUMMYFUNCTION("""COMPUTED_VALUE"""),"")</f>
        <v/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2" t="str">
        <f>IFERROR(__xludf.DUMMYFUNCTION("""COMPUTED_VALUE"""),"575-91004")</f>
        <v>575-91004</v>
      </c>
      <c r="B18" s="22" t="str">
        <f>IFERROR(__xludf.DUMMYFUNCTION("""COMPUTED_VALUE"""),"DC25FS14 &lt;/= 9 min. 3/8"" shaft flange side con")</f>
        <v>DC25FS14 &lt;/= 9 min. 3/8" shaft flange side con</v>
      </c>
      <c r="C18" s="23">
        <f>IFERROR(__xludf.DUMMYFUNCTION("""COMPUTED_VALUE"""),1.18148)</f>
        <v>1.18148</v>
      </c>
      <c r="D18" s="23">
        <f>IFERROR(__xludf.DUMMYFUNCTION("""COMPUTED_VALUE"""),1.18148)</f>
        <v>1.18148</v>
      </c>
      <c r="E18" s="25" t="str">
        <f>IFERROR(__xludf.DUMMYFUNCTION("""COMPUTED_VALUE"""),"")</f>
        <v/>
      </c>
      <c r="F18" s="2" t="str">
        <f>IFERROR(__xludf.DUMMYFUNCTION("""COMPUTED_VALUE"""),"Cast AL Bulgaria (pc.)")</f>
        <v>Cast AL Bulgaria (pc.)</v>
      </c>
      <c r="G18" s="27">
        <f>IFERROR(__xludf.DUMMYFUNCTION("""COMPUTED_VALUE"""),0.228)</f>
        <v>0.228</v>
      </c>
      <c r="H18" s="23">
        <f>IFERROR(__xludf.DUMMYFUNCTION("""COMPUTED_VALUE"""),1.06248)</f>
        <v>1.06248</v>
      </c>
      <c r="I18" s="2" t="str">
        <f>IFERROR(__xludf.DUMMYFUNCTION("""COMPUTED_VALUE"""),"AL USA (pc.)")</f>
        <v>AL USA (pc.)</v>
      </c>
      <c r="J18" s="27">
        <f>IFERROR(__xludf.DUMMYFUNCTION("""COMPUTED_VALUE"""),0.07)</f>
        <v>0.07</v>
      </c>
      <c r="K18" s="23">
        <f>IFERROR(__xludf.DUMMYFUNCTION("""COMPUTED_VALUE"""),0.11900000000000001)</f>
        <v>0.119</v>
      </c>
      <c r="L18" s="2" t="str">
        <f>IFERROR(__xludf.DUMMYFUNCTION("""COMPUTED_VALUE"""),"")</f>
        <v/>
      </c>
      <c r="M18" s="27" t="str">
        <f>IFERROR(__xludf.DUMMYFUNCTION("""COMPUTED_VALUE"""),"")</f>
        <v/>
      </c>
      <c r="N18" s="23" t="str">
        <f>IFERROR(__xludf.DUMMYFUNCTION("""COMPUTED_VALUE"""),"")</f>
        <v/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2" t="str">
        <f>IFERROR(__xludf.DUMMYFUNCTION("""COMPUTED_VALUE"""),"575-92002")</f>
        <v>575-92002</v>
      </c>
      <c r="B19" s="22" t="str">
        <f>IFERROR(__xludf.DUMMYFUNCTION("""COMPUTED_VALUE"""),"DC25FE multiturn body 3/8"" shaft flange")</f>
        <v>DC25FE multiturn body 3/8" shaft flange</v>
      </c>
      <c r="C19" s="23">
        <f>IFERROR(__xludf.DUMMYFUNCTION("""COMPUTED_VALUE"""),3.2294000000000005)</f>
        <v>3.2294</v>
      </c>
      <c r="D19" s="23">
        <f>IFERROR(__xludf.DUMMYFUNCTION("""COMPUTED_VALUE"""),3.2294000000000005)</f>
        <v>3.2294</v>
      </c>
      <c r="E19" s="25" t="str">
        <f>IFERROR(__xludf.DUMMYFUNCTION("""COMPUTED_VALUE"""),"")</f>
        <v/>
      </c>
      <c r="F19" s="2" t="str">
        <f>IFERROR(__xludf.DUMMYFUNCTION("""COMPUTED_VALUE"""),"Ф65 AL 2017 Italy")</f>
        <v>Ф65 AL 2017 Italy</v>
      </c>
      <c r="G19" s="27">
        <f>IFERROR(__xludf.DUMMYFUNCTION("""COMPUTED_VALUE"""),0.24)</f>
        <v>0.24</v>
      </c>
      <c r="H19" s="23">
        <f>IFERROR(__xludf.DUMMYFUNCTION("""COMPUTED_VALUE"""),3.1104000000000003)</f>
        <v>3.1104</v>
      </c>
      <c r="I19" s="2" t="str">
        <f>IFERROR(__xludf.DUMMYFUNCTION("""COMPUTED_VALUE"""),"AL USA (pc.)")</f>
        <v>AL USA (pc.)</v>
      </c>
      <c r="J19" s="27">
        <f>IFERROR(__xludf.DUMMYFUNCTION("""COMPUTED_VALUE"""),0.07)</f>
        <v>0.07</v>
      </c>
      <c r="K19" s="23">
        <f>IFERROR(__xludf.DUMMYFUNCTION("""COMPUTED_VALUE"""),0.11900000000000001)</f>
        <v>0.119</v>
      </c>
      <c r="L19" s="2" t="str">
        <f>IFERROR(__xludf.DUMMYFUNCTION("""COMPUTED_VALUE"""),"")</f>
        <v/>
      </c>
      <c r="M19" s="27" t="str">
        <f>IFERROR(__xludf.DUMMYFUNCTION("""COMPUTED_VALUE"""),"")</f>
        <v/>
      </c>
      <c r="N19" s="23" t="str">
        <f>IFERROR(__xludf.DUMMYFUNCTION("""COMPUTED_VALUE"""),"")</f>
        <v/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2" t="str">
        <f>IFERROR(__xludf.DUMMYFUNCTION("""COMPUTED_VALUE"""),"DC25-4FS(16)")</f>
        <v>DC25-4FS(16)</v>
      </c>
      <c r="B20" s="22" t="str">
        <f>IFERROR(__xludf.DUMMYFUNCTION("""COMPUTED_VALUE"""),"DC25 housing 4 Speed Side Conn. 3/8"" shaft ")</f>
        <v>DC25 housing 4 Speed Side Conn. 3/8" shaft </v>
      </c>
      <c r="C20" s="23">
        <f>IFERROR(__xludf.DUMMYFUNCTION("""COMPUTED_VALUE"""),1.15352)</f>
        <v>1.15352</v>
      </c>
      <c r="D20" s="23">
        <f>IFERROR(__xludf.DUMMYFUNCTION("""COMPUTED_VALUE"""),1.15352)</f>
        <v>1.15352</v>
      </c>
      <c r="E20" s="25" t="str">
        <f>IFERROR(__xludf.DUMMYFUNCTION("""COMPUTED_VALUE"""),"")</f>
        <v/>
      </c>
      <c r="F20" s="2" t="str">
        <f>IFERROR(__xludf.DUMMYFUNCTION("""COMPUTED_VALUE"""),"Cast AL Bulgaria (pc.)")</f>
        <v>Cast AL Bulgaria (pc.)</v>
      </c>
      <c r="G20" s="27">
        <f>IFERROR(__xludf.DUMMYFUNCTION("""COMPUTED_VALUE"""),0.222)</f>
        <v>0.222</v>
      </c>
      <c r="H20" s="23">
        <f>IFERROR(__xludf.DUMMYFUNCTION("""COMPUTED_VALUE"""),1.03452)</f>
        <v>1.03452</v>
      </c>
      <c r="I20" s="2" t="str">
        <f>IFERROR(__xludf.DUMMYFUNCTION("""COMPUTED_VALUE"""),"AL USA (pc.)")</f>
        <v>AL USA (pc.)</v>
      </c>
      <c r="J20" s="27">
        <f>IFERROR(__xludf.DUMMYFUNCTION("""COMPUTED_VALUE"""),0.07)</f>
        <v>0.07</v>
      </c>
      <c r="K20" s="23">
        <f>IFERROR(__xludf.DUMMYFUNCTION("""COMPUTED_VALUE"""),0.11900000000000001)</f>
        <v>0.119</v>
      </c>
      <c r="L20" s="2" t="str">
        <f>IFERROR(__xludf.DUMMYFUNCTION("""COMPUTED_VALUE"""),"")</f>
        <v/>
      </c>
      <c r="M20" s="27" t="str">
        <f>IFERROR(__xludf.DUMMYFUNCTION("""COMPUTED_VALUE"""),"")</f>
        <v/>
      </c>
      <c r="N20" s="23" t="str">
        <f>IFERROR(__xludf.DUMMYFUNCTION("""COMPUTED_VALUE"""),"")</f>
        <v/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2" t="str">
        <f>IFERROR(__xludf.DUMMYFUNCTION("""COMPUTED_VALUE"""),"H25-FS")</f>
        <v>H25-FS</v>
      </c>
      <c r="B21" s="22" t="str">
        <f>IFERROR(__xludf.DUMMYFUNCTION("""COMPUTED_VALUE"""),"Size 25 resolver 3/8 shaft Flange mount side connector 0.95 TR @5000Hz")</f>
        <v>Size 25 resolver 3/8 shaft Flange mount side connector 0.95 TR @5000Hz</v>
      </c>
      <c r="C21" s="23">
        <f>IFERROR(__xludf.DUMMYFUNCTION("""COMPUTED_VALUE"""),1.8503)</f>
        <v>1.8503</v>
      </c>
      <c r="D21" s="23">
        <f>IFERROR(__xludf.DUMMYFUNCTION("""COMPUTED_VALUE"""),1.8503)</f>
        <v>1.8503</v>
      </c>
      <c r="E21" s="25" t="str">
        <f>IFERROR(__xludf.DUMMYFUNCTION("""COMPUTED_VALUE"""),"")</f>
        <v/>
      </c>
      <c r="F21" s="2" t="str">
        <f>IFERROR(__xludf.DUMMYFUNCTION("""COMPUTED_VALUE"""),"Cast AL Bulgaria (pc.)")</f>
        <v>Cast AL Bulgaria (pc.)</v>
      </c>
      <c r="G21" s="27">
        <f>IFERROR(__xludf.DUMMYFUNCTION("""COMPUTED_VALUE"""),0.213)</f>
        <v>0.213</v>
      </c>
      <c r="H21" s="23">
        <f>IFERROR(__xludf.DUMMYFUNCTION("""COMPUTED_VALUE"""),0.99258)</f>
        <v>0.99258</v>
      </c>
      <c r="I21" s="2" t="str">
        <f>IFERROR(__xludf.DUMMYFUNCTION("""COMPUTED_VALUE"""),"AL USA (pc.)")</f>
        <v>AL USA (pc.)</v>
      </c>
      <c r="J21" s="27">
        <f>IFERROR(__xludf.DUMMYFUNCTION("""COMPUTED_VALUE"""),0.07)</f>
        <v>0.07</v>
      </c>
      <c r="K21" s="23">
        <f>IFERROR(__xludf.DUMMYFUNCTION("""COMPUTED_VALUE"""),0.11900000000000001)</f>
        <v>0.119</v>
      </c>
      <c r="L21" s="2" t="str">
        <f>IFERROR(__xludf.DUMMYFUNCTION("""COMPUTED_VALUE"""),"Ф65 AL 2017 Italy")</f>
        <v>Ф65 AL 2017 Italy</v>
      </c>
      <c r="M21" s="27">
        <f>IFERROR(__xludf.DUMMYFUNCTION("""COMPUTED_VALUE"""),0.057)</f>
        <v>0.057</v>
      </c>
      <c r="N21" s="23">
        <f>IFERROR(__xludf.DUMMYFUNCTION("""COMPUTED_VALUE"""),0.73872)</f>
        <v>0.73872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2" t="str">
        <f>IFERROR(__xludf.DUMMYFUNCTION("""COMPUTED_VALUE"""),"575-93002")</f>
        <v>575-93002</v>
      </c>
      <c r="B22" s="22" t="str">
        <f>IFERROR(__xludf.DUMMYFUNCTION("""COMPUTED_VALUE"""),"H25 Resolver 5/8"" shaft MS-16 end conn. w/o seal Short body")</f>
        <v>H25 Resolver 5/8" shaft MS-16 end conn. w/o seal Short body</v>
      </c>
      <c r="C22" s="23">
        <f>IFERROR(__xludf.DUMMYFUNCTION("""COMPUTED_VALUE"""),4.3620600000000005)</f>
        <v>4.36206</v>
      </c>
      <c r="D22" s="23">
        <f>IFERROR(__xludf.DUMMYFUNCTION("""COMPUTED_VALUE"""),4.3620600000000005)</f>
        <v>4.36206</v>
      </c>
      <c r="E22" s="25" t="str">
        <f>IFERROR(__xludf.DUMMYFUNCTION("""COMPUTED_VALUE"""),"")</f>
        <v/>
      </c>
      <c r="F22" s="2" t="str">
        <f>IFERROR(__xludf.DUMMYFUNCTION("""COMPUTED_VALUE"""),"Ф65 AL 2017 Italy")</f>
        <v>Ф65 AL 2017 Italy</v>
      </c>
      <c r="G22" s="27">
        <f>IFERROR(__xludf.DUMMYFUNCTION("""COMPUTED_VALUE"""),0.311)</f>
        <v>0.311</v>
      </c>
      <c r="H22" s="23">
        <f>IFERROR(__xludf.DUMMYFUNCTION("""COMPUTED_VALUE"""),4.03056)</f>
        <v>4.03056</v>
      </c>
      <c r="I22" s="2" t="str">
        <f>IFERROR(__xludf.DUMMYFUNCTION("""COMPUTED_VALUE"""),"AL USA")</f>
        <v>AL USA</v>
      </c>
      <c r="J22" s="27">
        <f>IFERROR(__xludf.DUMMYFUNCTION("""COMPUTED_VALUE"""),0.195)</f>
        <v>0.195</v>
      </c>
      <c r="K22" s="23">
        <f>IFERROR(__xludf.DUMMYFUNCTION("""COMPUTED_VALUE"""),0.3315)</f>
        <v>0.3315</v>
      </c>
      <c r="L22" s="2" t="str">
        <f>IFERROR(__xludf.DUMMYFUNCTION("""COMPUTED_VALUE"""),"")</f>
        <v/>
      </c>
      <c r="M22" s="27" t="str">
        <f>IFERROR(__xludf.DUMMYFUNCTION("""COMPUTED_VALUE"""),"")</f>
        <v/>
      </c>
      <c r="N22" s="23" t="str">
        <f>IFERROR(__xludf.DUMMYFUNCTION("""COMPUTED_VALUE"""),"")</f>
        <v/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2" t="str">
        <f>IFERROR(__xludf.DUMMYFUNCTION("""COMPUTED_VALUE"""),"575-92011")</f>
        <v>575-92011</v>
      </c>
      <c r="B23" s="22" t="str">
        <f>IFERROR(__xludf.DUMMYFUNCTION("""COMPUTED_VALUE"""),"DC 25FS Singleturn body 5/8"" shaft flange  SSI Dura MS23 side conn &lt;/= 9min")</f>
        <v>DC 25FS Singleturn body 5/8" shaft flange  SSI Dura MS23 side conn &lt;/= 9min</v>
      </c>
      <c r="C23" s="23">
        <f>IFERROR(__xludf.DUMMYFUNCTION("""COMPUTED_VALUE"""),1.4219400000000002)</f>
        <v>1.42194</v>
      </c>
      <c r="D23" s="23">
        <f>IFERROR(__xludf.DUMMYFUNCTION("""COMPUTED_VALUE"""),1.4219400000000002)</f>
        <v>1.42194</v>
      </c>
      <c r="E23" s="25" t="str">
        <f>IFERROR(__xludf.DUMMYFUNCTION("""COMPUTED_VALUE"""),"")</f>
        <v/>
      </c>
      <c r="F23" s="2" t="str">
        <f>IFERROR(__xludf.DUMMYFUNCTION("""COMPUTED_VALUE"""),"Cast AL Bulgaria (pc.)")</f>
        <v>Cast AL Bulgaria (pc.)</v>
      </c>
      <c r="G23" s="27">
        <f>IFERROR(__xludf.DUMMYFUNCTION("""COMPUTED_VALUE"""),0.234)</f>
        <v>0.234</v>
      </c>
      <c r="H23" s="23">
        <f>IFERROR(__xludf.DUMMYFUNCTION("""COMPUTED_VALUE"""),1.09044)</f>
        <v>1.09044</v>
      </c>
      <c r="I23" s="2" t="str">
        <f>IFERROR(__xludf.DUMMYFUNCTION("""COMPUTED_VALUE"""),"AL USA")</f>
        <v>AL USA</v>
      </c>
      <c r="J23" s="27">
        <f>IFERROR(__xludf.DUMMYFUNCTION("""COMPUTED_VALUE"""),0.195)</f>
        <v>0.195</v>
      </c>
      <c r="K23" s="23">
        <f>IFERROR(__xludf.DUMMYFUNCTION("""COMPUTED_VALUE"""),0.3315)</f>
        <v>0.3315</v>
      </c>
      <c r="L23" s="2" t="str">
        <f>IFERROR(__xludf.DUMMYFUNCTION("""COMPUTED_VALUE"""),"")</f>
        <v/>
      </c>
      <c r="M23" s="27" t="str">
        <f>IFERROR(__xludf.DUMMYFUNCTION("""COMPUTED_VALUE"""),"")</f>
        <v/>
      </c>
      <c r="N23" s="23" t="str">
        <f>IFERROR(__xludf.DUMMYFUNCTION("""COMPUTED_VALUE"""),"")</f>
        <v/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2" t="str">
        <f>IFERROR(__xludf.DUMMYFUNCTION("""COMPUTED_VALUE"""),"575-91055")</f>
        <v>575-91055</v>
      </c>
      <c r="B24" s="22" t="str">
        <f>IFERROR(__xludf.DUMMYFUNCTION("""COMPUTED_VALUE"""),"H25-w/ Special servo nose Two flats on shaft TR=0.95 @ 5KHz")</f>
        <v>H25-w/ Special servo nose Two flats on shaft TR=0.95 @ 5KHz</v>
      </c>
      <c r="C24" s="23">
        <f>IFERROR(__xludf.DUMMYFUNCTION("""COMPUTED_VALUE"""),2.7914000000000003)</f>
        <v>2.7914</v>
      </c>
      <c r="D24" s="23">
        <f>IFERROR(__xludf.DUMMYFUNCTION("""COMPUTED_VALUE"""),2.7914000000000003)</f>
        <v>2.7914</v>
      </c>
      <c r="E24" s="25" t="str">
        <f>IFERROR(__xludf.DUMMYFUNCTION("""COMPUTED_VALUE"""),"")</f>
        <v/>
      </c>
      <c r="F24" s="2" t="str">
        <f>IFERROR(__xludf.DUMMYFUNCTION("""COMPUTED_VALUE"""),"Cast AL Bulgaria (pc.)")</f>
        <v>Cast AL Bulgaria (pc.)</v>
      </c>
      <c r="G24" s="27">
        <f>IFERROR(__xludf.DUMMYFUNCTION("""COMPUTED_VALUE"""),0.218)</f>
        <v>0.218</v>
      </c>
      <c r="H24" s="23">
        <f>IFERROR(__xludf.DUMMYFUNCTION("""COMPUTED_VALUE"""),1.0158800000000001)</f>
        <v>1.01588</v>
      </c>
      <c r="I24" s="2" t="str">
        <f>IFERROR(__xludf.DUMMYFUNCTION("""COMPUTED_VALUE"""),"Ф65 AL 2017 Italy")</f>
        <v>Ф65 AL 2017 Italy</v>
      </c>
      <c r="J24" s="27">
        <f>IFERROR(__xludf.DUMMYFUNCTION("""COMPUTED_VALUE"""),0.08)</f>
        <v>0.08</v>
      </c>
      <c r="K24" s="23">
        <f>IFERROR(__xludf.DUMMYFUNCTION("""COMPUTED_VALUE"""),1.0368000000000002)</f>
        <v>1.0368</v>
      </c>
      <c r="L24" s="2" t="str">
        <f>IFERROR(__xludf.DUMMYFUNCTION("""COMPUTED_VALUE"""),"Ф65 AL 2017 Italy")</f>
        <v>Ф65 AL 2017 Italy</v>
      </c>
      <c r="M24" s="27">
        <f>IFERROR(__xludf.DUMMYFUNCTION("""COMPUTED_VALUE"""),0.057)</f>
        <v>0.057</v>
      </c>
      <c r="N24" s="23">
        <f>IFERROR(__xludf.DUMMYFUNCTION("""COMPUTED_VALUE"""),0.73872)</f>
        <v>0.73872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2" t="str">
        <f>IFERROR(__xludf.DUMMYFUNCTION("""COMPUTED_VALUE"""),"575-91009")</f>
        <v>575-91009</v>
      </c>
      <c r="B25" s="22" t="str">
        <f>IFERROR(__xludf.DUMMYFUNCTION("""COMPUTED_VALUE"""),"DC25FS18 &lt;/= 9 min 3/8"" shaft flange side conn")</f>
        <v>DC25FS18 &lt;/= 9 min 3/8" shaft flange side conn</v>
      </c>
      <c r="C25" s="23">
        <f>IFERROR(__xludf.DUMMYFUNCTION("""COMPUTED_VALUE"""),1.13488)</f>
        <v>1.13488</v>
      </c>
      <c r="D25" s="23">
        <f>IFERROR(__xludf.DUMMYFUNCTION("""COMPUTED_VALUE"""),1.13488)</f>
        <v>1.13488</v>
      </c>
      <c r="E25" s="25" t="str">
        <f>IFERROR(__xludf.DUMMYFUNCTION("""COMPUTED_VALUE"""),"")</f>
        <v/>
      </c>
      <c r="F25" s="2" t="str">
        <f>IFERROR(__xludf.DUMMYFUNCTION("""COMPUTED_VALUE"""),"Cast AL Bulgaria (pc.)")</f>
        <v>Cast AL Bulgaria (pc.)</v>
      </c>
      <c r="G25" s="27">
        <f>IFERROR(__xludf.DUMMYFUNCTION("""COMPUTED_VALUE"""),0.218)</f>
        <v>0.218</v>
      </c>
      <c r="H25" s="23">
        <f>IFERROR(__xludf.DUMMYFUNCTION("""COMPUTED_VALUE"""),1.0158800000000001)</f>
        <v>1.01588</v>
      </c>
      <c r="I25" s="2" t="str">
        <f>IFERROR(__xludf.DUMMYFUNCTION("""COMPUTED_VALUE"""),"AL USA (pc.)")</f>
        <v>AL USA (pc.)</v>
      </c>
      <c r="J25" s="27">
        <f>IFERROR(__xludf.DUMMYFUNCTION("""COMPUTED_VALUE"""),0.07)</f>
        <v>0.07</v>
      </c>
      <c r="K25" s="23">
        <f>IFERROR(__xludf.DUMMYFUNCTION("""COMPUTED_VALUE"""),0.11900000000000001)</f>
        <v>0.119</v>
      </c>
      <c r="L25" s="2" t="str">
        <f>IFERROR(__xludf.DUMMYFUNCTION("""COMPUTED_VALUE"""),"")</f>
        <v/>
      </c>
      <c r="M25" s="27" t="str">
        <f>IFERROR(__xludf.DUMMYFUNCTION("""COMPUTED_VALUE"""),"")</f>
        <v/>
      </c>
      <c r="N25" s="23" t="str">
        <f>IFERROR(__xludf.DUMMYFUNCTION("""COMPUTED_VALUE"""),"")</f>
        <v/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2" t="str">
        <f>IFERROR(__xludf.DUMMYFUNCTION("""COMPUTED_VALUE"""),"22140702A")</f>
        <v>22140702A</v>
      </c>
      <c r="B26" s="22" t="str">
        <f>IFERROR(__xludf.DUMMYFUNCTION("""COMPUTED_VALUE"""),"H25 Body with Shaft zeroed for HT-400x-j Single turn  TR=0.95, 5KHz, w/o conn")</f>
        <v>H25 Body with Shaft zeroed for HT-400x-j Single turn  TR=0.95, 5KHz, w/o conn</v>
      </c>
      <c r="C26" s="23">
        <f>IFERROR(__xludf.DUMMYFUNCTION("""COMPUTED_VALUE"""),4.03056)</f>
        <v>4.03056</v>
      </c>
      <c r="D26" s="23">
        <f>IFERROR(__xludf.DUMMYFUNCTION("""COMPUTED_VALUE"""),4.03056)</f>
        <v>4.03056</v>
      </c>
      <c r="E26" s="25" t="str">
        <f>IFERROR(__xludf.DUMMYFUNCTION("""COMPUTED_VALUE"""),"")</f>
        <v/>
      </c>
      <c r="F26" s="2" t="str">
        <f>IFERROR(__xludf.DUMMYFUNCTION("""COMPUTED_VALUE"""),"Ф65 AL 2017 Italy")</f>
        <v>Ф65 AL 2017 Italy</v>
      </c>
      <c r="G26" s="27">
        <f>IFERROR(__xludf.DUMMYFUNCTION("""COMPUTED_VALUE"""),0.311)</f>
        <v>0.311</v>
      </c>
      <c r="H26" s="23">
        <f>IFERROR(__xludf.DUMMYFUNCTION("""COMPUTED_VALUE"""),4.03056)</f>
        <v>4.03056</v>
      </c>
      <c r="I26" s="2" t="str">
        <f>IFERROR(__xludf.DUMMYFUNCTION("""COMPUTED_VALUE"""),"")</f>
        <v/>
      </c>
      <c r="J26" s="27" t="str">
        <f>IFERROR(__xludf.DUMMYFUNCTION("""COMPUTED_VALUE"""),"")</f>
        <v/>
      </c>
      <c r="K26" s="23" t="str">
        <f>IFERROR(__xludf.DUMMYFUNCTION("""COMPUTED_VALUE"""),"")</f>
        <v/>
      </c>
      <c r="L26" s="2" t="str">
        <f>IFERROR(__xludf.DUMMYFUNCTION("""COMPUTED_VALUE"""),"")</f>
        <v/>
      </c>
      <c r="M26" s="27" t="str">
        <f>IFERROR(__xludf.DUMMYFUNCTION("""COMPUTED_VALUE"""),"")</f>
        <v/>
      </c>
      <c r="N26" s="23" t="str">
        <f>IFERROR(__xludf.DUMMYFUNCTION("""COMPUTED_VALUE"""),"")</f>
        <v/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2" t="str">
        <f>IFERROR(__xludf.DUMMYFUNCTION("""COMPUTED_VALUE"""),"575-92003")</f>
        <v>575-92003</v>
      </c>
      <c r="B27" s="22" t="str">
        <f>IFERROR(__xludf.DUMMYFUNCTION("""COMPUTED_VALUE"""),"DC25FS, Singleturn Body 3/8"" shaft, Flange SSI Durac  MS23 side conn.")</f>
        <v>DC25FS, Singleturn Body 3/8" shaft, Flange SSI Durac  MS23 side conn.</v>
      </c>
      <c r="C27" s="23">
        <f>IFERROR(__xludf.DUMMYFUNCTION("""COMPUTED_VALUE"""),1.20944)</f>
        <v>1.20944</v>
      </c>
      <c r="D27" s="23">
        <f>IFERROR(__xludf.DUMMYFUNCTION("""COMPUTED_VALUE"""),1.20944)</f>
        <v>1.20944</v>
      </c>
      <c r="E27" s="25" t="str">
        <f>IFERROR(__xludf.DUMMYFUNCTION("""COMPUTED_VALUE"""),"")</f>
        <v/>
      </c>
      <c r="F27" s="2" t="str">
        <f>IFERROR(__xludf.DUMMYFUNCTION("""COMPUTED_VALUE"""),"Cast AL Bulgaria (pc.)")</f>
        <v>Cast AL Bulgaria (pc.)</v>
      </c>
      <c r="G27" s="27">
        <f>IFERROR(__xludf.DUMMYFUNCTION("""COMPUTED_VALUE"""),0.234)</f>
        <v>0.234</v>
      </c>
      <c r="H27" s="23">
        <f>IFERROR(__xludf.DUMMYFUNCTION("""COMPUTED_VALUE"""),1.09044)</f>
        <v>1.09044</v>
      </c>
      <c r="I27" s="2" t="str">
        <f>IFERROR(__xludf.DUMMYFUNCTION("""COMPUTED_VALUE"""),"AL USA (pc.)")</f>
        <v>AL USA (pc.)</v>
      </c>
      <c r="J27" s="27">
        <f>IFERROR(__xludf.DUMMYFUNCTION("""COMPUTED_VALUE"""),0.07)</f>
        <v>0.07</v>
      </c>
      <c r="K27" s="23">
        <f>IFERROR(__xludf.DUMMYFUNCTION("""COMPUTED_VALUE"""),0.11900000000000001)</f>
        <v>0.119</v>
      </c>
      <c r="L27" s="2" t="str">
        <f>IFERROR(__xludf.DUMMYFUNCTION("""COMPUTED_VALUE"""),"")</f>
        <v/>
      </c>
      <c r="M27" s="27" t="str">
        <f>IFERROR(__xludf.DUMMYFUNCTION("""COMPUTED_VALUE"""),"")</f>
        <v/>
      </c>
      <c r="N27" s="23" t="str">
        <f>IFERROR(__xludf.DUMMYFUNCTION("""COMPUTED_VALUE"""),"")</f>
        <v/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2" t="str">
        <f>IFERROR(__xludf.DUMMYFUNCTION("""COMPUTED_VALUE"""),"H25-FS-R3N")</f>
        <v>H25-FS-R3N</v>
      </c>
      <c r="B28" s="22" t="str">
        <f>IFERROR(__xludf.DUMMYFUNCTION("""COMPUTED_VALUE"""),"Size 25 resolver  3/8"" shaft side mount w/ 10 pin conn")</f>
        <v>Size 25 resolver  3/8" shaft side mount w/ 10 pin conn</v>
      </c>
      <c r="C28" s="23">
        <f>IFERROR(__xludf.DUMMYFUNCTION("""COMPUTED_VALUE"""),1.77574)</f>
        <v>1.77574</v>
      </c>
      <c r="D28" s="23">
        <f>IFERROR(__xludf.DUMMYFUNCTION("""COMPUTED_VALUE"""),1.77574)</f>
        <v>1.77574</v>
      </c>
      <c r="E28" s="25" t="str">
        <f>IFERROR(__xludf.DUMMYFUNCTION("""COMPUTED_VALUE"""),"")</f>
        <v/>
      </c>
      <c r="F28" s="2" t="str">
        <f>IFERROR(__xludf.DUMMYFUNCTION("""COMPUTED_VALUE"""),"Cast AL Bulgaria (pc.)")</f>
        <v>Cast AL Bulgaria (pc.)</v>
      </c>
      <c r="G28" s="27">
        <f>IFERROR(__xludf.DUMMYFUNCTION("""COMPUTED_VALUE"""),0.197)</f>
        <v>0.197</v>
      </c>
      <c r="H28" s="23">
        <f>IFERROR(__xludf.DUMMYFUNCTION("""COMPUTED_VALUE"""),0.9180200000000001)</f>
        <v>0.91802</v>
      </c>
      <c r="I28" s="2" t="str">
        <f>IFERROR(__xludf.DUMMYFUNCTION("""COMPUTED_VALUE"""),"AL USA (pc.)")</f>
        <v>AL USA (pc.)</v>
      </c>
      <c r="J28" s="27">
        <f>IFERROR(__xludf.DUMMYFUNCTION("""COMPUTED_VALUE"""),0.07)</f>
        <v>0.07</v>
      </c>
      <c r="K28" s="23">
        <f>IFERROR(__xludf.DUMMYFUNCTION("""COMPUTED_VALUE"""),0.11900000000000001)</f>
        <v>0.119</v>
      </c>
      <c r="L28" s="2" t="str">
        <f>IFERROR(__xludf.DUMMYFUNCTION("""COMPUTED_VALUE"""),"Ф65 AL 2017 Italy")</f>
        <v>Ф65 AL 2017 Italy</v>
      </c>
      <c r="M28" s="27">
        <f>IFERROR(__xludf.DUMMYFUNCTION("""COMPUTED_VALUE"""),0.057)</f>
        <v>0.057</v>
      </c>
      <c r="N28" s="23">
        <f>IFERROR(__xludf.DUMMYFUNCTION("""COMPUTED_VALUE"""),0.73872)</f>
        <v>0.73872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2" t="str">
        <f>IFERROR(__xludf.DUMMYFUNCTION("""COMPUTED_VALUE"""),"H25-SE-10")</f>
        <v>H25-SE-10</v>
      </c>
      <c r="B29" s="22" t="str">
        <f>IFERROR(__xludf.DUMMYFUNCTION("""COMPUTED_VALUE"""),"Transducer 1 Turn C&amp;A Flange servo mount with 10mm shaft")</f>
        <v>Transducer 1 Turn C&amp;A Flange servo mount with 10mm shaft</v>
      </c>
      <c r="C29" s="23">
        <f>IFERROR(__xludf.DUMMYFUNCTION("""COMPUTED_VALUE"""),4.717440000000001)</f>
        <v>4.71744</v>
      </c>
      <c r="D29" s="23">
        <f>IFERROR(__xludf.DUMMYFUNCTION("""COMPUTED_VALUE"""),4.717440000000001)</f>
        <v>4.71744</v>
      </c>
      <c r="E29" s="25" t="str">
        <f>IFERROR(__xludf.DUMMYFUNCTION("""COMPUTED_VALUE"""),"")</f>
        <v/>
      </c>
      <c r="F29" s="2" t="str">
        <f>IFERROR(__xludf.DUMMYFUNCTION("""COMPUTED_VALUE"""),"Ф65 AL 2017 Italy")</f>
        <v>Ф65 AL 2017 Italy</v>
      </c>
      <c r="G29" s="27">
        <f>IFERROR(__xludf.DUMMYFUNCTION("""COMPUTED_VALUE"""),0.311)</f>
        <v>0.311</v>
      </c>
      <c r="H29" s="23">
        <f>IFERROR(__xludf.DUMMYFUNCTION("""COMPUTED_VALUE"""),4.03056)</f>
        <v>4.03056</v>
      </c>
      <c r="I29" s="2" t="str">
        <f>IFERROR(__xludf.DUMMYFUNCTION("""COMPUTED_VALUE"""),"Ф65 AL 2017 Italy")</f>
        <v>Ф65 AL 2017 Italy</v>
      </c>
      <c r="J29" s="27">
        <f>IFERROR(__xludf.DUMMYFUNCTION("""COMPUTED_VALUE"""),0.053)</f>
        <v>0.053</v>
      </c>
      <c r="K29" s="23">
        <f>IFERROR(__xludf.DUMMYFUNCTION("""COMPUTED_VALUE"""),0.68688)</f>
        <v>0.68688</v>
      </c>
      <c r="L29" s="2" t="str">
        <f>IFERROR(__xludf.DUMMYFUNCTION("""COMPUTED_VALUE"""),"")</f>
        <v/>
      </c>
      <c r="M29" s="27" t="str">
        <f>IFERROR(__xludf.DUMMYFUNCTION("""COMPUTED_VALUE"""),"")</f>
        <v/>
      </c>
      <c r="N29" s="23" t="str">
        <f>IFERROR(__xludf.DUMMYFUNCTION("""COMPUTED_VALUE"""),"")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2" t="str">
        <f>IFERROR(__xludf.DUMMYFUNCTION("""COMPUTED_VALUE"""),"22140701А")</f>
        <v>22140701А</v>
      </c>
      <c r="B30" s="22" t="str">
        <f>IFERROR(__xludf.DUMMYFUNCTION("""COMPUTED_VALUE"""),"H25 Body with Shaft zeroed for HT-400x-L Single turn  TR=1,4, 5KHz,2250Hz w/o conn")</f>
        <v>H25 Body with Shaft zeroed for HT-400x-L Single turn  TR=1,4, 5KHz,2250Hz w/o conn</v>
      </c>
      <c r="C30" s="23">
        <f>IFERROR(__xludf.DUMMYFUNCTION("""COMPUTED_VALUE"""),4.03056)</f>
        <v>4.03056</v>
      </c>
      <c r="D30" s="23">
        <f>IFERROR(__xludf.DUMMYFUNCTION("""COMPUTED_VALUE"""),4.03056)</f>
        <v>4.03056</v>
      </c>
      <c r="E30" s="25" t="str">
        <f>IFERROR(__xludf.DUMMYFUNCTION("""COMPUTED_VALUE"""),"")</f>
        <v/>
      </c>
      <c r="F30" s="2" t="str">
        <f>IFERROR(__xludf.DUMMYFUNCTION("""COMPUTED_VALUE"""),"Ф65 AL 2017 Italy")</f>
        <v>Ф65 AL 2017 Italy</v>
      </c>
      <c r="G30" s="27">
        <f>IFERROR(__xludf.DUMMYFUNCTION("""COMPUTED_VALUE"""),0.311)</f>
        <v>0.311</v>
      </c>
      <c r="H30" s="23">
        <f>IFERROR(__xludf.DUMMYFUNCTION("""COMPUTED_VALUE"""),4.03056)</f>
        <v>4.03056</v>
      </c>
      <c r="I30" s="2" t="str">
        <f>IFERROR(__xludf.DUMMYFUNCTION("""COMPUTED_VALUE"""),"")</f>
        <v/>
      </c>
      <c r="J30" s="27" t="str">
        <f>IFERROR(__xludf.DUMMYFUNCTION("""COMPUTED_VALUE"""),"")</f>
        <v/>
      </c>
      <c r="K30" s="23" t="str">
        <f>IFERROR(__xludf.DUMMYFUNCTION("""COMPUTED_VALUE"""),"")</f>
        <v/>
      </c>
      <c r="L30" s="2" t="str">
        <f>IFERROR(__xludf.DUMMYFUNCTION("""COMPUTED_VALUE"""),"")</f>
        <v/>
      </c>
      <c r="M30" s="27" t="str">
        <f>IFERROR(__xludf.DUMMYFUNCTION("""COMPUTED_VALUE"""),"")</f>
        <v/>
      </c>
      <c r="N30" s="23" t="str">
        <f>IFERROR(__xludf.DUMMYFUNCTION("""COMPUTED_VALUE"""),"")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2" t="str">
        <f>IFERROR(__xludf.DUMMYFUNCTION("""COMPUTED_VALUE"""),"575-91007")</f>
        <v>575-91007</v>
      </c>
      <c r="B31" s="22" t="str">
        <f>IFERROR(__xludf.DUMMYFUNCTION("""COMPUTED_VALUE"""),"DC25FS16  &lt;/=9 min. 3/8"" shaft, flange , side conn")</f>
        <v>DC25FS16  &lt;/=9 min. 3/8" shaft, flange , side conn</v>
      </c>
      <c r="C31" s="23">
        <f>IFERROR(__xludf.DUMMYFUNCTION("""COMPUTED_VALUE"""),1.15352)</f>
        <v>1.15352</v>
      </c>
      <c r="D31" s="23">
        <f>IFERROR(__xludf.DUMMYFUNCTION("""COMPUTED_VALUE"""),1.15352)</f>
        <v>1.15352</v>
      </c>
      <c r="E31" s="25" t="str">
        <f>IFERROR(__xludf.DUMMYFUNCTION("""COMPUTED_VALUE"""),"")</f>
        <v/>
      </c>
      <c r="F31" s="2" t="str">
        <f>IFERROR(__xludf.DUMMYFUNCTION("""COMPUTED_VALUE"""),"Cast AL Bulgaria (pc.)")</f>
        <v>Cast AL Bulgaria (pc.)</v>
      </c>
      <c r="G31" s="27">
        <f>IFERROR(__xludf.DUMMYFUNCTION("""COMPUTED_VALUE"""),0.222)</f>
        <v>0.222</v>
      </c>
      <c r="H31" s="23">
        <f>IFERROR(__xludf.DUMMYFUNCTION("""COMPUTED_VALUE"""),1.03452)</f>
        <v>1.03452</v>
      </c>
      <c r="I31" s="2" t="str">
        <f>IFERROR(__xludf.DUMMYFUNCTION("""COMPUTED_VALUE"""),"AL USA (pc.)")</f>
        <v>AL USA (pc.)</v>
      </c>
      <c r="J31" s="27">
        <f>IFERROR(__xludf.DUMMYFUNCTION("""COMPUTED_VALUE"""),0.07)</f>
        <v>0.07</v>
      </c>
      <c r="K31" s="23">
        <f>IFERROR(__xludf.DUMMYFUNCTION("""COMPUTED_VALUE"""),0.11900000000000001)</f>
        <v>0.119</v>
      </c>
      <c r="L31" s="2" t="str">
        <f>IFERROR(__xludf.DUMMYFUNCTION("""COMPUTED_VALUE"""),"")</f>
        <v/>
      </c>
      <c r="M31" s="27" t="str">
        <f>IFERROR(__xludf.DUMMYFUNCTION("""COMPUTED_VALUE"""),"")</f>
        <v/>
      </c>
      <c r="N31" s="23" t="str">
        <f>IFERROR(__xludf.DUMMYFUNCTION("""COMPUTED_VALUE"""),"")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2" t="str">
        <f>IFERROR(__xludf.DUMMYFUNCTION("""COMPUTED_VALUE"""),"H25-FE-10")</f>
        <v>H25-FE-10</v>
      </c>
      <c r="B32" s="22" t="str">
        <f>IFERROR(__xludf.DUMMYFUNCTION("""COMPUTED_VALUE"""),"Transducer 1 Turn C&amp;A Flange TR=0.95, 5KHz, w/o conn")</f>
        <v>Transducer 1 Turn C&amp;A Flange TR=0.95, 5KHz, w/o conn</v>
      </c>
      <c r="C32" s="23">
        <f>IFERROR(__xludf.DUMMYFUNCTION("""COMPUTED_VALUE"""),4.14956)</f>
        <v>4.14956</v>
      </c>
      <c r="D32" s="23">
        <f>IFERROR(__xludf.DUMMYFUNCTION("""COMPUTED_VALUE"""),4.14956)</f>
        <v>4.14956</v>
      </c>
      <c r="E32" s="25" t="str">
        <f>IFERROR(__xludf.DUMMYFUNCTION("""COMPUTED_VALUE"""),"")</f>
        <v/>
      </c>
      <c r="F32" s="2" t="str">
        <f>IFERROR(__xludf.DUMMYFUNCTION("""COMPUTED_VALUE"""),"Ф65 AL 2017 Italy")</f>
        <v>Ф65 AL 2017 Italy</v>
      </c>
      <c r="G32" s="27">
        <f>IFERROR(__xludf.DUMMYFUNCTION("""COMPUTED_VALUE"""),0.311)</f>
        <v>0.311</v>
      </c>
      <c r="H32" s="23">
        <f>IFERROR(__xludf.DUMMYFUNCTION("""COMPUTED_VALUE"""),4.03056)</f>
        <v>4.03056</v>
      </c>
      <c r="I32" s="2" t="str">
        <f>IFERROR(__xludf.DUMMYFUNCTION("""COMPUTED_VALUE"""),"AL USA (pc.)")</f>
        <v>AL USA (pc.)</v>
      </c>
      <c r="J32" s="27">
        <f>IFERROR(__xludf.DUMMYFUNCTION("""COMPUTED_VALUE"""),0.07)</f>
        <v>0.07</v>
      </c>
      <c r="K32" s="23">
        <f>IFERROR(__xludf.DUMMYFUNCTION("""COMPUTED_VALUE"""),0.11900000000000001)</f>
        <v>0.119</v>
      </c>
      <c r="L32" s="2" t="str">
        <f>IFERROR(__xludf.DUMMYFUNCTION("""COMPUTED_VALUE"""),"")</f>
        <v/>
      </c>
      <c r="M32" s="27" t="str">
        <f>IFERROR(__xludf.DUMMYFUNCTION("""COMPUTED_VALUE"""),"")</f>
        <v/>
      </c>
      <c r="N32" s="23" t="str">
        <f>IFERROR(__xludf.DUMMYFUNCTION("""COMPUTED_VALUE"""),"")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2" t="str">
        <f>IFERROR(__xludf.DUMMYFUNCTION("""COMPUTED_VALUE"""),"H25-SS")</f>
        <v>H25-SS</v>
      </c>
      <c r="B33" s="22" t="str">
        <f>IFERROR(__xludf.DUMMYFUNCTION("""COMPUTED_VALUE"""),"Size 25 resolver  servo with side connector 0.95 TR@5000Hz 3/8"" shaft")</f>
        <v>Size 25 resolver  servo with side connector 0.95 TR@5000Hz 3/8" shaft</v>
      </c>
      <c r="C33" s="23">
        <f>IFERROR(__xludf.DUMMYFUNCTION("""COMPUTED_VALUE"""),2.4181800000000004)</f>
        <v>2.41818</v>
      </c>
      <c r="D33" s="23">
        <f>IFERROR(__xludf.DUMMYFUNCTION("""COMPUTED_VALUE"""),2.4181800000000004)</f>
        <v>2.41818</v>
      </c>
      <c r="E33" s="25" t="str">
        <f>IFERROR(__xludf.DUMMYFUNCTION("""COMPUTED_VALUE"""),"")</f>
        <v/>
      </c>
      <c r="F33" s="2" t="str">
        <f>IFERROR(__xludf.DUMMYFUNCTION("""COMPUTED_VALUE"""),"Cast AL Bulgaria (pc.)")</f>
        <v>Cast AL Bulgaria (pc.)</v>
      </c>
      <c r="G33" s="27">
        <f>IFERROR(__xludf.DUMMYFUNCTION("""COMPUTED_VALUE"""),0.213)</f>
        <v>0.213</v>
      </c>
      <c r="H33" s="23">
        <f>IFERROR(__xludf.DUMMYFUNCTION("""COMPUTED_VALUE"""),0.99258)</f>
        <v>0.99258</v>
      </c>
      <c r="I33" s="2" t="str">
        <f>IFERROR(__xludf.DUMMYFUNCTION("""COMPUTED_VALUE"""),"Ф65 AL 2017 Italy")</f>
        <v>Ф65 AL 2017 Italy</v>
      </c>
      <c r="J33" s="27">
        <f>IFERROR(__xludf.DUMMYFUNCTION("""COMPUTED_VALUE"""),0.053)</f>
        <v>0.053</v>
      </c>
      <c r="K33" s="23">
        <f>IFERROR(__xludf.DUMMYFUNCTION("""COMPUTED_VALUE"""),0.68688)</f>
        <v>0.68688</v>
      </c>
      <c r="L33" s="2" t="str">
        <f>IFERROR(__xludf.DUMMYFUNCTION("""COMPUTED_VALUE"""),"Ф65 AL 2017 Italy")</f>
        <v>Ф65 AL 2017 Italy</v>
      </c>
      <c r="M33" s="27">
        <f>IFERROR(__xludf.DUMMYFUNCTION("""COMPUTED_VALUE"""),0.057)</f>
        <v>0.057</v>
      </c>
      <c r="N33" s="23">
        <f>IFERROR(__xludf.DUMMYFUNCTION("""COMPUTED_VALUE"""),0.73872)</f>
        <v>0.73872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2" t="str">
        <f>IFERROR(__xludf.DUMMYFUNCTION("""COMPUTED_VALUE"""),"575-01921")</f>
        <v>575-01921</v>
      </c>
      <c r="B34" s="22" t="str">
        <f>IFERROR(__xludf.DUMMYFUNCTION("""COMPUTED_VALUE"""),"Resolver size 11, TR=0.5 2500 Hz, Control Transmitter +/- 7min.; 0,12"" shaft")</f>
        <v>Resolver size 11, TR=0.5 2500 Hz, Control Transmitter +/- 7min.; 0,12" shaft</v>
      </c>
      <c r="C34" s="23">
        <f>IFERROR(__xludf.DUMMYFUNCTION("""COMPUTED_VALUE"""),0.0)</f>
        <v>0</v>
      </c>
      <c r="D34" s="2" t="str">
        <f>IFERROR(__xludf.DUMMYFUNCTION("""COMPUTED_VALUE"""),"")</f>
        <v/>
      </c>
      <c r="E34" s="25" t="str">
        <f>IFERROR(__xludf.DUMMYFUNCTION("""COMPUTED_VALUE"""),"")</f>
        <v/>
      </c>
      <c r="F34" s="2"/>
      <c r="G34" s="2" t="str">
        <f>IFERROR(__xludf.DUMMYFUNCTION("""COMPUTED_VALUE"""),"")</f>
        <v/>
      </c>
      <c r="H34" s="23" t="str">
        <f>IFERROR(__xludf.DUMMYFUNCTION("""COMPUTED_VALUE"""),"")</f>
        <v/>
      </c>
      <c r="I34" s="2" t="str">
        <f>IFERROR(__xludf.DUMMYFUNCTION("""COMPUTED_VALUE"""),"")</f>
        <v/>
      </c>
      <c r="J34" s="27" t="str">
        <f>IFERROR(__xludf.DUMMYFUNCTION("""COMPUTED_VALUE"""),"")</f>
        <v/>
      </c>
      <c r="K34" s="23" t="str">
        <f>IFERROR(__xludf.DUMMYFUNCTION("""COMPUTED_VALUE"""),"")</f>
        <v/>
      </c>
      <c r="L34" s="2" t="str">
        <f>IFERROR(__xludf.DUMMYFUNCTION("""COMPUTED_VALUE"""),"")</f>
        <v/>
      </c>
      <c r="M34" s="27" t="str">
        <f>IFERROR(__xludf.DUMMYFUNCTION("""COMPUTED_VALUE"""),"")</f>
        <v/>
      </c>
      <c r="N34" s="23" t="str">
        <f>IFERROR(__xludf.DUMMYFUNCTION("""COMPUTED_VALUE"""),"")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2" t="str">
        <f>IFERROR(__xludf.DUMMYFUNCTION("""COMPUTED_VALUE"""),"575-01912-3")</f>
        <v>575-01912-3</v>
      </c>
      <c r="B35" s="22" t="str">
        <f>IFERROR(__xludf.DUMMYFUNCTION("""COMPUTED_VALUE"""),"Resolver size 11, TR=0,45 1000Hz, Acc. 3min. Transmitter; 0,12"" shaft with flat")</f>
        <v>Resolver size 11, TR=0,45 1000Hz, Acc. 3min. Transmitter; 0,12" shaft with flat</v>
      </c>
      <c r="C35" s="23">
        <f>IFERROR(__xludf.DUMMYFUNCTION("""COMPUTED_VALUE"""),0.0)</f>
        <v>0</v>
      </c>
      <c r="D35" s="2" t="str">
        <f>IFERROR(__xludf.DUMMYFUNCTION("""COMPUTED_VALUE"""),"")</f>
        <v/>
      </c>
      <c r="E35" s="25" t="str">
        <f>IFERROR(__xludf.DUMMYFUNCTION("""COMPUTED_VALUE"""),"")</f>
        <v/>
      </c>
      <c r="F35" s="2"/>
      <c r="G35" s="2" t="str">
        <f>IFERROR(__xludf.DUMMYFUNCTION("""COMPUTED_VALUE"""),"")</f>
        <v/>
      </c>
      <c r="H35" s="23" t="str">
        <f>IFERROR(__xludf.DUMMYFUNCTION("""COMPUTED_VALUE"""),"")</f>
        <v/>
      </c>
      <c r="I35" s="2" t="str">
        <f>IFERROR(__xludf.DUMMYFUNCTION("""COMPUTED_VALUE"""),"")</f>
        <v/>
      </c>
      <c r="J35" s="27" t="str">
        <f>IFERROR(__xludf.DUMMYFUNCTION("""COMPUTED_VALUE"""),"")</f>
        <v/>
      </c>
      <c r="K35" s="23" t="str">
        <f>IFERROR(__xludf.DUMMYFUNCTION("""COMPUTED_VALUE"""),"")</f>
        <v/>
      </c>
      <c r="L35" s="2" t="str">
        <f>IFERROR(__xludf.DUMMYFUNCTION("""COMPUTED_VALUE"""),"")</f>
        <v/>
      </c>
      <c r="M35" s="27" t="str">
        <f>IFERROR(__xludf.DUMMYFUNCTION("""COMPUTED_VALUE"""),"")</f>
        <v/>
      </c>
      <c r="N35" s="23" t="str">
        <f>IFERROR(__xludf.DUMMYFUNCTION("""COMPUTED_VALUE"""),"")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2" t="str">
        <f>IFERROR(__xludf.DUMMYFUNCTION("""COMPUTED_VALUE"""),"575-01902")</f>
        <v>575-01902</v>
      </c>
      <c r="B36" s="22" t="str">
        <f>IFERROR(__xludf.DUMMYFUNCTION("""COMPUTED_VALUE"""),"Resolver size 11, TR-0,95 Transmitter 5KHz; sorted into -1,-4,-8,-10")</f>
        <v>Resolver size 11, TR-0,95 Transmitter 5KHz; sorted into -1,-4,-8,-10</v>
      </c>
      <c r="C36" s="23">
        <f>IFERROR(__xludf.DUMMYFUNCTION("""COMPUTED_VALUE"""),0.0)</f>
        <v>0</v>
      </c>
      <c r="D36" s="2" t="str">
        <f>IFERROR(__xludf.DUMMYFUNCTION("""COMPUTED_VALUE"""),"")</f>
        <v/>
      </c>
      <c r="E36" s="25" t="str">
        <f>IFERROR(__xludf.DUMMYFUNCTION("""COMPUTED_VALUE"""),"")</f>
        <v/>
      </c>
      <c r="F36" s="2"/>
      <c r="G36" s="2" t="str">
        <f>IFERROR(__xludf.DUMMYFUNCTION("""COMPUTED_VALUE"""),"")</f>
        <v/>
      </c>
      <c r="H36" s="23" t="str">
        <f>IFERROR(__xludf.DUMMYFUNCTION("""COMPUTED_VALUE"""),"")</f>
        <v/>
      </c>
      <c r="I36" s="2" t="str">
        <f>IFERROR(__xludf.DUMMYFUNCTION("""COMPUTED_VALUE"""),"")</f>
        <v/>
      </c>
      <c r="J36" s="27" t="str">
        <f>IFERROR(__xludf.DUMMYFUNCTION("""COMPUTED_VALUE"""),"")</f>
        <v/>
      </c>
      <c r="K36" s="23" t="str">
        <f>IFERROR(__xludf.DUMMYFUNCTION("""COMPUTED_VALUE"""),"")</f>
        <v/>
      </c>
      <c r="L36" s="2" t="str">
        <f>IFERROR(__xludf.DUMMYFUNCTION("""COMPUTED_VALUE"""),"")</f>
        <v/>
      </c>
      <c r="M36" s="27" t="str">
        <f>IFERROR(__xludf.DUMMYFUNCTION("""COMPUTED_VALUE"""),"")</f>
        <v/>
      </c>
      <c r="N36" s="23" t="str">
        <f>IFERROR(__xludf.DUMMYFUNCTION("""COMPUTED_VALUE"""),"")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2" t="str">
        <f>IFERROR(__xludf.DUMMYFUNCTION("""COMPUTED_VALUE"""),"575-01911-2")</f>
        <v>575-01911-2</v>
      </c>
      <c r="B37" s="22" t="str">
        <f>IFERROR(__xludf.DUMMYFUNCTION("""COMPUTED_VALUE"""),"Resolver size 11, TR=,50 2500Hz ACCUR.=&lt;7 with .30"" shaft lengt")</f>
        <v>Resolver size 11, TR=,50 2500Hz ACCUR.=&lt;7 with .30" shaft lengt</v>
      </c>
      <c r="C37" s="23">
        <f>IFERROR(__xludf.DUMMYFUNCTION("""COMPUTED_VALUE"""),0.0)</f>
        <v>0</v>
      </c>
      <c r="D37" s="2" t="str">
        <f>IFERROR(__xludf.DUMMYFUNCTION("""COMPUTED_VALUE"""),"")</f>
        <v/>
      </c>
      <c r="E37" s="25" t="str">
        <f>IFERROR(__xludf.DUMMYFUNCTION("""COMPUTED_VALUE"""),"")</f>
        <v/>
      </c>
      <c r="F37" s="2"/>
      <c r="G37" s="2" t="str">
        <f>IFERROR(__xludf.DUMMYFUNCTION("""COMPUTED_VALUE"""),"")</f>
        <v/>
      </c>
      <c r="H37" s="23" t="str">
        <f>IFERROR(__xludf.DUMMYFUNCTION("""COMPUTED_VALUE"""),"")</f>
        <v/>
      </c>
      <c r="I37" s="2" t="str">
        <f>IFERROR(__xludf.DUMMYFUNCTION("""COMPUTED_VALUE"""),"")</f>
        <v/>
      </c>
      <c r="J37" s="27" t="str">
        <f>IFERROR(__xludf.DUMMYFUNCTION("""COMPUTED_VALUE"""),"")</f>
        <v/>
      </c>
      <c r="K37" s="23" t="str">
        <f>IFERROR(__xludf.DUMMYFUNCTION("""COMPUTED_VALUE"""),"")</f>
        <v/>
      </c>
      <c r="L37" s="2" t="str">
        <f>IFERROR(__xludf.DUMMYFUNCTION("""COMPUTED_VALUE"""),"")</f>
        <v/>
      </c>
      <c r="M37" s="27" t="str">
        <f>IFERROR(__xludf.DUMMYFUNCTION("""COMPUTED_VALUE"""),"")</f>
        <v/>
      </c>
      <c r="N37" s="23" t="str">
        <f>IFERROR(__xludf.DUMMYFUNCTION("""COMPUTED_VALUE"""),"")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2" t="str">
        <f>IFERROR(__xludf.DUMMYFUNCTION("""COMPUTED_VALUE"""),"575-01912")</f>
        <v>575-01912</v>
      </c>
      <c r="B38" s="22" t="str">
        <f>IFERROR(__xludf.DUMMYFUNCTION("""COMPUTED_VALUE"""),"Resolver size 11, TR=0,45 1000Hz, Transmitter Acc. Unsorted")</f>
        <v>Resolver size 11, TR=0,45 1000Hz, Transmitter Acc. Unsorted</v>
      </c>
      <c r="C38" s="23">
        <f>IFERROR(__xludf.DUMMYFUNCTION("""COMPUTED_VALUE"""),0.0)</f>
        <v>0</v>
      </c>
      <c r="D38" s="2" t="str">
        <f>IFERROR(__xludf.DUMMYFUNCTION("""COMPUTED_VALUE"""),"")</f>
        <v/>
      </c>
      <c r="E38" s="25" t="str">
        <f>IFERROR(__xludf.DUMMYFUNCTION("""COMPUTED_VALUE"""),"")</f>
        <v/>
      </c>
      <c r="F38" s="2"/>
      <c r="G38" s="2" t="str">
        <f>IFERROR(__xludf.DUMMYFUNCTION("""COMPUTED_VALUE"""),"")</f>
        <v/>
      </c>
      <c r="H38" s="23" t="str">
        <f>IFERROR(__xludf.DUMMYFUNCTION("""COMPUTED_VALUE"""),"")</f>
        <v/>
      </c>
      <c r="I38" s="2" t="str">
        <f>IFERROR(__xludf.DUMMYFUNCTION("""COMPUTED_VALUE"""),"")</f>
        <v/>
      </c>
      <c r="J38" s="27" t="str">
        <f>IFERROR(__xludf.DUMMYFUNCTION("""COMPUTED_VALUE"""),"")</f>
        <v/>
      </c>
      <c r="K38" s="23" t="str">
        <f>IFERROR(__xludf.DUMMYFUNCTION("""COMPUTED_VALUE"""),"")</f>
        <v/>
      </c>
      <c r="L38" s="2" t="str">
        <f>IFERROR(__xludf.DUMMYFUNCTION("""COMPUTED_VALUE"""),"")</f>
        <v/>
      </c>
      <c r="M38" s="27" t="str">
        <f>IFERROR(__xludf.DUMMYFUNCTION("""COMPUTED_VALUE"""),"")</f>
        <v/>
      </c>
      <c r="N38" s="23" t="str">
        <f>IFERROR(__xludf.DUMMYFUNCTION("""COMPUTED_VALUE"""),"")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2" t="str">
        <f>IFERROR(__xludf.DUMMYFUNCTION("""COMPUTED_VALUE"""),"575-01924")</f>
        <v>575-01924</v>
      </c>
      <c r="B39" s="22" t="str">
        <f>IFERROR(__xludf.DUMMYFUNCTION("""COMPUTED_VALUE"""),"Resolver size 11, TR=1,0 1000Hz, control Transmitter +/-7 min")</f>
        <v>Resolver size 11, TR=1,0 1000Hz, control Transmitter +/-7 min</v>
      </c>
      <c r="C39" s="23">
        <f>IFERROR(__xludf.DUMMYFUNCTION("""COMPUTED_VALUE"""),0.0)</f>
        <v>0</v>
      </c>
      <c r="D39" s="2" t="str">
        <f>IFERROR(__xludf.DUMMYFUNCTION("""COMPUTED_VALUE"""),"")</f>
        <v/>
      </c>
      <c r="E39" s="25" t="str">
        <f>IFERROR(__xludf.DUMMYFUNCTION("""COMPUTED_VALUE"""),"")</f>
        <v/>
      </c>
      <c r="F39" s="2"/>
      <c r="G39" s="2" t="str">
        <f>IFERROR(__xludf.DUMMYFUNCTION("""COMPUTED_VALUE"""),"")</f>
        <v/>
      </c>
      <c r="H39" s="23" t="str">
        <f>IFERROR(__xludf.DUMMYFUNCTION("""COMPUTED_VALUE"""),"")</f>
        <v/>
      </c>
      <c r="I39" s="2" t="str">
        <f>IFERROR(__xludf.DUMMYFUNCTION("""COMPUTED_VALUE"""),"")</f>
        <v/>
      </c>
      <c r="J39" s="27" t="str">
        <f>IFERROR(__xludf.DUMMYFUNCTION("""COMPUTED_VALUE"""),"")</f>
        <v/>
      </c>
      <c r="K39" s="23" t="str">
        <f>IFERROR(__xludf.DUMMYFUNCTION("""COMPUTED_VALUE"""),"")</f>
        <v/>
      </c>
      <c r="L39" s="2" t="str">
        <f>IFERROR(__xludf.DUMMYFUNCTION("""COMPUTED_VALUE"""),"")</f>
        <v/>
      </c>
      <c r="M39" s="27" t="str">
        <f>IFERROR(__xludf.DUMMYFUNCTION("""COMPUTED_VALUE"""),"")</f>
        <v/>
      </c>
      <c r="N39" s="23" t="str">
        <f>IFERROR(__xludf.DUMMYFUNCTION("""COMPUTED_VALUE"""),"")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0" t="str">
        <f>IFERROR(__xludf.DUMMYFUNCTION("""COMPUTED_VALUE"""),"575-01920-1")</f>
        <v>575-01920-1</v>
      </c>
      <c r="B40" s="22" t="str">
        <f>IFERROR(__xludf.DUMMYFUNCTION("""COMPUTED_VALUE"""),"Resolver size 11, TR=0.45 400Hz,Transmitter w/ flat; Acc.=&lt;7 min.")</f>
        <v>Resolver size 11, TR=0.45 400Hz,Transmitter w/ flat; Acc.=&lt;7 min.</v>
      </c>
      <c r="C40" s="23">
        <f>IFERROR(__xludf.DUMMYFUNCTION("""COMPUTED_VALUE"""),0.0)</f>
        <v>0</v>
      </c>
      <c r="D40" s="2" t="str">
        <f>IFERROR(__xludf.DUMMYFUNCTION("""COMPUTED_VALUE"""),"")</f>
        <v/>
      </c>
      <c r="E40" s="25" t="str">
        <f>IFERROR(__xludf.DUMMYFUNCTION("""COMPUTED_VALUE"""),"")</f>
        <v/>
      </c>
      <c r="F40" s="2"/>
      <c r="G40" s="2" t="str">
        <f>IFERROR(__xludf.DUMMYFUNCTION("""COMPUTED_VALUE"""),"")</f>
        <v/>
      </c>
      <c r="H40" s="23" t="str">
        <f>IFERROR(__xludf.DUMMYFUNCTION("""COMPUTED_VALUE"""),"")</f>
        <v/>
      </c>
      <c r="I40" s="2" t="str">
        <f>IFERROR(__xludf.DUMMYFUNCTION("""COMPUTED_VALUE"""),"")</f>
        <v/>
      </c>
      <c r="J40" s="27" t="str">
        <f>IFERROR(__xludf.DUMMYFUNCTION("""COMPUTED_VALUE"""),"")</f>
        <v/>
      </c>
      <c r="K40" s="23" t="str">
        <f>IFERROR(__xludf.DUMMYFUNCTION("""COMPUTED_VALUE"""),"")</f>
        <v/>
      </c>
      <c r="L40" s="2" t="str">
        <f>IFERROR(__xludf.DUMMYFUNCTION("""COMPUTED_VALUE"""),"")</f>
        <v/>
      </c>
      <c r="M40" s="27" t="str">
        <f>IFERROR(__xludf.DUMMYFUNCTION("""COMPUTED_VALUE"""),"")</f>
        <v/>
      </c>
      <c r="N40" s="23" t="str">
        <f>IFERROR(__xludf.DUMMYFUNCTION("""COMPUTED_VALUE"""),"")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2" t="str">
        <f>IFERROR(__xludf.DUMMYFUNCTION("""COMPUTED_VALUE"""),"575-01907")</f>
        <v>575-01907</v>
      </c>
      <c r="B41" s="22" t="str">
        <f>IFERROR(__xludf.DUMMYFUNCTION("""COMPUTED_VALUE"""),"Resolver size 11, TR=1,40 2250Hz")</f>
        <v>Resolver size 11, TR=1,40 2250Hz</v>
      </c>
      <c r="C41" s="23">
        <f>IFERROR(__xludf.DUMMYFUNCTION("""COMPUTED_VALUE"""),0.0)</f>
        <v>0</v>
      </c>
      <c r="D41" s="2" t="str">
        <f>IFERROR(__xludf.DUMMYFUNCTION("""COMPUTED_VALUE"""),"")</f>
        <v/>
      </c>
      <c r="E41" s="25" t="str">
        <f>IFERROR(__xludf.DUMMYFUNCTION("""COMPUTED_VALUE"""),"")</f>
        <v/>
      </c>
      <c r="F41" s="2"/>
      <c r="G41" s="2" t="str">
        <f>IFERROR(__xludf.DUMMYFUNCTION("""COMPUTED_VALUE"""),"")</f>
        <v/>
      </c>
      <c r="H41" s="23" t="str">
        <f>IFERROR(__xludf.DUMMYFUNCTION("""COMPUTED_VALUE"""),"")</f>
        <v/>
      </c>
      <c r="I41" s="2" t="str">
        <f>IFERROR(__xludf.DUMMYFUNCTION("""COMPUTED_VALUE"""),"")</f>
        <v/>
      </c>
      <c r="J41" s="27" t="str">
        <f>IFERROR(__xludf.DUMMYFUNCTION("""COMPUTED_VALUE"""),"")</f>
        <v/>
      </c>
      <c r="K41" s="23" t="str">
        <f>IFERROR(__xludf.DUMMYFUNCTION("""COMPUTED_VALUE"""),"")</f>
        <v/>
      </c>
      <c r="L41" s="2" t="str">
        <f>IFERROR(__xludf.DUMMYFUNCTION("""COMPUTED_VALUE"""),"")</f>
        <v/>
      </c>
      <c r="M41" s="27" t="str">
        <f>IFERROR(__xludf.DUMMYFUNCTION("""COMPUTED_VALUE"""),"")</f>
        <v/>
      </c>
      <c r="N41" s="23" t="str">
        <f>IFERROR(__xludf.DUMMYFUNCTION("""COMPUTED_VALUE"""),"")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2" t="str">
        <f>IFERROR(__xludf.DUMMYFUNCTION("""COMPUTED_VALUE"""),"575-01909")</f>
        <v>575-01909</v>
      </c>
      <c r="B42" s="22" t="str">
        <f>IFERROR(__xludf.DUMMYFUNCTION("""COMPUTED_VALUE"""),"Resolver size 11,&lt;/=20min TR=0,95 5КHz 2speed")</f>
        <v>Resolver size 11,&lt;/=20min TR=0,95 5КHz 2speed</v>
      </c>
      <c r="C42" s="23">
        <f>IFERROR(__xludf.DUMMYFUNCTION("""COMPUTED_VALUE"""),0.0)</f>
        <v>0</v>
      </c>
      <c r="D42" s="2" t="str">
        <f>IFERROR(__xludf.DUMMYFUNCTION("""COMPUTED_VALUE"""),"")</f>
        <v/>
      </c>
      <c r="E42" s="25" t="str">
        <f>IFERROR(__xludf.DUMMYFUNCTION("""COMPUTED_VALUE"""),"")</f>
        <v/>
      </c>
      <c r="F42" s="2"/>
      <c r="G42" s="2" t="str">
        <f>IFERROR(__xludf.DUMMYFUNCTION("""COMPUTED_VALUE"""),"")</f>
        <v/>
      </c>
      <c r="H42" s="23" t="str">
        <f>IFERROR(__xludf.DUMMYFUNCTION("""COMPUTED_VALUE"""),"")</f>
        <v/>
      </c>
      <c r="I42" s="2" t="str">
        <f>IFERROR(__xludf.DUMMYFUNCTION("""COMPUTED_VALUE"""),"")</f>
        <v/>
      </c>
      <c r="J42" s="27" t="str">
        <f>IFERROR(__xludf.DUMMYFUNCTION("""COMPUTED_VALUE"""),"")</f>
        <v/>
      </c>
      <c r="K42" s="23" t="str">
        <f>IFERROR(__xludf.DUMMYFUNCTION("""COMPUTED_VALUE"""),"")</f>
        <v/>
      </c>
      <c r="L42" s="2" t="str">
        <f>IFERROR(__xludf.DUMMYFUNCTION("""COMPUTED_VALUE"""),"")</f>
        <v/>
      </c>
      <c r="M42" s="27" t="str">
        <f>IFERROR(__xludf.DUMMYFUNCTION("""COMPUTED_VALUE"""),"")</f>
        <v/>
      </c>
      <c r="N42" s="23" t="str">
        <f>IFERROR(__xludf.DUMMYFUNCTION("""COMPUTED_VALUE"""),"")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8" t="str">
        <f>IFERROR(__xludf.DUMMYFUNCTION("""COMPUTED_VALUE"""),"575-60025")</f>
        <v>575-60025</v>
      </c>
      <c r="B43" s="22" t="str">
        <f>IFERROR(__xludf.DUMMYFUNCTION("""COMPUTED_VALUE"""),"NR60 Multiturn Body 3/8"" shaft; Nitrile seal Sq. Flange; End conn.")</f>
        <v>NR60 Multiturn Body 3/8" shaft; Nitrile seal Sq. Flange; End conn.</v>
      </c>
      <c r="C43" s="23">
        <f>IFERROR(__xludf.DUMMYFUNCTION("""COMPUTED_VALUE"""),2.9812600000000002)</f>
        <v>2.98126</v>
      </c>
      <c r="D43" s="23">
        <f>IFERROR(__xludf.DUMMYFUNCTION("""COMPUTED_VALUE"""),2.9812600000000002)</f>
        <v>2.98126</v>
      </c>
      <c r="E43" s="25" t="str">
        <f>IFERROR(__xludf.DUMMYFUNCTION("""COMPUTED_VALUE"""),"")</f>
        <v/>
      </c>
      <c r="F43" s="2" t="str">
        <f>IFERROR(__xludf.DUMMYFUNCTION("""COMPUTED_VALUE"""),"Ф62 AL 2017 Italy")</f>
        <v>Ф62 AL 2017 Italy</v>
      </c>
      <c r="G43" s="27">
        <f>IFERROR(__xludf.DUMMYFUNCTION("""COMPUTED_VALUE"""),0.216)</f>
        <v>0.216</v>
      </c>
      <c r="H43" s="23">
        <f>IFERROR(__xludf.DUMMYFUNCTION("""COMPUTED_VALUE"""),2.79936)</f>
        <v>2.79936</v>
      </c>
      <c r="I43" s="2" t="str">
        <f>IFERROR(__xludf.DUMMYFUNCTION("""COMPUTED_VALUE"""),"AL USA (pc.)")</f>
        <v>AL USA (pc.)</v>
      </c>
      <c r="J43" s="27">
        <f>IFERROR(__xludf.DUMMYFUNCTION("""COMPUTED_VALUE"""),0.107)</f>
        <v>0.107</v>
      </c>
      <c r="K43" s="23">
        <f>IFERROR(__xludf.DUMMYFUNCTION("""COMPUTED_VALUE"""),0.18189999999999998)</f>
        <v>0.1819</v>
      </c>
      <c r="L43" s="2" t="str">
        <f>IFERROR(__xludf.DUMMYFUNCTION("""COMPUTED_VALUE"""),"")</f>
        <v/>
      </c>
      <c r="M43" s="27" t="str">
        <f>IFERROR(__xludf.DUMMYFUNCTION("""COMPUTED_VALUE"""),"")</f>
        <v/>
      </c>
      <c r="N43" s="23" t="str">
        <f>IFERROR(__xludf.DUMMYFUNCTION("""COMPUTED_VALUE"""),"")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2" t="str">
        <f>IFERROR(__xludf.DUMMYFUNCTION("""COMPUTED_VALUE"""),"H25V-FE-10")</f>
        <v>H25V-FE-10</v>
      </c>
      <c r="B44" s="22" t="str">
        <f>IFERROR(__xludf.DUMMYFUNCTION("""COMPUTED_VALUE"""),"H25 Flange mount, Viton Seal, End Connector w/10mm shaft 0.95 TR @ 5000Hz")</f>
        <v>H25 Flange mount, Viton Seal, End Connector w/10mm shaft 0.95 TR @ 5000Hz</v>
      </c>
      <c r="C44" s="23">
        <f>IFERROR(__xludf.DUMMYFUNCTION("""COMPUTED_VALUE"""),4.14956)</f>
        <v>4.14956</v>
      </c>
      <c r="D44" s="23">
        <f>IFERROR(__xludf.DUMMYFUNCTION("""COMPUTED_VALUE"""),4.14956)</f>
        <v>4.14956</v>
      </c>
      <c r="E44" s="25" t="str">
        <f>IFERROR(__xludf.DUMMYFUNCTION("""COMPUTED_VALUE"""),"")</f>
        <v/>
      </c>
      <c r="F44" s="2" t="str">
        <f>IFERROR(__xludf.DUMMYFUNCTION("""COMPUTED_VALUE"""),"Ф65 AL 2017 Italy")</f>
        <v>Ф65 AL 2017 Italy</v>
      </c>
      <c r="G44" s="27">
        <f>IFERROR(__xludf.DUMMYFUNCTION("""COMPUTED_VALUE"""),0.311)</f>
        <v>0.311</v>
      </c>
      <c r="H44" s="23">
        <f>IFERROR(__xludf.DUMMYFUNCTION("""COMPUTED_VALUE"""),4.03056)</f>
        <v>4.03056</v>
      </c>
      <c r="I44" s="2" t="str">
        <f>IFERROR(__xludf.DUMMYFUNCTION("""COMPUTED_VALUE"""),"AL USA (pc.)")</f>
        <v>AL USA (pc.)</v>
      </c>
      <c r="J44" s="27">
        <f>IFERROR(__xludf.DUMMYFUNCTION("""COMPUTED_VALUE"""),0.07)</f>
        <v>0.07</v>
      </c>
      <c r="K44" s="23">
        <f>IFERROR(__xludf.DUMMYFUNCTION("""COMPUTED_VALUE"""),0.11900000000000001)</f>
        <v>0.119</v>
      </c>
      <c r="L44" s="2" t="str">
        <f>IFERROR(__xludf.DUMMYFUNCTION("""COMPUTED_VALUE"""),"")</f>
        <v/>
      </c>
      <c r="M44" s="27" t="str">
        <f>IFERROR(__xludf.DUMMYFUNCTION("""COMPUTED_VALUE"""),"")</f>
        <v/>
      </c>
      <c r="N44" s="23" t="str">
        <f>IFERROR(__xludf.DUMMYFUNCTION("""COMPUTED_VALUE"""),"")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0" t="str">
        <f>IFERROR(__xludf.DUMMYFUNCTION("""COMPUTED_VALUE"""),"575-01921-704")</f>
        <v>575-01921-704</v>
      </c>
      <c r="B45" s="22" t="str">
        <f>IFERROR(__xludf.DUMMYFUNCTION("""COMPUTED_VALUE"""),"Resolver size 11 w/seal 2.5Khz 0.5TR 0,1200"" shaft +/- 7min,12"" side leads")</f>
        <v>Resolver size 11 w/seal 2.5Khz 0.5TR 0,1200" shaft +/- 7min,12" side leads</v>
      </c>
      <c r="C45" s="23">
        <f>IFERROR(__xludf.DUMMYFUNCTION("""COMPUTED_VALUE"""),0.0)</f>
        <v>0</v>
      </c>
      <c r="D45" s="2" t="str">
        <f>IFERROR(__xludf.DUMMYFUNCTION("""COMPUTED_VALUE"""),"")</f>
        <v/>
      </c>
      <c r="E45" s="25" t="str">
        <f>IFERROR(__xludf.DUMMYFUNCTION("""COMPUTED_VALUE"""),"")</f>
        <v/>
      </c>
      <c r="F45" s="2" t="str">
        <f>IFERROR(__xludf.DUMMYFUNCTION("""COMPUTED_VALUE"""),"Ф28 S303")</f>
        <v>Ф28 S303</v>
      </c>
      <c r="G45" s="2" t="str">
        <f>IFERROR(__xludf.DUMMYFUNCTION("""COMPUTED_VALUE"""),"")</f>
        <v/>
      </c>
      <c r="H45" s="23" t="str">
        <f>IFERROR(__xludf.DUMMYFUNCTION("""COMPUTED_VALUE"""),"")</f>
        <v/>
      </c>
      <c r="I45" s="2" t="str">
        <f>IFERROR(__xludf.DUMMYFUNCTION("""COMPUTED_VALUE"""),"")</f>
        <v/>
      </c>
      <c r="J45" s="27" t="str">
        <f>IFERROR(__xludf.DUMMYFUNCTION("""COMPUTED_VALUE"""),"")</f>
        <v/>
      </c>
      <c r="K45" s="23" t="str">
        <f>IFERROR(__xludf.DUMMYFUNCTION("""COMPUTED_VALUE"""),"")</f>
        <v/>
      </c>
      <c r="L45" s="2" t="str">
        <f>IFERROR(__xludf.DUMMYFUNCTION("""COMPUTED_VALUE"""),"")</f>
        <v/>
      </c>
      <c r="M45" s="27" t="str">
        <f>IFERROR(__xludf.DUMMYFUNCTION("""COMPUTED_VALUE"""),"")</f>
        <v/>
      </c>
      <c r="N45" s="23" t="str">
        <f>IFERROR(__xludf.DUMMYFUNCTION("""COMPUTED_VALUE"""),"")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2" t="str">
        <f>IFERROR(__xludf.DUMMYFUNCTION("""COMPUTED_VALUE"""),"575-01903")</f>
        <v>575-01903</v>
      </c>
      <c r="B46" s="22" t="str">
        <f>IFERROR(__xludf.DUMMYFUNCTION("""COMPUTED_VALUE"""),"Harowe11 BRW-300-M95B-01 AMCI # R11W-M10/7-1")</f>
        <v>Harowe11 BRW-300-M95B-01 AMCI # R11W-M10/7-1</v>
      </c>
      <c r="C46" s="23">
        <f>IFERROR(__xludf.DUMMYFUNCTION("""COMPUTED_VALUE"""),0.0)</f>
        <v>0</v>
      </c>
      <c r="D46" s="2" t="str">
        <f>IFERROR(__xludf.DUMMYFUNCTION("""COMPUTED_VALUE"""),"")</f>
        <v/>
      </c>
      <c r="E46" s="25" t="str">
        <f>IFERROR(__xludf.DUMMYFUNCTION("""COMPUTED_VALUE"""),"")</f>
        <v/>
      </c>
      <c r="F46" s="2"/>
      <c r="G46" s="2" t="str">
        <f>IFERROR(__xludf.DUMMYFUNCTION("""COMPUTED_VALUE"""),"")</f>
        <v/>
      </c>
      <c r="H46" s="23" t="str">
        <f>IFERROR(__xludf.DUMMYFUNCTION("""COMPUTED_VALUE"""),"")</f>
        <v/>
      </c>
      <c r="I46" s="2" t="str">
        <f>IFERROR(__xludf.DUMMYFUNCTION("""COMPUTED_VALUE"""),"")</f>
        <v/>
      </c>
      <c r="J46" s="27" t="str">
        <f>IFERROR(__xludf.DUMMYFUNCTION("""COMPUTED_VALUE"""),"")</f>
        <v/>
      </c>
      <c r="K46" s="23" t="str">
        <f>IFERROR(__xludf.DUMMYFUNCTION("""COMPUTED_VALUE"""),"")</f>
        <v/>
      </c>
      <c r="L46" s="2" t="str">
        <f>IFERROR(__xludf.DUMMYFUNCTION("""COMPUTED_VALUE"""),"")</f>
        <v/>
      </c>
      <c r="M46" s="27" t="str">
        <f>IFERROR(__xludf.DUMMYFUNCTION("""COMPUTED_VALUE"""),"")</f>
        <v/>
      </c>
      <c r="N46" s="23" t="str">
        <f>IFERROR(__xludf.DUMMYFUNCTION("""COMPUTED_VALUE"""),"")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0" t="str">
        <f>IFERROR(__xludf.DUMMYFUNCTION("""COMPUTED_VALUE"""),"575-60001")</f>
        <v>575-60001</v>
      </c>
      <c r="B47" s="22" t="str">
        <f>IFERROR(__xludf.DUMMYFUNCTION("""COMPUTED_VALUE"""),"NR 60 Multiturn Body 6mm shaft; Nitrile seal; 58mm servo; End conn")</f>
        <v>NR 60 Multiturn Body 6mm shaft; Nitrile seal; 58mm servo; End conn</v>
      </c>
      <c r="C47" s="23">
        <f>IFERROR(__xludf.DUMMYFUNCTION("""COMPUTED_VALUE"""),3.6806400000000004)</f>
        <v>3.68064</v>
      </c>
      <c r="D47" s="23">
        <f>IFERROR(__xludf.DUMMYFUNCTION("""COMPUTED_VALUE"""),3.6806400000000004)</f>
        <v>3.68064</v>
      </c>
      <c r="E47" s="25" t="str">
        <f>IFERROR(__xludf.DUMMYFUNCTION("""COMPUTED_VALUE"""),"")</f>
        <v/>
      </c>
      <c r="F47" s="2" t="str">
        <f>IFERROR(__xludf.DUMMYFUNCTION("""COMPUTED_VALUE"""),"Ф62 AL 2017 Italy")</f>
        <v>Ф62 AL 2017 Italy</v>
      </c>
      <c r="G47" s="27">
        <f>IFERROR(__xludf.DUMMYFUNCTION("""COMPUTED_VALUE"""),0.216)</f>
        <v>0.216</v>
      </c>
      <c r="H47" s="23">
        <f>IFERROR(__xludf.DUMMYFUNCTION("""COMPUTED_VALUE"""),2.79936)</f>
        <v>2.79936</v>
      </c>
      <c r="I47" s="2" t="str">
        <f>IFERROR(__xludf.DUMMYFUNCTION("""COMPUTED_VALUE"""),"Ф62 AL 2017 Italy")</f>
        <v>Ф62 AL 2017 Italy</v>
      </c>
      <c r="J47" s="27">
        <f>IFERROR(__xludf.DUMMYFUNCTION("""COMPUTED_VALUE"""),0.068)</f>
        <v>0.068</v>
      </c>
      <c r="K47" s="23">
        <f>IFERROR(__xludf.DUMMYFUNCTION("""COMPUTED_VALUE"""),0.8812800000000002)</f>
        <v>0.88128</v>
      </c>
      <c r="L47" s="2" t="str">
        <f>IFERROR(__xludf.DUMMYFUNCTION("""COMPUTED_VALUE"""),"")</f>
        <v/>
      </c>
      <c r="M47" s="27" t="str">
        <f>IFERROR(__xludf.DUMMYFUNCTION("""COMPUTED_VALUE"""),"")</f>
        <v/>
      </c>
      <c r="N47" s="23" t="str">
        <f>IFERROR(__xludf.DUMMYFUNCTION("""COMPUTED_VALUE"""),"")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0" t="str">
        <f>IFERROR(__xludf.DUMMYFUNCTION("""COMPUTED_VALUE"""),"575-60005")</f>
        <v>575-60005</v>
      </c>
      <c r="B48" s="22"/>
      <c r="C48" s="23">
        <f>IFERROR(__xludf.DUMMYFUNCTION("""COMPUTED_VALUE"""),2.9812600000000002)</f>
        <v>2.98126</v>
      </c>
      <c r="D48" s="23">
        <f>IFERROR(__xludf.DUMMYFUNCTION("""COMPUTED_VALUE"""),2.9812600000000002)</f>
        <v>2.98126</v>
      </c>
      <c r="E48" s="25" t="str">
        <f>IFERROR(__xludf.DUMMYFUNCTION("""COMPUTED_VALUE"""),"")</f>
        <v/>
      </c>
      <c r="F48" s="2" t="str">
        <f>IFERROR(__xludf.DUMMYFUNCTION("""COMPUTED_VALUE"""),"Ф62 AL 2017 Italy")</f>
        <v>Ф62 AL 2017 Italy</v>
      </c>
      <c r="G48" s="27">
        <f>IFERROR(__xludf.DUMMYFUNCTION("""COMPUTED_VALUE"""),0.216)</f>
        <v>0.216</v>
      </c>
      <c r="H48" s="23">
        <f>IFERROR(__xludf.DUMMYFUNCTION("""COMPUTED_VALUE"""),2.79936)</f>
        <v>2.79936</v>
      </c>
      <c r="I48" s="2" t="str">
        <f>IFERROR(__xludf.DUMMYFUNCTION("""COMPUTED_VALUE"""),"AL USA (pc.)")</f>
        <v>AL USA (pc.)</v>
      </c>
      <c r="J48" s="27">
        <f>IFERROR(__xludf.DUMMYFUNCTION("""COMPUTED_VALUE"""),0.107)</f>
        <v>0.107</v>
      </c>
      <c r="K48" s="23">
        <f>IFERROR(__xludf.DUMMYFUNCTION("""COMPUTED_VALUE"""),0.18189999999999998)</f>
        <v>0.1819</v>
      </c>
      <c r="L48" s="2" t="str">
        <f>IFERROR(__xludf.DUMMYFUNCTION("""COMPUTED_VALUE"""),"")</f>
        <v/>
      </c>
      <c r="M48" s="27" t="str">
        <f>IFERROR(__xludf.DUMMYFUNCTION("""COMPUTED_VALUE"""),"")</f>
        <v/>
      </c>
      <c r="N48" s="23" t="str">
        <f>IFERROR(__xludf.DUMMYFUNCTION("""COMPUTED_VALUE"""),"")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0" t="str">
        <f>IFERROR(__xludf.DUMMYFUNCTION("""COMPUTED_VALUE"""),"575-60023")</f>
        <v>575-60023</v>
      </c>
      <c r="B49" s="22"/>
      <c r="C49" s="23">
        <f>IFERROR(__xludf.DUMMYFUNCTION("""COMPUTED_VALUE"""),3.6806400000000004)</f>
        <v>3.68064</v>
      </c>
      <c r="D49" s="23">
        <f>IFERROR(__xludf.DUMMYFUNCTION("""COMPUTED_VALUE"""),3.6806400000000004)</f>
        <v>3.68064</v>
      </c>
      <c r="E49" s="25" t="str">
        <f>IFERROR(__xludf.DUMMYFUNCTION("""COMPUTED_VALUE"""),"")</f>
        <v/>
      </c>
      <c r="F49" s="2" t="str">
        <f>IFERROR(__xludf.DUMMYFUNCTION("""COMPUTED_VALUE"""),"Ф62 AL 2017 Italy")</f>
        <v>Ф62 AL 2017 Italy</v>
      </c>
      <c r="G49" s="27">
        <f>IFERROR(__xludf.DUMMYFUNCTION("""COMPUTED_VALUE"""),0.216)</f>
        <v>0.216</v>
      </c>
      <c r="H49" s="23">
        <f>IFERROR(__xludf.DUMMYFUNCTION("""COMPUTED_VALUE"""),2.79936)</f>
        <v>2.79936</v>
      </c>
      <c r="I49" s="2" t="str">
        <f>IFERROR(__xludf.DUMMYFUNCTION("""COMPUTED_VALUE"""),"Ф62 AL 2017 Italy")</f>
        <v>Ф62 AL 2017 Italy</v>
      </c>
      <c r="J49" s="27">
        <f>IFERROR(__xludf.DUMMYFUNCTION("""COMPUTED_VALUE"""),0.068)</f>
        <v>0.068</v>
      </c>
      <c r="K49" s="23">
        <f>IFERROR(__xludf.DUMMYFUNCTION("""COMPUTED_VALUE"""),0.8812800000000002)</f>
        <v>0.88128</v>
      </c>
      <c r="L49" s="2" t="str">
        <f>IFERROR(__xludf.DUMMYFUNCTION("""COMPUTED_VALUE"""),"")</f>
        <v/>
      </c>
      <c r="M49" s="27" t="str">
        <f>IFERROR(__xludf.DUMMYFUNCTION("""COMPUTED_VALUE"""),"")</f>
        <v/>
      </c>
      <c r="N49" s="23" t="str">
        <f>IFERROR(__xludf.DUMMYFUNCTION("""COMPUTED_VALUE"""),"")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0" t="str">
        <f>IFERROR(__xludf.DUMMYFUNCTION("""COMPUTED_VALUE"""),"575-60027")</f>
        <v>575-60027</v>
      </c>
      <c r="B50" s="22"/>
      <c r="C50" s="23">
        <f>IFERROR(__xludf.DUMMYFUNCTION("""COMPUTED_VALUE"""),3.6806400000000004)</f>
        <v>3.68064</v>
      </c>
      <c r="D50" s="23">
        <f>IFERROR(__xludf.DUMMYFUNCTION("""COMPUTED_VALUE"""),3.6806400000000004)</f>
        <v>3.68064</v>
      </c>
      <c r="E50" s="25" t="str">
        <f>IFERROR(__xludf.DUMMYFUNCTION("""COMPUTED_VALUE"""),"")</f>
        <v/>
      </c>
      <c r="F50" s="2" t="str">
        <f>IFERROR(__xludf.DUMMYFUNCTION("""COMPUTED_VALUE"""),"Ф62 AL 2017 Italy")</f>
        <v>Ф62 AL 2017 Italy</v>
      </c>
      <c r="G50" s="27">
        <f>IFERROR(__xludf.DUMMYFUNCTION("""COMPUTED_VALUE"""),0.216)</f>
        <v>0.216</v>
      </c>
      <c r="H50" s="23">
        <f>IFERROR(__xludf.DUMMYFUNCTION("""COMPUTED_VALUE"""),2.79936)</f>
        <v>2.79936</v>
      </c>
      <c r="I50" s="2" t="str">
        <f>IFERROR(__xludf.DUMMYFUNCTION("""COMPUTED_VALUE"""),"Ф62 AL 2017 Italy")</f>
        <v>Ф62 AL 2017 Italy</v>
      </c>
      <c r="J50" s="27">
        <f>IFERROR(__xludf.DUMMYFUNCTION("""COMPUTED_VALUE"""),0.068)</f>
        <v>0.068</v>
      </c>
      <c r="K50" s="23">
        <f>IFERROR(__xludf.DUMMYFUNCTION("""COMPUTED_VALUE"""),0.8812800000000002)</f>
        <v>0.88128</v>
      </c>
      <c r="L50" s="2" t="str">
        <f>IFERROR(__xludf.DUMMYFUNCTION("""COMPUTED_VALUE"""),"")</f>
        <v/>
      </c>
      <c r="M50" s="27" t="str">
        <f>IFERROR(__xludf.DUMMYFUNCTION("""COMPUTED_VALUE"""),"")</f>
        <v/>
      </c>
      <c r="N50" s="23" t="str">
        <f>IFERROR(__xludf.DUMMYFUNCTION("""COMPUTED_VALUE"""),"")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0" t="str">
        <f>IFERROR(__xludf.DUMMYFUNCTION("""COMPUTED_VALUE"""),"575-60029")</f>
        <v>575-60029</v>
      </c>
      <c r="B51" s="22"/>
      <c r="C51" s="23">
        <f>IFERROR(__xludf.DUMMYFUNCTION("""COMPUTED_VALUE"""),2.9812600000000002)</f>
        <v>2.98126</v>
      </c>
      <c r="D51" s="23">
        <f>IFERROR(__xludf.DUMMYFUNCTION("""COMPUTED_VALUE"""),2.9812600000000002)</f>
        <v>2.98126</v>
      </c>
      <c r="E51" s="25" t="str">
        <f>IFERROR(__xludf.DUMMYFUNCTION("""COMPUTED_VALUE"""),"")</f>
        <v/>
      </c>
      <c r="F51" s="2" t="str">
        <f>IFERROR(__xludf.DUMMYFUNCTION("""COMPUTED_VALUE"""),"Ф62 AL 2017 Italy")</f>
        <v>Ф62 AL 2017 Italy</v>
      </c>
      <c r="G51" s="27">
        <f>IFERROR(__xludf.DUMMYFUNCTION("""COMPUTED_VALUE"""),0.216)</f>
        <v>0.216</v>
      </c>
      <c r="H51" s="23">
        <f>IFERROR(__xludf.DUMMYFUNCTION("""COMPUTED_VALUE"""),2.79936)</f>
        <v>2.79936</v>
      </c>
      <c r="I51" s="2" t="str">
        <f>IFERROR(__xludf.DUMMYFUNCTION("""COMPUTED_VALUE"""),"AL USA (pc.)")</f>
        <v>AL USA (pc.)</v>
      </c>
      <c r="J51" s="27">
        <f>IFERROR(__xludf.DUMMYFUNCTION("""COMPUTED_VALUE"""),0.107)</f>
        <v>0.107</v>
      </c>
      <c r="K51" s="23">
        <f>IFERROR(__xludf.DUMMYFUNCTION("""COMPUTED_VALUE"""),0.18189999999999998)</f>
        <v>0.1819</v>
      </c>
      <c r="L51" s="2" t="str">
        <f>IFERROR(__xludf.DUMMYFUNCTION("""COMPUTED_VALUE"""),"")</f>
        <v/>
      </c>
      <c r="M51" s="27" t="str">
        <f>IFERROR(__xludf.DUMMYFUNCTION("""COMPUTED_VALUE"""),"")</f>
        <v/>
      </c>
      <c r="N51" s="23" t="str">
        <f>IFERROR(__xludf.DUMMYFUNCTION("""COMPUTED_VALUE"""),"")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0" t="str">
        <f>IFERROR(__xludf.DUMMYFUNCTION("""COMPUTED_VALUE"""),"575-01910")</f>
        <v>575-01910</v>
      </c>
      <c r="B52" s="22" t="str">
        <f>IFERROR(__xludf.DUMMYFUNCTION("""COMPUTED_VALUE"""),"Res. For HT-6 R11X-J 12/7 w/0,7""I. shaft")</f>
        <v>Res. For HT-6 R11X-J 12/7 w/0,7"I. shaft</v>
      </c>
      <c r="C52" s="23">
        <f>IFERROR(__xludf.DUMMYFUNCTION("""COMPUTED_VALUE"""),0.0)</f>
        <v>0</v>
      </c>
      <c r="D52" s="2" t="str">
        <f>IFERROR(__xludf.DUMMYFUNCTION("""COMPUTED_VALUE"""),"")</f>
        <v/>
      </c>
      <c r="E52" s="25" t="str">
        <f>IFERROR(__xludf.DUMMYFUNCTION("""COMPUTED_VALUE"""),"")</f>
        <v/>
      </c>
      <c r="F52" s="2"/>
      <c r="G52" s="2" t="str">
        <f>IFERROR(__xludf.DUMMYFUNCTION("""COMPUTED_VALUE"""),"")</f>
        <v/>
      </c>
      <c r="H52" s="23" t="str">
        <f>IFERROR(__xludf.DUMMYFUNCTION("""COMPUTED_VALUE"""),"")</f>
        <v/>
      </c>
      <c r="I52" s="2" t="str">
        <f>IFERROR(__xludf.DUMMYFUNCTION("""COMPUTED_VALUE"""),"")</f>
        <v/>
      </c>
      <c r="J52" s="27" t="str">
        <f>IFERROR(__xludf.DUMMYFUNCTION("""COMPUTED_VALUE"""),"")</f>
        <v/>
      </c>
      <c r="K52" s="23" t="str">
        <f>IFERROR(__xludf.DUMMYFUNCTION("""COMPUTED_VALUE"""),"")</f>
        <v/>
      </c>
      <c r="L52" s="2" t="str">
        <f>IFERROR(__xludf.DUMMYFUNCTION("""COMPUTED_VALUE"""),"")</f>
        <v/>
      </c>
      <c r="M52" s="27" t="str">
        <f>IFERROR(__xludf.DUMMYFUNCTION("""COMPUTED_VALUE"""),"")</f>
        <v/>
      </c>
      <c r="N52" s="23" t="str">
        <f>IFERROR(__xludf.DUMMYFUNCTION("""COMPUTED_VALUE"""),"")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2" t="str">
        <f>IFERROR(__xludf.DUMMYFUNCTION("""COMPUTED_VALUE"""),"575-01911")</f>
        <v>575-01911</v>
      </c>
      <c r="B53" s="22" t="str">
        <f>IFERROR(__xludf.DUMMYFUNCTION("""COMPUTED_VALUE"""),"Res. Size 11 Freq.=2500 Hz, T.R.=.50, Acc=&lt;7, control xfmr.")</f>
        <v>Res. Size 11 Freq.=2500 Hz, T.R.=.50, Acc=&lt;7, control xfmr.</v>
      </c>
      <c r="C53" s="23">
        <f>IFERROR(__xludf.DUMMYFUNCTION("""COMPUTED_VALUE"""),0.0)</f>
        <v>0</v>
      </c>
      <c r="D53" s="2" t="str">
        <f>IFERROR(__xludf.DUMMYFUNCTION("""COMPUTED_VALUE"""),"")</f>
        <v/>
      </c>
      <c r="E53" s="25" t="str">
        <f>IFERROR(__xludf.DUMMYFUNCTION("""COMPUTED_VALUE"""),"")</f>
        <v/>
      </c>
      <c r="F53" s="2"/>
      <c r="G53" s="2" t="str">
        <f>IFERROR(__xludf.DUMMYFUNCTION("""COMPUTED_VALUE"""),"")</f>
        <v/>
      </c>
      <c r="H53" s="23" t="str">
        <f>IFERROR(__xludf.DUMMYFUNCTION("""COMPUTED_VALUE"""),"")</f>
        <v/>
      </c>
      <c r="I53" s="2" t="str">
        <f>IFERROR(__xludf.DUMMYFUNCTION("""COMPUTED_VALUE"""),"")</f>
        <v/>
      </c>
      <c r="J53" s="27" t="str">
        <f>IFERROR(__xludf.DUMMYFUNCTION("""COMPUTED_VALUE"""),"")</f>
        <v/>
      </c>
      <c r="K53" s="23" t="str">
        <f>IFERROR(__xludf.DUMMYFUNCTION("""COMPUTED_VALUE"""),"")</f>
        <v/>
      </c>
      <c r="L53" s="2" t="str">
        <f>IFERROR(__xludf.DUMMYFUNCTION("""COMPUTED_VALUE"""),"")</f>
        <v/>
      </c>
      <c r="M53" s="27" t="str">
        <f>IFERROR(__xludf.DUMMYFUNCTION("""COMPUTED_VALUE"""),"")</f>
        <v/>
      </c>
      <c r="N53" s="23" t="str">
        <f>IFERROR(__xludf.DUMMYFUNCTION("""COMPUTED_VALUE"""),"")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2" t="str">
        <f>IFERROR(__xludf.DUMMYFUNCTION("""COMPUTED_VALUE"""),"575-01913")</f>
        <v>575-01913</v>
      </c>
      <c r="B54" s="22" t="str">
        <f>IFERROR(__xludf.DUMMYFUNCTION("""COMPUTED_VALUE"""),"Res. Size 11 Freq.=2500 Hz, T.R.=.98, Acc&lt;7")</f>
        <v>Res. Size 11 Freq.=2500 Hz, T.R.=.98, Acc&lt;7</v>
      </c>
      <c r="C54" s="23">
        <f>IFERROR(__xludf.DUMMYFUNCTION("""COMPUTED_VALUE"""),0.0)</f>
        <v>0</v>
      </c>
      <c r="D54" s="2" t="str">
        <f>IFERROR(__xludf.DUMMYFUNCTION("""COMPUTED_VALUE"""),"")</f>
        <v/>
      </c>
      <c r="E54" s="25" t="str">
        <f>IFERROR(__xludf.DUMMYFUNCTION("""COMPUTED_VALUE"""),"")</f>
        <v/>
      </c>
      <c r="F54" s="2"/>
      <c r="G54" s="2" t="str">
        <f>IFERROR(__xludf.DUMMYFUNCTION("""COMPUTED_VALUE"""),"")</f>
        <v/>
      </c>
      <c r="H54" s="23" t="str">
        <f>IFERROR(__xludf.DUMMYFUNCTION("""COMPUTED_VALUE"""),"")</f>
        <v/>
      </c>
      <c r="I54" s="2" t="str">
        <f>IFERROR(__xludf.DUMMYFUNCTION("""COMPUTED_VALUE"""),"")</f>
        <v/>
      </c>
      <c r="J54" s="27" t="str">
        <f>IFERROR(__xludf.DUMMYFUNCTION("""COMPUTED_VALUE"""),"")</f>
        <v/>
      </c>
      <c r="K54" s="23" t="str">
        <f>IFERROR(__xludf.DUMMYFUNCTION("""COMPUTED_VALUE"""),"")</f>
        <v/>
      </c>
      <c r="L54" s="2" t="str">
        <f>IFERROR(__xludf.DUMMYFUNCTION("""COMPUTED_VALUE"""),"")</f>
        <v/>
      </c>
      <c r="M54" s="27" t="str">
        <f>IFERROR(__xludf.DUMMYFUNCTION("""COMPUTED_VALUE"""),"")</f>
        <v/>
      </c>
      <c r="N54" s="23" t="str">
        <f>IFERROR(__xludf.DUMMYFUNCTION("""COMPUTED_VALUE"""),"")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2" t="str">
        <f>IFERROR(__xludf.DUMMYFUNCTION("""COMPUTED_VALUE"""),"575-01917")</f>
        <v>575-01917</v>
      </c>
      <c r="B55" s="22" t="str">
        <f>IFERROR(__xludf.DUMMYFUNCTION("""COMPUTED_VALUE"""),"Res. Size 11, T.R.=.50 Freq.=2.5k, Accur.=&lt;10, Control Transfoemer , 2 Speed")</f>
        <v>Res. Size 11, T.R.=.50 Freq.=2.5k, Accur.=&lt;10, Control Transfoemer , 2 Speed</v>
      </c>
      <c r="C55" s="23">
        <f>IFERROR(__xludf.DUMMYFUNCTION("""COMPUTED_VALUE"""),0.0)</f>
        <v>0</v>
      </c>
      <c r="D55" s="2" t="str">
        <f>IFERROR(__xludf.DUMMYFUNCTION("""COMPUTED_VALUE"""),"")</f>
        <v/>
      </c>
      <c r="E55" s="25" t="str">
        <f>IFERROR(__xludf.DUMMYFUNCTION("""COMPUTED_VALUE"""),"")</f>
        <v/>
      </c>
      <c r="F55" s="2"/>
      <c r="G55" s="2" t="str">
        <f>IFERROR(__xludf.DUMMYFUNCTION("""COMPUTED_VALUE"""),"")</f>
        <v/>
      </c>
      <c r="H55" s="23" t="str">
        <f>IFERROR(__xludf.DUMMYFUNCTION("""COMPUTED_VALUE"""),"")</f>
        <v/>
      </c>
      <c r="I55" s="2" t="str">
        <f>IFERROR(__xludf.DUMMYFUNCTION("""COMPUTED_VALUE"""),"")</f>
        <v/>
      </c>
      <c r="J55" s="27" t="str">
        <f>IFERROR(__xludf.DUMMYFUNCTION("""COMPUTED_VALUE"""),"")</f>
        <v/>
      </c>
      <c r="K55" s="23" t="str">
        <f>IFERROR(__xludf.DUMMYFUNCTION("""COMPUTED_VALUE"""),"")</f>
        <v/>
      </c>
      <c r="L55" s="2" t="str">
        <f>IFERROR(__xludf.DUMMYFUNCTION("""COMPUTED_VALUE"""),"")</f>
        <v/>
      </c>
      <c r="M55" s="27" t="str">
        <f>IFERROR(__xludf.DUMMYFUNCTION("""COMPUTED_VALUE"""),"")</f>
        <v/>
      </c>
      <c r="N55" s="23" t="str">
        <f>IFERROR(__xludf.DUMMYFUNCTION("""COMPUTED_VALUE"""),"")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2" t="str">
        <f>IFERROR(__xludf.DUMMYFUNCTION("""COMPUTED_VALUE"""),"575-01918")</f>
        <v>575-01918</v>
      </c>
      <c r="B56" s="22" t="str">
        <f>IFERROR(__xludf.DUMMYFUNCTION("""COMPUTED_VALUE"""),"Res. Size 11 T.R.=0.54, Freq.= 4 k. ACCUR.=&lt;7, Control Transmitter")</f>
        <v>Res. Size 11 T.R.=0.54, Freq.= 4 k. ACCUR.=&lt;7, Control Transmitter</v>
      </c>
      <c r="C56" s="23">
        <f>IFERROR(__xludf.DUMMYFUNCTION("""COMPUTED_VALUE"""),0.0)</f>
        <v>0</v>
      </c>
      <c r="D56" s="2" t="str">
        <f>IFERROR(__xludf.DUMMYFUNCTION("""COMPUTED_VALUE"""),"")</f>
        <v/>
      </c>
      <c r="E56" s="25" t="str">
        <f>IFERROR(__xludf.DUMMYFUNCTION("""COMPUTED_VALUE"""),"")</f>
        <v/>
      </c>
      <c r="F56" s="2"/>
      <c r="G56" s="2" t="str">
        <f>IFERROR(__xludf.DUMMYFUNCTION("""COMPUTED_VALUE"""),"")</f>
        <v/>
      </c>
      <c r="H56" s="23" t="str">
        <f>IFERROR(__xludf.DUMMYFUNCTION("""COMPUTED_VALUE"""),"")</f>
        <v/>
      </c>
      <c r="I56" s="2" t="str">
        <f>IFERROR(__xludf.DUMMYFUNCTION("""COMPUTED_VALUE"""),"")</f>
        <v/>
      </c>
      <c r="J56" s="27" t="str">
        <f>IFERROR(__xludf.DUMMYFUNCTION("""COMPUTED_VALUE"""),"")</f>
        <v/>
      </c>
      <c r="K56" s="23" t="str">
        <f>IFERROR(__xludf.DUMMYFUNCTION("""COMPUTED_VALUE"""),"")</f>
        <v/>
      </c>
      <c r="L56" s="2" t="str">
        <f>IFERROR(__xludf.DUMMYFUNCTION("""COMPUTED_VALUE"""),"")</f>
        <v/>
      </c>
      <c r="M56" s="27" t="str">
        <f>IFERROR(__xludf.DUMMYFUNCTION("""COMPUTED_VALUE"""),"")</f>
        <v/>
      </c>
      <c r="N56" s="23" t="str">
        <f>IFERROR(__xludf.DUMMYFUNCTION("""COMPUTED_VALUE"""),"")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2" t="str">
        <f>IFERROR(__xludf.DUMMYFUNCTION("""COMPUTED_VALUE"""),"575-01920")</f>
        <v>575-01920</v>
      </c>
      <c r="B57" s="22" t="str">
        <f>IFERROR(__xludf.DUMMYFUNCTION("""COMPUTED_VALUE"""),"Res. Size 11. T.R.=.45, FREQ.= 400 Hz, ACCUR. =&lt;7")</f>
        <v>Res. Size 11. T.R.=.45, FREQ.= 400 Hz, ACCUR. =&lt;7</v>
      </c>
      <c r="C57" s="23">
        <f>IFERROR(__xludf.DUMMYFUNCTION("""COMPUTED_VALUE"""),0.0)</f>
        <v>0</v>
      </c>
      <c r="D57" s="2" t="str">
        <f>IFERROR(__xludf.DUMMYFUNCTION("""COMPUTED_VALUE"""),"")</f>
        <v/>
      </c>
      <c r="E57" s="25" t="str">
        <f>IFERROR(__xludf.DUMMYFUNCTION("""COMPUTED_VALUE"""),"")</f>
        <v/>
      </c>
      <c r="F57" s="2"/>
      <c r="G57" s="2" t="str">
        <f>IFERROR(__xludf.DUMMYFUNCTION("""COMPUTED_VALUE"""),"")</f>
        <v/>
      </c>
      <c r="H57" s="23" t="str">
        <f>IFERROR(__xludf.DUMMYFUNCTION("""COMPUTED_VALUE"""),"")</f>
        <v/>
      </c>
      <c r="I57" s="2" t="str">
        <f>IFERROR(__xludf.DUMMYFUNCTION("""COMPUTED_VALUE"""),"")</f>
        <v/>
      </c>
      <c r="J57" s="27" t="str">
        <f>IFERROR(__xludf.DUMMYFUNCTION("""COMPUTED_VALUE"""),"")</f>
        <v/>
      </c>
      <c r="K57" s="23" t="str">
        <f>IFERROR(__xludf.DUMMYFUNCTION("""COMPUTED_VALUE"""),"")</f>
        <v/>
      </c>
      <c r="L57" s="2" t="str">
        <f>IFERROR(__xludf.DUMMYFUNCTION("""COMPUTED_VALUE"""),"")</f>
        <v/>
      </c>
      <c r="M57" s="27" t="str">
        <f>IFERROR(__xludf.DUMMYFUNCTION("""COMPUTED_VALUE"""),"")</f>
        <v/>
      </c>
      <c r="N57" s="23" t="str">
        <f>IFERROR(__xludf.DUMMYFUNCTION("""COMPUTED_VALUE"""),"")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0" t="str">
        <f>IFERROR(__xludf.DUMMYFUNCTION("""COMPUTED_VALUE"""),"575-01921-701")</f>
        <v>575-01921-701</v>
      </c>
      <c r="B58" s="22" t="str">
        <f>IFERROR(__xludf.DUMMYFUNCTION("""COMPUTED_VALUE"""),"Res. Size 11 Transmitter, T.R.=0.5, Freq.=2.5 КHz, Acc =+/- 7 min. With Conn. &amp; seal")</f>
        <v>Res. Size 11 Transmitter, T.R.=0.5, Freq.=2.5 КHz, Acc =+/- 7 min. With Conn. &amp; seal</v>
      </c>
      <c r="C58" s="23">
        <f>IFERROR(__xludf.DUMMYFUNCTION("""COMPUTED_VALUE"""),0.0)</f>
        <v>0</v>
      </c>
      <c r="D58" s="2" t="str">
        <f>IFERROR(__xludf.DUMMYFUNCTION("""COMPUTED_VALUE"""),"")</f>
        <v/>
      </c>
      <c r="E58" s="25" t="str">
        <f>IFERROR(__xludf.DUMMYFUNCTION("""COMPUTED_VALUE"""),"")</f>
        <v/>
      </c>
      <c r="F58" s="2" t="str">
        <f>IFERROR(__xludf.DUMMYFUNCTION("""COMPUTED_VALUE"""),"Ф28 S303")</f>
        <v>Ф28 S303</v>
      </c>
      <c r="G58" s="2" t="str">
        <f>IFERROR(__xludf.DUMMYFUNCTION("""COMPUTED_VALUE"""),"")</f>
        <v/>
      </c>
      <c r="H58" s="23" t="str">
        <f>IFERROR(__xludf.DUMMYFUNCTION("""COMPUTED_VALUE"""),"")</f>
        <v/>
      </c>
      <c r="I58" s="2" t="str">
        <f>IFERROR(__xludf.DUMMYFUNCTION("""COMPUTED_VALUE"""),"")</f>
        <v/>
      </c>
      <c r="J58" s="27" t="str">
        <f>IFERROR(__xludf.DUMMYFUNCTION("""COMPUTED_VALUE"""),"")</f>
        <v/>
      </c>
      <c r="K58" s="23" t="str">
        <f>IFERROR(__xludf.DUMMYFUNCTION("""COMPUTED_VALUE"""),"")</f>
        <v/>
      </c>
      <c r="L58" s="2" t="str">
        <f>IFERROR(__xludf.DUMMYFUNCTION("""COMPUTED_VALUE"""),"")</f>
        <v/>
      </c>
      <c r="M58" s="27" t="str">
        <f>IFERROR(__xludf.DUMMYFUNCTION("""COMPUTED_VALUE"""),"")</f>
        <v/>
      </c>
      <c r="N58" s="23" t="str">
        <f>IFERROR(__xludf.DUMMYFUNCTION("""COMPUTED_VALUE"""),"")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2" t="str">
        <f>IFERROR(__xludf.DUMMYFUNCTION("""COMPUTED_VALUE"""),"575-01922")</f>
        <v>575-01922</v>
      </c>
      <c r="B59" s="22" t="str">
        <f>IFERROR(__xludf.DUMMYFUNCTION("""COMPUTED_VALUE"""),"Res. Size 11 T.R.=1.75, Freq.= 400 Hz, Control Transformer, w/ 18"" leads")</f>
        <v>Res. Size 11 T.R.=1.75, Freq.= 400 Hz, Control Transformer, w/ 18" leads</v>
      </c>
      <c r="C59" s="23">
        <f>IFERROR(__xludf.DUMMYFUNCTION("""COMPUTED_VALUE"""),0.0)</f>
        <v>0</v>
      </c>
      <c r="D59" s="2" t="str">
        <f>IFERROR(__xludf.DUMMYFUNCTION("""COMPUTED_VALUE"""),"")</f>
        <v/>
      </c>
      <c r="E59" s="25" t="str">
        <f>IFERROR(__xludf.DUMMYFUNCTION("""COMPUTED_VALUE"""),"")</f>
        <v/>
      </c>
      <c r="F59" s="2"/>
      <c r="G59" s="2" t="str">
        <f>IFERROR(__xludf.DUMMYFUNCTION("""COMPUTED_VALUE"""),"")</f>
        <v/>
      </c>
      <c r="H59" s="23" t="str">
        <f>IFERROR(__xludf.DUMMYFUNCTION("""COMPUTED_VALUE"""),"")</f>
        <v/>
      </c>
      <c r="I59" s="2" t="str">
        <f>IFERROR(__xludf.DUMMYFUNCTION("""COMPUTED_VALUE"""),"")</f>
        <v/>
      </c>
      <c r="J59" s="27" t="str">
        <f>IFERROR(__xludf.DUMMYFUNCTION("""COMPUTED_VALUE"""),"")</f>
        <v/>
      </c>
      <c r="K59" s="23" t="str">
        <f>IFERROR(__xludf.DUMMYFUNCTION("""COMPUTED_VALUE"""),"")</f>
        <v/>
      </c>
      <c r="L59" s="2" t="str">
        <f>IFERROR(__xludf.DUMMYFUNCTION("""COMPUTED_VALUE"""),"")</f>
        <v/>
      </c>
      <c r="M59" s="27" t="str">
        <f>IFERROR(__xludf.DUMMYFUNCTION("""COMPUTED_VALUE"""),"")</f>
        <v/>
      </c>
      <c r="N59" s="23" t="str">
        <f>IFERROR(__xludf.DUMMYFUNCTION("""COMPUTED_VALUE"""),"")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2" t="str">
        <f>IFERROR(__xludf.DUMMYFUNCTION("""COMPUTED_VALUE"""),"575-01923")</f>
        <v>575-01923</v>
      </c>
      <c r="B60" s="22" t="str">
        <f>IFERROR(__xludf.DUMMYFUNCTION("""COMPUTED_VALUE"""),"Res. Size 11 T.R.=1.93, Freq.= 400 Hz, Control Transformer")</f>
        <v>Res. Size 11 T.R.=1.93, Freq.= 400 Hz, Control Transformer</v>
      </c>
      <c r="C60" s="23">
        <f>IFERROR(__xludf.DUMMYFUNCTION("""COMPUTED_VALUE"""),0.0)</f>
        <v>0</v>
      </c>
      <c r="D60" s="2" t="str">
        <f>IFERROR(__xludf.DUMMYFUNCTION("""COMPUTED_VALUE"""),"")</f>
        <v/>
      </c>
      <c r="E60" s="25" t="str">
        <f>IFERROR(__xludf.DUMMYFUNCTION("""COMPUTED_VALUE"""),"")</f>
        <v/>
      </c>
      <c r="F60" s="2"/>
      <c r="G60" s="2" t="str">
        <f>IFERROR(__xludf.DUMMYFUNCTION("""COMPUTED_VALUE"""),"")</f>
        <v/>
      </c>
      <c r="H60" s="23" t="str">
        <f>IFERROR(__xludf.DUMMYFUNCTION("""COMPUTED_VALUE"""),"")</f>
        <v/>
      </c>
      <c r="I60" s="2" t="str">
        <f>IFERROR(__xludf.DUMMYFUNCTION("""COMPUTED_VALUE"""),"")</f>
        <v/>
      </c>
      <c r="J60" s="27" t="str">
        <f>IFERROR(__xludf.DUMMYFUNCTION("""COMPUTED_VALUE"""),"")</f>
        <v/>
      </c>
      <c r="K60" s="23" t="str">
        <f>IFERROR(__xludf.DUMMYFUNCTION("""COMPUTED_VALUE"""),"")</f>
        <v/>
      </c>
      <c r="L60" s="2" t="str">
        <f>IFERROR(__xludf.DUMMYFUNCTION("""COMPUTED_VALUE"""),"")</f>
        <v/>
      </c>
      <c r="M60" s="27" t="str">
        <f>IFERROR(__xludf.DUMMYFUNCTION("""COMPUTED_VALUE"""),"")</f>
        <v/>
      </c>
      <c r="N60" s="23" t="str">
        <f>IFERROR(__xludf.DUMMYFUNCTION("""COMPUTED_VALUE"""),"")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0" t="str">
        <f>IFERROR(__xludf.DUMMYFUNCTION("""COMPUTED_VALUE"""),"575-15903")</f>
        <v>575-15903</v>
      </c>
      <c r="B61" s="22" t="str">
        <f>IFERROR(__xludf.DUMMYFUNCTION("""COMPUTED_VALUE"""),"Res. Size 11 Transmitter, T.R.=0.95, Freq.=2.5 КHz, Acc =&lt; 7 ")</f>
        <v>Res. Size 11 Transmitter, T.R.=0.95, Freq.=2.5 КHz, Acc =&lt; 7 </v>
      </c>
      <c r="C61" s="23">
        <f>IFERROR(__xludf.DUMMYFUNCTION("""COMPUTED_VALUE"""),0.0)</f>
        <v>0</v>
      </c>
      <c r="D61" s="2" t="str">
        <f>IFERROR(__xludf.DUMMYFUNCTION("""COMPUTED_VALUE"""),"")</f>
        <v/>
      </c>
      <c r="E61" s="25" t="str">
        <f>IFERROR(__xludf.DUMMYFUNCTION("""COMPUTED_VALUE"""),"")</f>
        <v/>
      </c>
      <c r="F61" s="2"/>
      <c r="G61" s="2" t="str">
        <f>IFERROR(__xludf.DUMMYFUNCTION("""COMPUTED_VALUE"""),"")</f>
        <v/>
      </c>
      <c r="H61" s="23" t="str">
        <f>IFERROR(__xludf.DUMMYFUNCTION("""COMPUTED_VALUE"""),"")</f>
        <v/>
      </c>
      <c r="I61" s="2" t="str">
        <f>IFERROR(__xludf.DUMMYFUNCTION("""COMPUTED_VALUE"""),"")</f>
        <v/>
      </c>
      <c r="J61" s="27" t="str">
        <f>IFERROR(__xludf.DUMMYFUNCTION("""COMPUTED_VALUE"""),"")</f>
        <v/>
      </c>
      <c r="K61" s="23" t="str">
        <f>IFERROR(__xludf.DUMMYFUNCTION("""COMPUTED_VALUE"""),"")</f>
        <v/>
      </c>
      <c r="L61" s="2" t="str">
        <f>IFERROR(__xludf.DUMMYFUNCTION("""COMPUTED_VALUE"""),"")</f>
        <v/>
      </c>
      <c r="M61" s="27" t="str">
        <f>IFERROR(__xludf.DUMMYFUNCTION("""COMPUTED_VALUE"""),"")</f>
        <v/>
      </c>
      <c r="N61" s="23" t="str">
        <f>IFERROR(__xludf.DUMMYFUNCTION("""COMPUTED_VALUE"""),"")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0">
        <f>IFERROR(__xludf.DUMMYFUNCTION("""COMPUTED_VALUE"""),2.11387E8)</f>
        <v>211387000</v>
      </c>
      <c r="B62" s="22" t="str">
        <f>IFERROR(__xludf.DUMMYFUNCTION("""COMPUTED_VALUE"""),"TURCK 10 mm MULTITURN SHAFT")</f>
        <v>TURCK 10 mm MULTITURN SHAFT</v>
      </c>
      <c r="C62" s="23">
        <f>IFERROR(__xludf.DUMMYFUNCTION("""COMPUTED_VALUE"""),0.0)</f>
        <v>0</v>
      </c>
      <c r="D62" s="2" t="str">
        <f>IFERROR(__xludf.DUMMYFUNCTION("""COMPUTED_VALUE"""),"")</f>
        <v/>
      </c>
      <c r="E62" s="25" t="str">
        <f>IFERROR(__xludf.DUMMYFUNCTION("""COMPUTED_VALUE"""),"")</f>
        <v/>
      </c>
      <c r="F62" s="2" t="str">
        <f>IFERROR(__xludf.DUMMYFUNCTION("""COMPUTED_VALUE"""),"")</f>
        <v/>
      </c>
      <c r="G62" s="27" t="str">
        <f>IFERROR(__xludf.DUMMYFUNCTION("""COMPUTED_VALUE"""),"")</f>
        <v/>
      </c>
      <c r="H62" s="23" t="str">
        <f>IFERROR(__xludf.DUMMYFUNCTION("""COMPUTED_VALUE"""),"")</f>
        <v/>
      </c>
      <c r="I62" s="2" t="str">
        <f>IFERROR(__xludf.DUMMYFUNCTION("""COMPUTED_VALUE"""),"")</f>
        <v/>
      </c>
      <c r="J62" s="27" t="str">
        <f>IFERROR(__xludf.DUMMYFUNCTION("""COMPUTED_VALUE"""),"")</f>
        <v/>
      </c>
      <c r="K62" s="23" t="str">
        <f>IFERROR(__xludf.DUMMYFUNCTION("""COMPUTED_VALUE"""),"")</f>
        <v/>
      </c>
      <c r="L62" s="2" t="str">
        <f>IFERROR(__xludf.DUMMYFUNCTION("""COMPUTED_VALUE"""),"")</f>
        <v/>
      </c>
      <c r="M62" s="27" t="str">
        <f>IFERROR(__xludf.DUMMYFUNCTION("""COMPUTED_VALUE"""),"")</f>
        <v/>
      </c>
      <c r="N62" s="23" t="str">
        <f>IFERROR(__xludf.DUMMYFUNCTION("""COMPUTED_VALUE"""),"")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0" t="str">
        <f>IFERROR(__xludf.DUMMYFUNCTION("""COMPUTED_VALUE"""),"21108801A")</f>
        <v>21108801A</v>
      </c>
      <c r="B63" s="22" t="str">
        <f>IFERROR(__xludf.DUMMYFUNCTION("""COMPUTED_VALUE"""),"Shaft DC-425.375 Dia .250End")</f>
        <v>Shaft DC-425.375 Dia .250End</v>
      </c>
      <c r="C63" s="23">
        <f>IFERROR(__xludf.DUMMYFUNCTION("""COMPUTED_VALUE"""),0.0)</f>
        <v>0</v>
      </c>
      <c r="D63" s="2" t="str">
        <f>IFERROR(__xludf.DUMMYFUNCTION("""COMPUTED_VALUE"""),"")</f>
        <v/>
      </c>
      <c r="E63" s="25" t="str">
        <f>IFERROR(__xludf.DUMMYFUNCTION("""COMPUTED_VALUE"""),"")</f>
        <v/>
      </c>
      <c r="F63" s="2" t="str">
        <f>IFERROR(__xludf.DUMMYFUNCTION("""COMPUTED_VALUE"""),"")</f>
        <v/>
      </c>
      <c r="G63" s="27" t="str">
        <f>IFERROR(__xludf.DUMMYFUNCTION("""COMPUTED_VALUE"""),"")</f>
        <v/>
      </c>
      <c r="H63" s="23" t="str">
        <f>IFERROR(__xludf.DUMMYFUNCTION("""COMPUTED_VALUE"""),"")</f>
        <v/>
      </c>
      <c r="I63" s="2" t="str">
        <f>IFERROR(__xludf.DUMMYFUNCTION("""COMPUTED_VALUE"""),"")</f>
        <v/>
      </c>
      <c r="J63" s="27" t="str">
        <f>IFERROR(__xludf.DUMMYFUNCTION("""COMPUTED_VALUE"""),"")</f>
        <v/>
      </c>
      <c r="K63" s="23" t="str">
        <f>IFERROR(__xludf.DUMMYFUNCTION("""COMPUTED_VALUE"""),"")</f>
        <v/>
      </c>
      <c r="L63" s="2" t="str">
        <f>IFERROR(__xludf.DUMMYFUNCTION("""COMPUTED_VALUE"""),"")</f>
        <v/>
      </c>
      <c r="M63" s="27" t="str">
        <f>IFERROR(__xludf.DUMMYFUNCTION("""COMPUTED_VALUE"""),"")</f>
        <v/>
      </c>
      <c r="N63" s="23" t="str">
        <f>IFERROR(__xludf.DUMMYFUNCTION("""COMPUTED_VALUE"""),"")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0" t="str">
        <f>IFERROR(__xludf.DUMMYFUNCTION("""COMPUTED_VALUE"""),"21114201B")</f>
        <v>21114201B</v>
      </c>
      <c r="B64" s="22" t="str">
        <f>IFERROR(__xludf.DUMMYFUNCTION("""COMPUTED_VALUE"""),"5/8"" Shaft w/o Keyway with Front slot Across Shaft for DC425")</f>
        <v>5/8" Shaft w/o Keyway with Front slot Across Shaft for DC425</v>
      </c>
      <c r="C64" s="23">
        <f>IFERROR(__xludf.DUMMYFUNCTION("""COMPUTED_VALUE"""),0.0)</f>
        <v>0</v>
      </c>
      <c r="D64" s="2" t="str">
        <f>IFERROR(__xludf.DUMMYFUNCTION("""COMPUTED_VALUE"""),"")</f>
        <v/>
      </c>
      <c r="E64" s="25" t="str">
        <f>IFERROR(__xludf.DUMMYFUNCTION("""COMPUTED_VALUE"""),"")</f>
        <v/>
      </c>
      <c r="F64" s="2" t="str">
        <f>IFERROR(__xludf.DUMMYFUNCTION("""COMPUTED_VALUE"""),"")</f>
        <v/>
      </c>
      <c r="G64" s="27" t="str">
        <f>IFERROR(__xludf.DUMMYFUNCTION("""COMPUTED_VALUE"""),"")</f>
        <v/>
      </c>
      <c r="H64" s="23" t="str">
        <f>IFERROR(__xludf.DUMMYFUNCTION("""COMPUTED_VALUE"""),"")</f>
        <v/>
      </c>
      <c r="I64" s="2" t="str">
        <f>IFERROR(__xludf.DUMMYFUNCTION("""COMPUTED_VALUE"""),"")</f>
        <v/>
      </c>
      <c r="J64" s="27" t="str">
        <f>IFERROR(__xludf.DUMMYFUNCTION("""COMPUTED_VALUE"""),"")</f>
        <v/>
      </c>
      <c r="K64" s="23" t="str">
        <f>IFERROR(__xludf.DUMMYFUNCTION("""COMPUTED_VALUE"""),"")</f>
        <v/>
      </c>
      <c r="L64" s="2" t="str">
        <f>IFERROR(__xludf.DUMMYFUNCTION("""COMPUTED_VALUE"""),"")</f>
        <v/>
      </c>
      <c r="M64" s="27" t="str">
        <f>IFERROR(__xludf.DUMMYFUNCTION("""COMPUTED_VALUE"""),"")</f>
        <v/>
      </c>
      <c r="N64" s="23" t="str">
        <f>IFERROR(__xludf.DUMMYFUNCTION("""COMPUTED_VALUE"""),"")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0" t="str">
        <f>IFERROR(__xludf.DUMMYFUNCTION("""COMPUTED_VALUE"""),"22146700A")</f>
        <v>22146700A</v>
      </c>
      <c r="B65" s="22" t="str">
        <f>IFERROR(__xludf.DUMMYFUNCTION("""COMPUTED_VALUE"""),"DC60 Rear Cover with PG9 hole and LED pipe for Analog DC60")</f>
        <v>DC60 Rear Cover with PG9 hole and LED pipe for Analog DC60</v>
      </c>
      <c r="C65" s="23">
        <f>IFERROR(__xludf.DUMMYFUNCTION("""COMPUTED_VALUE"""),0.80352)</f>
        <v>0.80352</v>
      </c>
      <c r="D65" s="23">
        <f>IFERROR(__xludf.DUMMYFUNCTION("""COMPUTED_VALUE"""),0.80352)</f>
        <v>0.80352</v>
      </c>
      <c r="E65" s="25">
        <f>IFERROR(__xludf.DUMMYFUNCTION("""COMPUTED_VALUE"""),1.0)</f>
        <v>1</v>
      </c>
      <c r="F65" s="2" t="str">
        <f>IFERROR(__xludf.DUMMYFUNCTION("""COMPUTED_VALUE"""),"")</f>
        <v/>
      </c>
      <c r="G65" s="27" t="str">
        <f>IFERROR(__xludf.DUMMYFUNCTION("""COMPUTED_VALUE"""),"")</f>
        <v/>
      </c>
      <c r="H65" s="23" t="str">
        <f>IFERROR(__xludf.DUMMYFUNCTION("""COMPUTED_VALUE"""),"")</f>
        <v/>
      </c>
      <c r="I65" s="2" t="str">
        <f>IFERROR(__xludf.DUMMYFUNCTION("""COMPUTED_VALUE"""),"")</f>
        <v/>
      </c>
      <c r="J65" s="27" t="str">
        <f>IFERROR(__xludf.DUMMYFUNCTION("""COMPUTED_VALUE"""),"")</f>
        <v/>
      </c>
      <c r="K65" s="23" t="str">
        <f>IFERROR(__xludf.DUMMYFUNCTION("""COMPUTED_VALUE"""),"")</f>
        <v/>
      </c>
      <c r="L65" s="2" t="str">
        <f>IFERROR(__xludf.DUMMYFUNCTION("""COMPUTED_VALUE"""),"Ф62 AL 2017 Italy")</f>
        <v>Ф62 AL 2017 Italy</v>
      </c>
      <c r="M65" s="27">
        <f>IFERROR(__xludf.DUMMYFUNCTION("""COMPUTED_VALUE"""),0.062)</f>
        <v>0.062</v>
      </c>
      <c r="N65" s="23">
        <f>IFERROR(__xludf.DUMMYFUNCTION("""COMPUTED_VALUE"""),0.80352)</f>
        <v>0.80352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0" t="str">
        <f>IFERROR(__xludf.DUMMYFUNCTION("""COMPUTED_VALUE"""),"21130000B")</f>
        <v>21130000B</v>
      </c>
      <c r="B66" s="22" t="str">
        <f>IFERROR(__xludf.DUMMYFUNCTION("""COMPUTED_VALUE"""),"Aluminium flange for size 25 Hub Shaft units for 26mm nitrile seal")</f>
        <v>Aluminium flange for size 25 Hub Shaft units for 26mm nitrile seal</v>
      </c>
      <c r="C66" s="23">
        <f>IFERROR(__xludf.DUMMYFUNCTION("""COMPUTED_VALUE"""),0.0)</f>
        <v>0</v>
      </c>
      <c r="D66" s="2" t="str">
        <f>IFERROR(__xludf.DUMMYFUNCTION("""COMPUTED_VALUE"""),"")</f>
        <v/>
      </c>
      <c r="E66" s="25" t="str">
        <f>IFERROR(__xludf.DUMMYFUNCTION("""COMPUTED_VALUE"""),"")</f>
        <v/>
      </c>
      <c r="F66" s="2" t="str">
        <f>IFERROR(__xludf.DUMMYFUNCTION("""COMPUTED_VALUE"""),"")</f>
        <v/>
      </c>
      <c r="G66" s="27" t="str">
        <f>IFERROR(__xludf.DUMMYFUNCTION("""COMPUTED_VALUE"""),"")</f>
        <v/>
      </c>
      <c r="H66" s="23" t="str">
        <f>IFERROR(__xludf.DUMMYFUNCTION("""COMPUTED_VALUE"""),"")</f>
        <v/>
      </c>
      <c r="I66" s="2" t="str">
        <f>IFERROR(__xludf.DUMMYFUNCTION("""COMPUTED_VALUE"""),"Ф65 AL 2017 Italy")</f>
        <v>Ф65 AL 2017 Italy</v>
      </c>
      <c r="J66" s="27">
        <f>IFERROR(__xludf.DUMMYFUNCTION("""COMPUTED_VALUE"""),0.0)</f>
        <v>0</v>
      </c>
      <c r="K66" s="23">
        <f>IFERROR(__xludf.DUMMYFUNCTION("""COMPUTED_VALUE"""),0.0)</f>
        <v>0</v>
      </c>
      <c r="L66" s="2" t="str">
        <f>IFERROR(__xludf.DUMMYFUNCTION("""COMPUTED_VALUE"""),"")</f>
        <v/>
      </c>
      <c r="M66" s="27" t="str">
        <f>IFERROR(__xludf.DUMMYFUNCTION("""COMPUTED_VALUE"""),"")</f>
        <v/>
      </c>
      <c r="N66" s="23" t="str">
        <f>IFERROR(__xludf.DUMMYFUNCTION("""COMPUTED_VALUE"""),"")</f>
        <v/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0" t="str">
        <f>IFERROR(__xludf.DUMMYFUNCTION("""COMPUTED_VALUE"""),"21134200C")</f>
        <v>21134200C</v>
      </c>
      <c r="B67" s="22" t="str">
        <f>IFERROR(__xludf.DUMMYFUNCTION("""COMPUTED_VALUE"""),"NR25 Ethernet Multiturn end conn. Rear cover")</f>
        <v>NR25 Ethernet Multiturn end conn. Rear cover</v>
      </c>
      <c r="C67" s="23">
        <f>IFERROR(__xludf.DUMMYFUNCTION("""COMPUTED_VALUE"""),1.1016000000000001)</f>
        <v>1.1016</v>
      </c>
      <c r="D67" s="23">
        <f>IFERROR(__xludf.DUMMYFUNCTION("""COMPUTED_VALUE"""),1.1016000000000001)</f>
        <v>1.1016</v>
      </c>
      <c r="E67" s="25">
        <f>IFERROR(__xludf.DUMMYFUNCTION("""COMPUTED_VALUE"""),1.0)</f>
        <v>1</v>
      </c>
      <c r="F67" s="2" t="str">
        <f>IFERROR(__xludf.DUMMYFUNCTION("""COMPUTED_VALUE"""),"")</f>
        <v/>
      </c>
      <c r="G67" s="27" t="str">
        <f>IFERROR(__xludf.DUMMYFUNCTION("""COMPUTED_VALUE"""),"")</f>
        <v/>
      </c>
      <c r="H67" s="23" t="str">
        <f>IFERROR(__xludf.DUMMYFUNCTION("""COMPUTED_VALUE"""),"")</f>
        <v/>
      </c>
      <c r="I67" s="2" t="str">
        <f>IFERROR(__xludf.DUMMYFUNCTION("""COMPUTED_VALUE"""),"")</f>
        <v/>
      </c>
      <c r="J67" s="27" t="str">
        <f>IFERROR(__xludf.DUMMYFUNCTION("""COMPUTED_VALUE"""),"")</f>
        <v/>
      </c>
      <c r="K67" s="23" t="str">
        <f>IFERROR(__xludf.DUMMYFUNCTION("""COMPUTED_VALUE"""),"")</f>
        <v/>
      </c>
      <c r="L67" s="2" t="str">
        <f>IFERROR(__xludf.DUMMYFUNCTION("""COMPUTED_VALUE"""),"Ф65 AL 2017 Italy")</f>
        <v>Ф65 AL 2017 Italy</v>
      </c>
      <c r="M67" s="27">
        <f>IFERROR(__xludf.DUMMYFUNCTION("""COMPUTED_VALUE"""),0.085)</f>
        <v>0.085</v>
      </c>
      <c r="N67" s="23">
        <f>IFERROR(__xludf.DUMMYFUNCTION("""COMPUTED_VALUE"""),1.1016000000000001)</f>
        <v>1.1016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0" t="str">
        <f>IFERROR(__xludf.DUMMYFUNCTION("""COMPUTED_VALUE"""),"RM-5")</f>
        <v>RM-5</v>
      </c>
      <c r="B68" s="22" t="str">
        <f>IFERROR(__xludf.DUMMYFUNCTION("""COMPUTED_VALUE"""),"Reference Module Harowe #11BRCX-300-C10 For 0.45 TR resolver")</f>
        <v>Reference Module Harowe #11BRCX-300-C10 For 0.45 TR resolver</v>
      </c>
      <c r="C68" s="23">
        <f>IFERROR(__xludf.DUMMYFUNCTION("""COMPUTED_VALUE"""),0.0)</f>
        <v>0</v>
      </c>
      <c r="D68" s="2" t="str">
        <f>IFERROR(__xludf.DUMMYFUNCTION("""COMPUTED_VALUE"""),"")</f>
        <v/>
      </c>
      <c r="E68" s="25" t="str">
        <f>IFERROR(__xludf.DUMMYFUNCTION("""COMPUTED_VALUE"""),"")</f>
        <v/>
      </c>
      <c r="F68" s="2" t="str">
        <f>IFERROR(__xludf.DUMMYFUNCTION("""COMPUTED_VALUE"""),"")</f>
        <v/>
      </c>
      <c r="G68" s="27" t="str">
        <f>IFERROR(__xludf.DUMMYFUNCTION("""COMPUTED_VALUE"""),"")</f>
        <v/>
      </c>
      <c r="H68" s="23" t="str">
        <f>IFERROR(__xludf.DUMMYFUNCTION("""COMPUTED_VALUE"""),"")</f>
        <v/>
      </c>
      <c r="I68" s="2" t="str">
        <f>IFERROR(__xludf.DUMMYFUNCTION("""COMPUTED_VALUE"""),"")</f>
        <v/>
      </c>
      <c r="J68" s="27" t="str">
        <f>IFERROR(__xludf.DUMMYFUNCTION("""COMPUTED_VALUE"""),"")</f>
        <v/>
      </c>
      <c r="K68" s="23" t="str">
        <f>IFERROR(__xludf.DUMMYFUNCTION("""COMPUTED_VALUE"""),"")</f>
        <v/>
      </c>
      <c r="L68" s="2" t="str">
        <f>IFERROR(__xludf.DUMMYFUNCTION("""COMPUTED_VALUE"""),"")</f>
        <v/>
      </c>
      <c r="M68" s="27" t="str">
        <f>IFERROR(__xludf.DUMMYFUNCTION("""COMPUTED_VALUE"""),"")</f>
        <v/>
      </c>
      <c r="N68" s="23" t="str">
        <f>IFERROR(__xludf.DUMMYFUNCTION("""COMPUTED_VALUE"""),"")</f>
        <v/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0">
        <f>IFERROR(__xludf.DUMMYFUNCTION("""COMPUTED_VALUE"""),2.11174E8)</f>
        <v>211174000</v>
      </c>
      <c r="B69" s="22" t="str">
        <f>IFERROR(__xludf.DUMMYFUNCTION("""COMPUTED_VALUE"""),"Modified Size 11 resolver Made from 575-01902-1 machined flat on the body")</f>
        <v>Modified Size 11 resolver Made from 575-01902-1 machined flat on the body</v>
      </c>
      <c r="C69" s="23">
        <f>IFERROR(__xludf.DUMMYFUNCTION("""COMPUTED_VALUE"""),0.0)</f>
        <v>0</v>
      </c>
      <c r="D69" s="2" t="str">
        <f>IFERROR(__xludf.DUMMYFUNCTION("""COMPUTED_VALUE"""),"")</f>
        <v/>
      </c>
      <c r="E69" s="25" t="str">
        <f>IFERROR(__xludf.DUMMYFUNCTION("""COMPUTED_VALUE"""),"")</f>
        <v/>
      </c>
      <c r="F69" s="2"/>
      <c r="G69" s="2" t="str">
        <f>IFERROR(__xludf.DUMMYFUNCTION("""COMPUTED_VALUE"""),"")</f>
        <v/>
      </c>
      <c r="H69" s="23" t="str">
        <f>IFERROR(__xludf.DUMMYFUNCTION("""COMPUTED_VALUE"""),"")</f>
        <v/>
      </c>
      <c r="I69" s="2" t="str">
        <f>IFERROR(__xludf.DUMMYFUNCTION("""COMPUTED_VALUE"""),"")</f>
        <v/>
      </c>
      <c r="J69" s="27" t="str">
        <f>IFERROR(__xludf.DUMMYFUNCTION("""COMPUTED_VALUE"""),"")</f>
        <v/>
      </c>
      <c r="K69" s="23" t="str">
        <f>IFERROR(__xludf.DUMMYFUNCTION("""COMPUTED_VALUE"""),"")</f>
        <v/>
      </c>
      <c r="L69" s="2" t="str">
        <f>IFERROR(__xludf.DUMMYFUNCTION("""COMPUTED_VALUE"""),"")</f>
        <v/>
      </c>
      <c r="M69" s="27" t="str">
        <f>IFERROR(__xludf.DUMMYFUNCTION("""COMPUTED_VALUE"""),"")</f>
        <v/>
      </c>
      <c r="N69" s="23" t="str">
        <f>IFERROR(__xludf.DUMMYFUNCTION("""COMPUTED_VALUE"""),"")</f>
        <v/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0" t="str">
        <f>IFERROR(__xludf.DUMMYFUNCTION("""COMPUTED_VALUE"""),"21111202E")</f>
        <v>21111202E</v>
      </c>
      <c r="B70" s="22" t="str">
        <f>IFERROR(__xludf.DUMMYFUNCTION("""COMPUTED_VALUE"""),"DC-25 Rear Cover Size 18")</f>
        <v>DC-25 Rear Cover Size 18</v>
      </c>
      <c r="C70" s="23">
        <f>IFERROR(__xludf.DUMMYFUNCTION("""COMPUTED_VALUE"""),0.6220800000000001)</f>
        <v>0.62208</v>
      </c>
      <c r="D70" s="23">
        <f>IFERROR(__xludf.DUMMYFUNCTION("""COMPUTED_VALUE"""),0.6220800000000001)</f>
        <v>0.62208</v>
      </c>
      <c r="E70" s="25">
        <f>IFERROR(__xludf.DUMMYFUNCTION("""COMPUTED_VALUE"""),1.0)</f>
        <v>1</v>
      </c>
      <c r="F70" s="2" t="str">
        <f>IFERROR(__xludf.DUMMYFUNCTION("""COMPUTED_VALUE"""),"")</f>
        <v/>
      </c>
      <c r="G70" s="27" t="str">
        <f>IFERROR(__xludf.DUMMYFUNCTION("""COMPUTED_VALUE"""),"")</f>
        <v/>
      </c>
      <c r="H70" s="23" t="str">
        <f>IFERROR(__xludf.DUMMYFUNCTION("""COMPUTED_VALUE"""),"")</f>
        <v/>
      </c>
      <c r="I70" s="2" t="str">
        <f>IFERROR(__xludf.DUMMYFUNCTION("""COMPUTED_VALUE"""),"")</f>
        <v/>
      </c>
      <c r="J70" s="27" t="str">
        <f>IFERROR(__xludf.DUMMYFUNCTION("""COMPUTED_VALUE"""),"")</f>
        <v/>
      </c>
      <c r="K70" s="23" t="str">
        <f>IFERROR(__xludf.DUMMYFUNCTION("""COMPUTED_VALUE"""),"")</f>
        <v/>
      </c>
      <c r="L70" s="2" t="str">
        <f>IFERROR(__xludf.DUMMYFUNCTION("""COMPUTED_VALUE"""),"Ф65 AL 2017 Italy")</f>
        <v>Ф65 AL 2017 Italy</v>
      </c>
      <c r="M70" s="27">
        <f>IFERROR(__xludf.DUMMYFUNCTION("""COMPUTED_VALUE"""),0.048)</f>
        <v>0.048</v>
      </c>
      <c r="N70" s="23">
        <f>IFERROR(__xludf.DUMMYFUNCTION("""COMPUTED_VALUE"""),0.6220800000000001)</f>
        <v>0.62208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0" t="str">
        <f>IFERROR(__xludf.DUMMYFUNCTION("""COMPUTED_VALUE"""),"22124400K")</f>
        <v>22124400K</v>
      </c>
      <c r="B71" s="22" t="str">
        <f>IFERROR(__xludf.DUMMYFUNCTION("""COMPUTED_VALUE"""),"H25/DC25 Servo Nose in 6061 AL new stile")</f>
        <v>H25/DC25 Servo Nose in 6061 AL new stile</v>
      </c>
      <c r="C71" s="23">
        <f>IFERROR(__xludf.DUMMYFUNCTION("""COMPUTED_VALUE"""),0.68688)</f>
        <v>0.68688</v>
      </c>
      <c r="D71" s="23">
        <f>IFERROR(__xludf.DUMMYFUNCTION("""COMPUTED_VALUE"""),0.68688)</f>
        <v>0.68688</v>
      </c>
      <c r="E71" s="25">
        <f>IFERROR(__xludf.DUMMYFUNCTION("""COMPUTED_VALUE"""),1.0)</f>
        <v>1</v>
      </c>
      <c r="F71" s="2" t="str">
        <f>IFERROR(__xludf.DUMMYFUNCTION("""COMPUTED_VALUE"""),"")</f>
        <v/>
      </c>
      <c r="G71" s="27" t="str">
        <f>IFERROR(__xludf.DUMMYFUNCTION("""COMPUTED_VALUE"""),"")</f>
        <v/>
      </c>
      <c r="H71" s="23" t="str">
        <f>IFERROR(__xludf.DUMMYFUNCTION("""COMPUTED_VALUE"""),"")</f>
        <v/>
      </c>
      <c r="I71" s="2" t="str">
        <f>IFERROR(__xludf.DUMMYFUNCTION("""COMPUTED_VALUE"""),"Ф65 AL 2017 Italy")</f>
        <v>Ф65 AL 2017 Italy</v>
      </c>
      <c r="J71" s="27">
        <f>IFERROR(__xludf.DUMMYFUNCTION("""COMPUTED_VALUE"""),0.053)</f>
        <v>0.053</v>
      </c>
      <c r="K71" s="23">
        <f>IFERROR(__xludf.DUMMYFUNCTION("""COMPUTED_VALUE"""),0.68688)</f>
        <v>0.68688</v>
      </c>
      <c r="L71" s="2" t="str">
        <f>IFERROR(__xludf.DUMMYFUNCTION("""COMPUTED_VALUE"""),"")</f>
        <v/>
      </c>
      <c r="M71" s="27" t="str">
        <f>IFERROR(__xludf.DUMMYFUNCTION("""COMPUTED_VALUE"""),"")</f>
        <v/>
      </c>
      <c r="N71" s="23" t="str">
        <f>IFERROR(__xludf.DUMMYFUNCTION("""COMPUTED_VALUE"""),"")</f>
        <v/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0" t="str">
        <f>IFERROR(__xludf.DUMMYFUNCTION("""COMPUTED_VALUE"""),"22903700B")</f>
        <v>22903700B</v>
      </c>
      <c r="B72" s="22" t="str">
        <f>IFERROR(__xludf.DUMMYFUNCTION("""COMPUTED_VALUE"""),"AC Steppers Transformer Uses heavy wire 630-02228 for SD17060x, SD3045x")</f>
        <v>AC Steppers Transformer Uses heavy wire 630-02228 for SD17060x, SD3045x</v>
      </c>
      <c r="C72" s="23">
        <f>IFERROR(__xludf.DUMMYFUNCTION("""COMPUTED_VALUE"""),0.0)</f>
        <v>0</v>
      </c>
      <c r="D72" s="2" t="str">
        <f>IFERROR(__xludf.DUMMYFUNCTION("""COMPUTED_VALUE"""),"")</f>
        <v/>
      </c>
      <c r="E72" s="25" t="str">
        <f>IFERROR(__xludf.DUMMYFUNCTION("""COMPUTED_VALUE"""),"")</f>
        <v/>
      </c>
      <c r="F72" s="2" t="str">
        <f>IFERROR(__xludf.DUMMYFUNCTION("""COMPUTED_VALUE"""),"")</f>
        <v/>
      </c>
      <c r="G72" s="27" t="str">
        <f>IFERROR(__xludf.DUMMYFUNCTION("""COMPUTED_VALUE"""),"")</f>
        <v/>
      </c>
      <c r="H72" s="23" t="str">
        <f>IFERROR(__xludf.DUMMYFUNCTION("""COMPUTED_VALUE"""),"")</f>
        <v/>
      </c>
      <c r="I72" s="2" t="str">
        <f>IFERROR(__xludf.DUMMYFUNCTION("""COMPUTED_VALUE"""),"")</f>
        <v/>
      </c>
      <c r="J72" s="27" t="str">
        <f>IFERROR(__xludf.DUMMYFUNCTION("""COMPUTED_VALUE"""),"")</f>
        <v/>
      </c>
      <c r="K72" s="23" t="str">
        <f>IFERROR(__xludf.DUMMYFUNCTION("""COMPUTED_VALUE"""),"")</f>
        <v/>
      </c>
      <c r="L72" s="2" t="str">
        <f>IFERROR(__xludf.DUMMYFUNCTION("""COMPUTED_VALUE"""),"")</f>
        <v/>
      </c>
      <c r="M72" s="27" t="str">
        <f>IFERROR(__xludf.DUMMYFUNCTION("""COMPUTED_VALUE"""),"")</f>
        <v/>
      </c>
      <c r="N72" s="23" t="str">
        <f>IFERROR(__xludf.DUMMYFUNCTION("""COMPUTED_VALUE"""),"")</f>
        <v/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0">
        <f>IFERROR(__xludf.DUMMYFUNCTION("""COMPUTED_VALUE"""),2.11389E8)</f>
        <v>211389000</v>
      </c>
      <c r="B73" s="22"/>
      <c r="C73" s="23">
        <f>IFERROR(__xludf.DUMMYFUNCTION("""COMPUTED_VALUE"""),0.0)</f>
        <v>0</v>
      </c>
      <c r="D73" s="2" t="str">
        <f>IFERROR(__xludf.DUMMYFUNCTION("""COMPUTED_VALUE"""),"")</f>
        <v/>
      </c>
      <c r="E73" s="25" t="str">
        <f>IFERROR(__xludf.DUMMYFUNCTION("""COMPUTED_VALUE"""),"")</f>
        <v/>
      </c>
      <c r="F73" s="2" t="str">
        <f>IFERROR(__xludf.DUMMYFUNCTION("""COMPUTED_VALUE"""),"")</f>
        <v/>
      </c>
      <c r="G73" s="27" t="str">
        <f>IFERROR(__xludf.DUMMYFUNCTION("""COMPUTED_VALUE"""),"")</f>
        <v/>
      </c>
      <c r="H73" s="23" t="str">
        <f>IFERROR(__xludf.DUMMYFUNCTION("""COMPUTED_VALUE"""),"")</f>
        <v/>
      </c>
      <c r="I73" s="2" t="str">
        <f>IFERROR(__xludf.DUMMYFUNCTION("""COMPUTED_VALUE"""),"")</f>
        <v/>
      </c>
      <c r="J73" s="27" t="str">
        <f>IFERROR(__xludf.DUMMYFUNCTION("""COMPUTED_VALUE"""),"")</f>
        <v/>
      </c>
      <c r="K73" s="23" t="str">
        <f>IFERROR(__xludf.DUMMYFUNCTION("""COMPUTED_VALUE"""),"")</f>
        <v/>
      </c>
      <c r="L73" s="2" t="str">
        <f>IFERROR(__xludf.DUMMYFUNCTION("""COMPUTED_VALUE"""),"")</f>
        <v/>
      </c>
      <c r="M73" s="27" t="str">
        <f>IFERROR(__xludf.DUMMYFUNCTION("""COMPUTED_VALUE"""),"")</f>
        <v/>
      </c>
      <c r="N73" s="23" t="str">
        <f>IFERROR(__xludf.DUMMYFUNCTION("""COMPUTED_VALUE"""),"")</f>
        <v/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0">
        <f>IFERROR(__xludf.DUMMYFUNCTION("""COMPUTED_VALUE"""),2.21397E8)</f>
        <v>221397000</v>
      </c>
      <c r="B74" s="22" t="str">
        <f>IFERROR(__xludf.DUMMYFUNCTION("""COMPUTED_VALUE"""),"DC25 &amp; H25 Flange for 5/8"" shaft 6061-T6 AL")</f>
        <v>DC25 &amp; H25 Flange for 5/8" shaft 6061-T6 AL</v>
      </c>
      <c r="C74" s="23">
        <f>IFERROR(__xludf.DUMMYFUNCTION("""COMPUTED_VALUE"""),0.3315)</f>
        <v>0.3315</v>
      </c>
      <c r="D74" s="23">
        <f>IFERROR(__xludf.DUMMYFUNCTION("""COMPUTED_VALUE"""),0.3315)</f>
        <v>0.3315</v>
      </c>
      <c r="E74" s="25">
        <f>IFERROR(__xludf.DUMMYFUNCTION("""COMPUTED_VALUE"""),1.0)</f>
        <v>1</v>
      </c>
      <c r="F74" s="2" t="str">
        <f>IFERROR(__xludf.DUMMYFUNCTION("""COMPUTED_VALUE"""),"")</f>
        <v/>
      </c>
      <c r="G74" s="27" t="str">
        <f>IFERROR(__xludf.DUMMYFUNCTION("""COMPUTED_VALUE"""),"")</f>
        <v/>
      </c>
      <c r="H74" s="23" t="str">
        <f>IFERROR(__xludf.DUMMYFUNCTION("""COMPUTED_VALUE"""),"")</f>
        <v/>
      </c>
      <c r="I74" s="2" t="str">
        <f>IFERROR(__xludf.DUMMYFUNCTION("""COMPUTED_VALUE"""),"AL USA")</f>
        <v>AL USA</v>
      </c>
      <c r="J74" s="27">
        <f>IFERROR(__xludf.DUMMYFUNCTION("""COMPUTED_VALUE"""),0.195)</f>
        <v>0.195</v>
      </c>
      <c r="K74" s="23">
        <f>IFERROR(__xludf.DUMMYFUNCTION("""COMPUTED_VALUE"""),0.3315)</f>
        <v>0.3315</v>
      </c>
      <c r="L74" s="2" t="str">
        <f>IFERROR(__xludf.DUMMYFUNCTION("""COMPUTED_VALUE"""),"")</f>
        <v/>
      </c>
      <c r="M74" s="27" t="str">
        <f>IFERROR(__xludf.DUMMYFUNCTION("""COMPUTED_VALUE"""),"")</f>
        <v/>
      </c>
      <c r="N74" s="23" t="str">
        <f>IFERROR(__xludf.DUMMYFUNCTION("""COMPUTED_VALUE"""),"")</f>
        <v/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0" t="str">
        <f>IFERROR(__xludf.DUMMYFUNCTION("""COMPUTED_VALUE"""),"21110702D")</f>
        <v>21110702D</v>
      </c>
      <c r="B75" s="22" t="str">
        <f>IFERROR(__xludf.DUMMYFUNCTION("""COMPUTED_VALUE"""),"5/8"" S.S. shaft, w .250 end with keyway")</f>
        <v>5/8" S.S. shaft, w .250 end with keyway</v>
      </c>
      <c r="C75" s="23">
        <f>IFERROR(__xludf.DUMMYFUNCTION("""COMPUTED_VALUE"""),0.0)</f>
        <v>0</v>
      </c>
      <c r="D75" s="2" t="str">
        <f>IFERROR(__xludf.DUMMYFUNCTION("""COMPUTED_VALUE"""),"")</f>
        <v/>
      </c>
      <c r="E75" s="25" t="str">
        <f>IFERROR(__xludf.DUMMYFUNCTION("""COMPUTED_VALUE"""),"")</f>
        <v/>
      </c>
      <c r="F75" s="2" t="str">
        <f>IFERROR(__xludf.DUMMYFUNCTION("""COMPUTED_VALUE"""),"")</f>
        <v/>
      </c>
      <c r="G75" s="27" t="str">
        <f>IFERROR(__xludf.DUMMYFUNCTION("""COMPUTED_VALUE"""),"")</f>
        <v/>
      </c>
      <c r="H75" s="23" t="str">
        <f>IFERROR(__xludf.DUMMYFUNCTION("""COMPUTED_VALUE"""),"")</f>
        <v/>
      </c>
      <c r="I75" s="2" t="str">
        <f>IFERROR(__xludf.DUMMYFUNCTION("""COMPUTED_VALUE"""),"")</f>
        <v/>
      </c>
      <c r="J75" s="27" t="str">
        <f>IFERROR(__xludf.DUMMYFUNCTION("""COMPUTED_VALUE"""),"")</f>
        <v/>
      </c>
      <c r="K75" s="23" t="str">
        <f>IFERROR(__xludf.DUMMYFUNCTION("""COMPUTED_VALUE"""),"")</f>
        <v/>
      </c>
      <c r="L75" s="2" t="str">
        <f>IFERROR(__xludf.DUMMYFUNCTION("""COMPUTED_VALUE"""),"")</f>
        <v/>
      </c>
      <c r="M75" s="27" t="str">
        <f>IFERROR(__xludf.DUMMYFUNCTION("""COMPUTED_VALUE"""),"")</f>
        <v/>
      </c>
      <c r="N75" s="23" t="str">
        <f>IFERROR(__xludf.DUMMYFUNCTION("""COMPUTED_VALUE"""),"")</f>
        <v/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0" t="str">
        <f>IFERROR(__xludf.DUMMYFUNCTION("""COMPUTED_VALUE"""),"21129501B")</f>
        <v>21129501B</v>
      </c>
      <c r="B76" s="22" t="str">
        <f>IFERROR(__xludf.DUMMYFUNCTION("""COMPUTED_VALUE"""),"5/8"" Rotor Singleturn DC 25 Made from 200-91229 in BG Material SS-316")</f>
        <v>5/8" Rotor Singleturn DC 25 Made from 200-91229 in BG Material SS-316</v>
      </c>
      <c r="C76" s="23">
        <f>IFERROR(__xludf.DUMMYFUNCTION("""COMPUTED_VALUE"""),0.0)</f>
        <v>0</v>
      </c>
      <c r="D76" s="2" t="str">
        <f>IFERROR(__xludf.DUMMYFUNCTION("""COMPUTED_VALUE"""),"")</f>
        <v/>
      </c>
      <c r="E76" s="25" t="str">
        <f>IFERROR(__xludf.DUMMYFUNCTION("""COMPUTED_VALUE"""),"")</f>
        <v/>
      </c>
      <c r="F76" s="2" t="str">
        <f>IFERROR(__xludf.DUMMYFUNCTION("""COMPUTED_VALUE"""),"")</f>
        <v/>
      </c>
      <c r="G76" s="27" t="str">
        <f>IFERROR(__xludf.DUMMYFUNCTION("""COMPUTED_VALUE"""),"")</f>
        <v/>
      </c>
      <c r="H76" s="23" t="str">
        <f>IFERROR(__xludf.DUMMYFUNCTION("""COMPUTED_VALUE"""),"")</f>
        <v/>
      </c>
      <c r="I76" s="2" t="str">
        <f>IFERROR(__xludf.DUMMYFUNCTION("""COMPUTED_VALUE"""),"")</f>
        <v/>
      </c>
      <c r="J76" s="27" t="str">
        <f>IFERROR(__xludf.DUMMYFUNCTION("""COMPUTED_VALUE"""),"")</f>
        <v/>
      </c>
      <c r="K76" s="23" t="str">
        <f>IFERROR(__xludf.DUMMYFUNCTION("""COMPUTED_VALUE"""),"")</f>
        <v/>
      </c>
      <c r="L76" s="2" t="str">
        <f>IFERROR(__xludf.DUMMYFUNCTION("""COMPUTED_VALUE"""),"")</f>
        <v/>
      </c>
      <c r="M76" s="27" t="str">
        <f>IFERROR(__xludf.DUMMYFUNCTION("""COMPUTED_VALUE"""),"")</f>
        <v/>
      </c>
      <c r="N76" s="23" t="str">
        <f>IFERROR(__xludf.DUMMYFUNCTION("""COMPUTED_VALUE"""),"")</f>
        <v/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2">
        <f>IFERROR(__xludf.DUMMYFUNCTION("""COMPUTED_VALUE"""),2.11137E8)</f>
        <v>211137000</v>
      </c>
      <c r="B77" s="22" t="str">
        <f>IFERROR(__xludf.DUMMYFUNCTION("""COMPUTED_VALUE"""),"Transformer DC25 5 pin")</f>
        <v>Transformer DC25 5 pin</v>
      </c>
      <c r="C77" s="23">
        <f>IFERROR(__xludf.DUMMYFUNCTION("""COMPUTED_VALUE"""),0.0)</f>
        <v>0</v>
      </c>
      <c r="D77" s="2" t="str">
        <f>IFERROR(__xludf.DUMMYFUNCTION("""COMPUTED_VALUE"""),"")</f>
        <v/>
      </c>
      <c r="E77" s="25" t="str">
        <f>IFERROR(__xludf.DUMMYFUNCTION("""COMPUTED_VALUE"""),"")</f>
        <v/>
      </c>
      <c r="F77" s="2" t="str">
        <f>IFERROR(__xludf.DUMMYFUNCTION("""COMPUTED_VALUE"""),"")</f>
        <v/>
      </c>
      <c r="G77" s="27" t="str">
        <f>IFERROR(__xludf.DUMMYFUNCTION("""COMPUTED_VALUE"""),"")</f>
        <v/>
      </c>
      <c r="H77" s="23" t="str">
        <f>IFERROR(__xludf.DUMMYFUNCTION("""COMPUTED_VALUE"""),"")</f>
        <v/>
      </c>
      <c r="I77" s="2" t="str">
        <f>IFERROR(__xludf.DUMMYFUNCTION("""COMPUTED_VALUE"""),"")</f>
        <v/>
      </c>
      <c r="J77" s="27" t="str">
        <f>IFERROR(__xludf.DUMMYFUNCTION("""COMPUTED_VALUE"""),"")</f>
        <v/>
      </c>
      <c r="K77" s="23" t="str">
        <f>IFERROR(__xludf.DUMMYFUNCTION("""COMPUTED_VALUE"""),"")</f>
        <v/>
      </c>
      <c r="L77" s="2" t="str">
        <f>IFERROR(__xludf.DUMMYFUNCTION("""COMPUTED_VALUE"""),"")</f>
        <v/>
      </c>
      <c r="M77" s="27" t="str">
        <f>IFERROR(__xludf.DUMMYFUNCTION("""COMPUTED_VALUE"""),"")</f>
        <v/>
      </c>
      <c r="N77" s="23" t="str">
        <f>IFERROR(__xludf.DUMMYFUNCTION("""COMPUTED_VALUE"""),"")</f>
        <v/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2" t="str">
        <f>IFERROR(__xludf.DUMMYFUNCTION("""COMPUTED_VALUE"""),"551-90002")</f>
        <v>551-90002</v>
      </c>
      <c r="B78" s="22" t="str">
        <f>IFERROR(__xludf.DUMMYFUNCTION("""COMPUTED_VALUE"""),"Transformer Output 36150 Reference")</f>
        <v>Transformer Output 36150 Reference</v>
      </c>
      <c r="C78" s="23">
        <f>IFERROR(__xludf.DUMMYFUNCTION("""COMPUTED_VALUE"""),0.0)</f>
        <v>0</v>
      </c>
      <c r="D78" s="2" t="str">
        <f>IFERROR(__xludf.DUMMYFUNCTION("""COMPUTED_VALUE"""),"")</f>
        <v/>
      </c>
      <c r="E78" s="25" t="str">
        <f>IFERROR(__xludf.DUMMYFUNCTION("""COMPUTED_VALUE"""),"")</f>
        <v/>
      </c>
      <c r="F78" s="2" t="str">
        <f>IFERROR(__xludf.DUMMYFUNCTION("""COMPUTED_VALUE"""),"")</f>
        <v/>
      </c>
      <c r="G78" s="27" t="str">
        <f>IFERROR(__xludf.DUMMYFUNCTION("""COMPUTED_VALUE"""),"")</f>
        <v/>
      </c>
      <c r="H78" s="23" t="str">
        <f>IFERROR(__xludf.DUMMYFUNCTION("""COMPUTED_VALUE"""),"")</f>
        <v/>
      </c>
      <c r="I78" s="2" t="str">
        <f>IFERROR(__xludf.DUMMYFUNCTION("""COMPUTED_VALUE"""),"")</f>
        <v/>
      </c>
      <c r="J78" s="27" t="str">
        <f>IFERROR(__xludf.DUMMYFUNCTION("""COMPUTED_VALUE"""),"")</f>
        <v/>
      </c>
      <c r="K78" s="23" t="str">
        <f>IFERROR(__xludf.DUMMYFUNCTION("""COMPUTED_VALUE"""),"")</f>
        <v/>
      </c>
      <c r="L78" s="2" t="str">
        <f>IFERROR(__xludf.DUMMYFUNCTION("""COMPUTED_VALUE"""),"")</f>
        <v/>
      </c>
      <c r="M78" s="27" t="str">
        <f>IFERROR(__xludf.DUMMYFUNCTION("""COMPUTED_VALUE"""),"")</f>
        <v/>
      </c>
      <c r="N78" s="23" t="str">
        <f>IFERROR(__xludf.DUMMYFUNCTION("""COMPUTED_VALUE"""),"")</f>
        <v/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0">
        <f>IFERROR(__xludf.DUMMYFUNCTION("""COMPUTED_VALUE"""),2.1129402E8)</f>
        <v>211294020</v>
      </c>
      <c r="B79" s="22" t="str">
        <f>IFERROR(__xludf.DUMMYFUNCTION("""COMPUTED_VALUE"""),"IP67 R11 Rear Cover Length=17mm Hole Dia=18mm")</f>
        <v>IP67 R11 Rear Cover Length=17mm Hole Dia=18mm</v>
      </c>
      <c r="C79" s="23">
        <f>IFERROR(__xludf.DUMMYFUNCTION("""COMPUTED_VALUE"""),0.0)</f>
        <v>0</v>
      </c>
      <c r="D79" s="2" t="str">
        <f>IFERROR(__xludf.DUMMYFUNCTION("""COMPUTED_VALUE"""),"")</f>
        <v/>
      </c>
      <c r="E79" s="25" t="str">
        <f>IFERROR(__xludf.DUMMYFUNCTION("""COMPUTED_VALUE"""),"")</f>
        <v/>
      </c>
      <c r="F79" s="2" t="str">
        <f>IFERROR(__xludf.DUMMYFUNCTION("""COMPUTED_VALUE"""),"")</f>
        <v/>
      </c>
      <c r="G79" s="27" t="str">
        <f>IFERROR(__xludf.DUMMYFUNCTION("""COMPUTED_VALUE"""),"")</f>
        <v/>
      </c>
      <c r="H79" s="23" t="str">
        <f>IFERROR(__xludf.DUMMYFUNCTION("""COMPUTED_VALUE"""),"")</f>
        <v/>
      </c>
      <c r="I79" s="2" t="str">
        <f>IFERROR(__xludf.DUMMYFUNCTION("""COMPUTED_VALUE"""),"")</f>
        <v/>
      </c>
      <c r="J79" s="27" t="str">
        <f>IFERROR(__xludf.DUMMYFUNCTION("""COMPUTED_VALUE"""),"")</f>
        <v/>
      </c>
      <c r="K79" s="23" t="str">
        <f>IFERROR(__xludf.DUMMYFUNCTION("""COMPUTED_VALUE"""),"")</f>
        <v/>
      </c>
      <c r="L79" s="2" t="str">
        <f>IFERROR(__xludf.DUMMYFUNCTION("""COMPUTED_VALUE"""),"Ф28 S303")</f>
        <v>Ф28 S303</v>
      </c>
      <c r="M79" s="27">
        <f>IFERROR(__xludf.DUMMYFUNCTION("""COMPUTED_VALUE"""),0.0)</f>
        <v>0</v>
      </c>
      <c r="N79" s="23" t="str">
        <f>IFERROR(__xludf.DUMMYFUNCTION("""COMPUTED_VALUE"""),"")</f>
        <v/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2" t="str">
        <f>IFERROR(__xludf.DUMMYFUNCTION("""COMPUTED_VALUE"""),"21129405А")</f>
        <v>21129405А</v>
      </c>
      <c r="B80" s="22" t="str">
        <f>IFERROR(__xludf.DUMMYFUNCTION("""COMPUTED_VALUE"""),"IP67 R11 Rear Cover Length=12mm Hole Dia=15,3mm for R11X-F10B/7S3-52")</f>
        <v>IP67 R11 Rear Cover Length=12mm Hole Dia=15,3mm for R11X-F10B/7S3-52</v>
      </c>
      <c r="C80" s="23">
        <f>IFERROR(__xludf.DUMMYFUNCTION("""COMPUTED_VALUE"""),0.0)</f>
        <v>0</v>
      </c>
      <c r="D80" s="2" t="str">
        <f>IFERROR(__xludf.DUMMYFUNCTION("""COMPUTED_VALUE"""),"")</f>
        <v/>
      </c>
      <c r="E80" s="25" t="str">
        <f>IFERROR(__xludf.DUMMYFUNCTION("""COMPUTED_VALUE"""),"")</f>
        <v/>
      </c>
      <c r="F80" s="2" t="str">
        <f>IFERROR(__xludf.DUMMYFUNCTION("""COMPUTED_VALUE"""),"")</f>
        <v/>
      </c>
      <c r="G80" s="27" t="str">
        <f>IFERROR(__xludf.DUMMYFUNCTION("""COMPUTED_VALUE"""),"")</f>
        <v/>
      </c>
      <c r="H80" s="23" t="str">
        <f>IFERROR(__xludf.DUMMYFUNCTION("""COMPUTED_VALUE"""),"")</f>
        <v/>
      </c>
      <c r="I80" s="2" t="str">
        <f>IFERROR(__xludf.DUMMYFUNCTION("""COMPUTED_VALUE"""),"")</f>
        <v/>
      </c>
      <c r="J80" s="27" t="str">
        <f>IFERROR(__xludf.DUMMYFUNCTION("""COMPUTED_VALUE"""),"")</f>
        <v/>
      </c>
      <c r="K80" s="23" t="str">
        <f>IFERROR(__xludf.DUMMYFUNCTION("""COMPUTED_VALUE"""),"")</f>
        <v/>
      </c>
      <c r="L80" s="2" t="str">
        <f>IFERROR(__xludf.DUMMYFUNCTION("""COMPUTED_VALUE"""),"Ф28 S303")</f>
        <v>Ф28 S303</v>
      </c>
      <c r="M80" s="27">
        <f>IFERROR(__xludf.DUMMYFUNCTION("""COMPUTED_VALUE"""),0.0)</f>
        <v>0</v>
      </c>
      <c r="N80" s="23" t="str">
        <f>IFERROR(__xludf.DUMMYFUNCTION("""COMPUTED_VALUE"""),"")</f>
        <v/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0">
        <f>IFERROR(__xludf.DUMMYFUNCTION("""COMPUTED_VALUE"""),2.11366E8)</f>
        <v>211366000</v>
      </c>
      <c r="B81" s="22" t="str">
        <f>IFERROR(__xludf.DUMMYFUNCTION("""COMPUTED_VALUE"""),"NR25 Profibus Multiturn rear cover 3 end con., AL")</f>
        <v>NR25 Profibus Multiturn rear cover 3 end con., AL</v>
      </c>
      <c r="C81" s="23">
        <f>IFERROR(__xludf.DUMMYFUNCTION("""COMPUTED_VALUE"""),0.95904)</f>
        <v>0.95904</v>
      </c>
      <c r="D81" s="23">
        <f>IFERROR(__xludf.DUMMYFUNCTION("""COMPUTED_VALUE"""),0.95904)</f>
        <v>0.95904</v>
      </c>
      <c r="E81" s="25">
        <f>IFERROR(__xludf.DUMMYFUNCTION("""COMPUTED_VALUE"""),1.0)</f>
        <v>1</v>
      </c>
      <c r="F81" s="2" t="str">
        <f>IFERROR(__xludf.DUMMYFUNCTION("""COMPUTED_VALUE"""),"")</f>
        <v/>
      </c>
      <c r="G81" s="27" t="str">
        <f>IFERROR(__xludf.DUMMYFUNCTION("""COMPUTED_VALUE"""),"")</f>
        <v/>
      </c>
      <c r="H81" s="23" t="str">
        <f>IFERROR(__xludf.DUMMYFUNCTION("""COMPUTED_VALUE"""),"")</f>
        <v/>
      </c>
      <c r="I81" s="2" t="str">
        <f>IFERROR(__xludf.DUMMYFUNCTION("""COMPUTED_VALUE"""),"")</f>
        <v/>
      </c>
      <c r="J81" s="27" t="str">
        <f>IFERROR(__xludf.DUMMYFUNCTION("""COMPUTED_VALUE"""),"")</f>
        <v/>
      </c>
      <c r="K81" s="23" t="str">
        <f>IFERROR(__xludf.DUMMYFUNCTION("""COMPUTED_VALUE"""),"")</f>
        <v/>
      </c>
      <c r="L81" s="2" t="str">
        <f>IFERROR(__xludf.DUMMYFUNCTION("""COMPUTED_VALUE"""),"Ф65 AL 2017 Italy")</f>
        <v>Ф65 AL 2017 Italy</v>
      </c>
      <c r="M81" s="27">
        <f>IFERROR(__xludf.DUMMYFUNCTION("""COMPUTED_VALUE"""),0.074)</f>
        <v>0.074</v>
      </c>
      <c r="N81" s="23">
        <f>IFERROR(__xludf.DUMMYFUNCTION("""COMPUTED_VALUE"""),0.95904)</f>
        <v>0.95904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0" t="str">
        <f>IFERROR(__xludf.DUMMYFUNCTION("""COMPUTED_VALUE"""),"21137200A")</f>
        <v>21137200A</v>
      </c>
      <c r="B82" s="22" t="str">
        <f>IFERROR(__xludf.DUMMYFUNCTION("""COMPUTED_VALUE"""),"NR25 Profibus Multiturn rear cover singleturn end con.")</f>
        <v>NR25 Profibus Multiturn rear cover singleturn end con.</v>
      </c>
      <c r="C82" s="23">
        <f>IFERROR(__xludf.DUMMYFUNCTION("""COMPUTED_VALUE"""),0.69984)</f>
        <v>0.69984</v>
      </c>
      <c r="D82" s="23">
        <f>IFERROR(__xludf.DUMMYFUNCTION("""COMPUTED_VALUE"""),0.69984)</f>
        <v>0.69984</v>
      </c>
      <c r="E82" s="25">
        <f>IFERROR(__xludf.DUMMYFUNCTION("""COMPUTED_VALUE"""),1.0)</f>
        <v>1</v>
      </c>
      <c r="F82" s="2" t="str">
        <f>IFERROR(__xludf.DUMMYFUNCTION("""COMPUTED_VALUE"""),"")</f>
        <v/>
      </c>
      <c r="G82" s="27" t="str">
        <f>IFERROR(__xludf.DUMMYFUNCTION("""COMPUTED_VALUE"""),"")</f>
        <v/>
      </c>
      <c r="H82" s="23" t="str">
        <f>IFERROR(__xludf.DUMMYFUNCTION("""COMPUTED_VALUE"""),"")</f>
        <v/>
      </c>
      <c r="I82" s="2" t="str">
        <f>IFERROR(__xludf.DUMMYFUNCTION("""COMPUTED_VALUE"""),"")</f>
        <v/>
      </c>
      <c r="J82" s="27" t="str">
        <f>IFERROR(__xludf.DUMMYFUNCTION("""COMPUTED_VALUE"""),"")</f>
        <v/>
      </c>
      <c r="K82" s="23" t="str">
        <f>IFERROR(__xludf.DUMMYFUNCTION("""COMPUTED_VALUE"""),"")</f>
        <v/>
      </c>
      <c r="L82" s="2" t="str">
        <f>IFERROR(__xludf.DUMMYFUNCTION("""COMPUTED_VALUE"""),"Ф65 AL 2017 Italy")</f>
        <v>Ф65 AL 2017 Italy</v>
      </c>
      <c r="M82" s="27">
        <f>IFERROR(__xludf.DUMMYFUNCTION("""COMPUTED_VALUE"""),0.054)</f>
        <v>0.054</v>
      </c>
      <c r="N82" s="23">
        <f>IFERROR(__xludf.DUMMYFUNCTION("""COMPUTED_VALUE"""),0.69984)</f>
        <v>0.69984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0">
        <f>IFERROR(__xludf.DUMMYFUNCTION("""COMPUTED_VALUE"""),2.21466E8)</f>
        <v>221466000</v>
      </c>
      <c r="B83" s="22" t="str">
        <f>IFERROR(__xludf.DUMMYFUNCTION("""COMPUTED_VALUE"""),"Metric servo nose for size 25 units; B.C.=48mm mounting holes")</f>
        <v>Metric servo nose for size 25 units; B.C.=48mm mounting holes</v>
      </c>
      <c r="C83" s="23">
        <f>IFERROR(__xludf.DUMMYFUNCTION("""COMPUTED_VALUE"""),0.68688)</f>
        <v>0.68688</v>
      </c>
      <c r="D83" s="23">
        <f>IFERROR(__xludf.DUMMYFUNCTION("""COMPUTED_VALUE"""),0.68688)</f>
        <v>0.68688</v>
      </c>
      <c r="E83" s="25">
        <f>IFERROR(__xludf.DUMMYFUNCTION("""COMPUTED_VALUE"""),1.0)</f>
        <v>1</v>
      </c>
      <c r="F83" s="2" t="str">
        <f>IFERROR(__xludf.DUMMYFUNCTION("""COMPUTED_VALUE"""),"")</f>
        <v/>
      </c>
      <c r="G83" s="27" t="str">
        <f>IFERROR(__xludf.DUMMYFUNCTION("""COMPUTED_VALUE"""),"")</f>
        <v/>
      </c>
      <c r="H83" s="23" t="str">
        <f>IFERROR(__xludf.DUMMYFUNCTION("""COMPUTED_VALUE"""),"")</f>
        <v/>
      </c>
      <c r="I83" s="2" t="str">
        <f>IFERROR(__xludf.DUMMYFUNCTION("""COMPUTED_VALUE"""),"Ф65 AL 2017 Italy")</f>
        <v>Ф65 AL 2017 Italy</v>
      </c>
      <c r="J83" s="27">
        <f>IFERROR(__xludf.DUMMYFUNCTION("""COMPUTED_VALUE"""),0.053)</f>
        <v>0.053</v>
      </c>
      <c r="K83" s="23">
        <f>IFERROR(__xludf.DUMMYFUNCTION("""COMPUTED_VALUE"""),0.68688)</f>
        <v>0.68688</v>
      </c>
      <c r="L83" s="2" t="str">
        <f>IFERROR(__xludf.DUMMYFUNCTION("""COMPUTED_VALUE"""),"")</f>
        <v/>
      </c>
      <c r="M83" s="27" t="str">
        <f>IFERROR(__xludf.DUMMYFUNCTION("""COMPUTED_VALUE"""),"")</f>
        <v/>
      </c>
      <c r="N83" s="23" t="str">
        <f>IFERROR(__xludf.DUMMYFUNCTION("""COMPUTED_VALUE"""),"")</f>
        <v/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2" t="str">
        <f>IFERROR(__xludf.DUMMYFUNCTION("""COMPUTED_VALUE"""),"2216701A")</f>
        <v>2216701A</v>
      </c>
      <c r="B84" s="22" t="str">
        <f>IFERROR(__xludf.DUMMYFUNCTION("""COMPUTED_VALUE"""),"DC60 Rear cover w/o conn. Hole; LED pipe for Analog DC60")</f>
        <v>DC60 Rear cover w/o conn. Hole; LED pipe for Analog DC60</v>
      </c>
      <c r="C84" s="23">
        <f>IFERROR(__xludf.DUMMYFUNCTION("""COMPUTED_VALUE"""),0.0)</f>
        <v>0</v>
      </c>
      <c r="D84" s="2" t="str">
        <f>IFERROR(__xludf.DUMMYFUNCTION("""COMPUTED_VALUE"""),"")</f>
        <v/>
      </c>
      <c r="E84" s="25" t="str">
        <f>IFERROR(__xludf.DUMMYFUNCTION("""COMPUTED_VALUE"""),"")</f>
        <v/>
      </c>
      <c r="F84" s="2" t="str">
        <f>IFERROR(__xludf.DUMMYFUNCTION("""COMPUTED_VALUE"""),"")</f>
        <v/>
      </c>
      <c r="G84" s="27" t="str">
        <f>IFERROR(__xludf.DUMMYFUNCTION("""COMPUTED_VALUE"""),"")</f>
        <v/>
      </c>
      <c r="H84" s="23" t="str">
        <f>IFERROR(__xludf.DUMMYFUNCTION("""COMPUTED_VALUE"""),"")</f>
        <v/>
      </c>
      <c r="I84" s="2" t="str">
        <f>IFERROR(__xludf.DUMMYFUNCTION("""COMPUTED_VALUE"""),"")</f>
        <v/>
      </c>
      <c r="J84" s="27" t="str">
        <f>IFERROR(__xludf.DUMMYFUNCTION("""COMPUTED_VALUE"""),"")</f>
        <v/>
      </c>
      <c r="K84" s="23" t="str">
        <f>IFERROR(__xludf.DUMMYFUNCTION("""COMPUTED_VALUE"""),"")</f>
        <v/>
      </c>
      <c r="L84" s="2"/>
      <c r="M84" s="27">
        <f>IFERROR(__xludf.DUMMYFUNCTION("""COMPUTED_VALUE"""),0.0)</f>
        <v>0</v>
      </c>
      <c r="N84" s="23" t="str">
        <f>IFERROR(__xludf.DUMMYFUNCTION("""COMPUTED_VALUE"""),"")</f>
        <v/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0" t="str">
        <f>IFERROR(__xludf.DUMMYFUNCTION("""COMPUTED_VALUE"""),"21129500A")</f>
        <v>21129500A</v>
      </c>
      <c r="B85" s="22" t="str">
        <f>IFERROR(__xludf.DUMMYFUNCTION("""COMPUTED_VALUE"""),"5/8"" Rotor Assembly SS-303 used in DC25,H25, HT-20C singleturn,1-speed, J-type")</f>
        <v>5/8" Rotor Assembly SS-303 used in DC25,H25, HT-20C singleturn,1-speed, J-type</v>
      </c>
      <c r="C85" s="23">
        <f>IFERROR(__xludf.DUMMYFUNCTION("""COMPUTED_VALUE"""),0.0)</f>
        <v>0</v>
      </c>
      <c r="D85" s="2" t="str">
        <f>IFERROR(__xludf.DUMMYFUNCTION("""COMPUTED_VALUE"""),"")</f>
        <v/>
      </c>
      <c r="E85" s="25" t="str">
        <f>IFERROR(__xludf.DUMMYFUNCTION("""COMPUTED_VALUE"""),"")</f>
        <v/>
      </c>
      <c r="F85" s="2" t="str">
        <f>IFERROR(__xludf.DUMMYFUNCTION("""COMPUTED_VALUE"""),"")</f>
        <v/>
      </c>
      <c r="G85" s="27" t="str">
        <f>IFERROR(__xludf.DUMMYFUNCTION("""COMPUTED_VALUE"""),"")</f>
        <v/>
      </c>
      <c r="H85" s="23" t="str">
        <f>IFERROR(__xludf.DUMMYFUNCTION("""COMPUTED_VALUE"""),"")</f>
        <v/>
      </c>
      <c r="I85" s="2" t="str">
        <f>IFERROR(__xludf.DUMMYFUNCTION("""COMPUTED_VALUE"""),"")</f>
        <v/>
      </c>
      <c r="J85" s="27" t="str">
        <f>IFERROR(__xludf.DUMMYFUNCTION("""COMPUTED_VALUE"""),"")</f>
        <v/>
      </c>
      <c r="K85" s="23" t="str">
        <f>IFERROR(__xludf.DUMMYFUNCTION("""COMPUTED_VALUE"""),"")</f>
        <v/>
      </c>
      <c r="L85" s="2" t="str">
        <f>IFERROR(__xludf.DUMMYFUNCTION("""COMPUTED_VALUE"""),"")</f>
        <v/>
      </c>
      <c r="M85" s="27" t="str">
        <f>IFERROR(__xludf.DUMMYFUNCTION("""COMPUTED_VALUE"""),"")</f>
        <v/>
      </c>
      <c r="N85" s="23" t="str">
        <f>IFERROR(__xludf.DUMMYFUNCTION("""COMPUTED_VALUE"""),"")</f>
        <v/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0" t="str">
        <f>IFERROR(__xludf.DUMMYFUNCTION("""COMPUTED_VALUE"""),"21141300A")</f>
        <v>21141300A</v>
      </c>
      <c r="B86" s="22" t="str">
        <f>IFERROR(__xludf.DUMMYFUNCTION("""COMPUTED_VALUE"""),"1/4"" Multiturn Rotor for NR60 Encoders with flat")</f>
        <v>1/4" Multiturn Rotor for NR60 Encoders with flat</v>
      </c>
      <c r="C86" s="23">
        <f>IFERROR(__xludf.DUMMYFUNCTION("""COMPUTED_VALUE"""),0.0)</f>
        <v>0</v>
      </c>
      <c r="D86" s="2" t="str">
        <f>IFERROR(__xludf.DUMMYFUNCTION("""COMPUTED_VALUE"""),"")</f>
        <v/>
      </c>
      <c r="E86" s="25" t="str">
        <f>IFERROR(__xludf.DUMMYFUNCTION("""COMPUTED_VALUE"""),"")</f>
        <v/>
      </c>
      <c r="F86" s="2" t="str">
        <f>IFERROR(__xludf.DUMMYFUNCTION("""COMPUTED_VALUE"""),"")</f>
        <v/>
      </c>
      <c r="G86" s="27" t="str">
        <f>IFERROR(__xludf.DUMMYFUNCTION("""COMPUTED_VALUE"""),"")</f>
        <v/>
      </c>
      <c r="H86" s="23" t="str">
        <f>IFERROR(__xludf.DUMMYFUNCTION("""COMPUTED_VALUE"""),"")</f>
        <v/>
      </c>
      <c r="I86" s="2" t="str">
        <f>IFERROR(__xludf.DUMMYFUNCTION("""COMPUTED_VALUE"""),"")</f>
        <v/>
      </c>
      <c r="J86" s="27" t="str">
        <f>IFERROR(__xludf.DUMMYFUNCTION("""COMPUTED_VALUE"""),"")</f>
        <v/>
      </c>
      <c r="K86" s="23" t="str">
        <f>IFERROR(__xludf.DUMMYFUNCTION("""COMPUTED_VALUE"""),"")</f>
        <v/>
      </c>
      <c r="L86" s="2" t="str">
        <f>IFERROR(__xludf.DUMMYFUNCTION("""COMPUTED_VALUE"""),"")</f>
        <v/>
      </c>
      <c r="M86" s="27" t="str">
        <f>IFERROR(__xludf.DUMMYFUNCTION("""COMPUTED_VALUE"""),"")</f>
        <v/>
      </c>
      <c r="N86" s="23" t="str">
        <f>IFERROR(__xludf.DUMMYFUNCTION("""COMPUTED_VALUE"""),"")</f>
        <v/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2" t="str">
        <f>IFERROR(__xludf.DUMMYFUNCTION("""COMPUTED_VALUE"""),"575-01921-704")</f>
        <v>575-01921-704</v>
      </c>
      <c r="B87" s="22" t="str">
        <f>IFERROR(__xludf.DUMMYFUNCTION("""COMPUTED_VALUE"""),"Resolver sie 11 /w seal 2,5KHz 0,5 TR 0,12"" shaft +/- 7 min 12"" side lead")</f>
        <v>Resolver sie 11 /w seal 2,5KHz 0,5 TR 0,12" shaft +/- 7 min 12" side lead</v>
      </c>
      <c r="C87" s="23">
        <f>IFERROR(__xludf.DUMMYFUNCTION("""COMPUTED_VALUE"""),0.0)</f>
        <v>0</v>
      </c>
      <c r="D87" s="2" t="str">
        <f>IFERROR(__xludf.DUMMYFUNCTION("""COMPUTED_VALUE"""),"")</f>
        <v/>
      </c>
      <c r="E87" s="25" t="str">
        <f>IFERROR(__xludf.DUMMYFUNCTION("""COMPUTED_VALUE"""),"")</f>
        <v/>
      </c>
      <c r="F87" s="2"/>
      <c r="G87" s="2" t="str">
        <f>IFERROR(__xludf.DUMMYFUNCTION("""COMPUTED_VALUE"""),"")</f>
        <v/>
      </c>
      <c r="H87" s="23" t="str">
        <f>IFERROR(__xludf.DUMMYFUNCTION("""COMPUTED_VALUE"""),"")</f>
        <v/>
      </c>
      <c r="I87" s="2" t="str">
        <f>IFERROR(__xludf.DUMMYFUNCTION("""COMPUTED_VALUE"""),"")</f>
        <v/>
      </c>
      <c r="J87" s="27" t="str">
        <f>IFERROR(__xludf.DUMMYFUNCTION("""COMPUTED_VALUE"""),"")</f>
        <v/>
      </c>
      <c r="K87" s="23" t="str">
        <f>IFERROR(__xludf.DUMMYFUNCTION("""COMPUTED_VALUE"""),"")</f>
        <v/>
      </c>
      <c r="L87" s="2" t="str">
        <f>IFERROR(__xludf.DUMMYFUNCTION("""COMPUTED_VALUE"""),"")</f>
        <v/>
      </c>
      <c r="M87" s="27" t="str">
        <f>IFERROR(__xludf.DUMMYFUNCTION("""COMPUTED_VALUE"""),"")</f>
        <v/>
      </c>
      <c r="N87" s="23" t="str">
        <f>IFERROR(__xludf.DUMMYFUNCTION("""COMPUTED_VALUE"""),"")</f>
        <v/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2" t="str">
        <f>IFERROR(__xludf.DUMMYFUNCTION("""COMPUTED_VALUE"""),"575-01922-4")</f>
        <v>575-01922-4</v>
      </c>
      <c r="B88" s="22" t="str">
        <f>IFERROR(__xludf.DUMMYFUNCTION("""COMPUTED_VALUE"""),"Res. Size 11, 1.75 TR 400Hz, control transformer w/18"" leads")</f>
        <v>Res. Size 11, 1.75 TR 400Hz, control transformer w/18" leads</v>
      </c>
      <c r="C88" s="23">
        <f>IFERROR(__xludf.DUMMYFUNCTION("""COMPUTED_VALUE"""),0.0)</f>
        <v>0</v>
      </c>
      <c r="D88" s="2" t="str">
        <f>IFERROR(__xludf.DUMMYFUNCTION("""COMPUTED_VALUE"""),"")</f>
        <v/>
      </c>
      <c r="E88" s="25" t="str">
        <f>IFERROR(__xludf.DUMMYFUNCTION("""COMPUTED_VALUE"""),"")</f>
        <v/>
      </c>
      <c r="F88" s="2"/>
      <c r="G88" s="2" t="str">
        <f>IFERROR(__xludf.DUMMYFUNCTION("""COMPUTED_VALUE"""),"")</f>
        <v/>
      </c>
      <c r="H88" s="23" t="str">
        <f>IFERROR(__xludf.DUMMYFUNCTION("""COMPUTED_VALUE"""),"")</f>
        <v/>
      </c>
      <c r="I88" s="2" t="str">
        <f>IFERROR(__xludf.DUMMYFUNCTION("""COMPUTED_VALUE"""),"")</f>
        <v/>
      </c>
      <c r="J88" s="27" t="str">
        <f>IFERROR(__xludf.DUMMYFUNCTION("""COMPUTED_VALUE"""),"")</f>
        <v/>
      </c>
      <c r="K88" s="23" t="str">
        <f>IFERROR(__xludf.DUMMYFUNCTION("""COMPUTED_VALUE"""),"")</f>
        <v/>
      </c>
      <c r="L88" s="2" t="str">
        <f>IFERROR(__xludf.DUMMYFUNCTION("""COMPUTED_VALUE"""),"")</f>
        <v/>
      </c>
      <c r="M88" s="27" t="str">
        <f>IFERROR(__xludf.DUMMYFUNCTION("""COMPUTED_VALUE"""),"")</f>
        <v/>
      </c>
      <c r="N88" s="23" t="str">
        <f>IFERROR(__xludf.DUMMYFUNCTION("""COMPUTED_VALUE"""),"")</f>
        <v/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0">
        <f>IFERROR(__xludf.DUMMYFUNCTION("""COMPUTED_VALUE"""),2.11162E8)</f>
        <v>211162000</v>
      </c>
      <c r="B89" s="22" t="str">
        <f>IFERROR(__xludf.DUMMYFUNCTION("""COMPUTED_VALUE"""),"HT-20 (K+L) Resolver Mod Dwg Shaft length .275")</f>
        <v>HT-20 (K+L) Resolver Mod Dwg Shaft length .275</v>
      </c>
      <c r="C89" s="23">
        <f>IFERROR(__xludf.DUMMYFUNCTION("""COMPUTED_VALUE"""),0.0)</f>
        <v>0</v>
      </c>
      <c r="D89" s="2" t="str">
        <f>IFERROR(__xludf.DUMMYFUNCTION("""COMPUTED_VALUE"""),"")</f>
        <v/>
      </c>
      <c r="E89" s="25" t="str">
        <f>IFERROR(__xludf.DUMMYFUNCTION("""COMPUTED_VALUE"""),"")</f>
        <v/>
      </c>
      <c r="F89" s="2" t="str">
        <f>IFERROR(__xludf.DUMMYFUNCTION("""COMPUTED_VALUE"""),"Ф40 AL2017")</f>
        <v>Ф40 AL2017</v>
      </c>
      <c r="G89" s="2" t="str">
        <f>IFERROR(__xludf.DUMMYFUNCTION("""COMPUTED_VALUE"""),"")</f>
        <v/>
      </c>
      <c r="H89" s="23" t="str">
        <f>IFERROR(__xludf.DUMMYFUNCTION("""COMPUTED_VALUE"""),"")</f>
        <v/>
      </c>
      <c r="I89" s="2" t="str">
        <f>IFERROR(__xludf.DUMMYFUNCTION("""COMPUTED_VALUE"""),"")</f>
        <v/>
      </c>
      <c r="J89" s="27" t="str">
        <f>IFERROR(__xludf.DUMMYFUNCTION("""COMPUTED_VALUE"""),"")</f>
        <v/>
      </c>
      <c r="K89" s="23" t="str">
        <f>IFERROR(__xludf.DUMMYFUNCTION("""COMPUTED_VALUE"""),"")</f>
        <v/>
      </c>
      <c r="L89" s="2" t="str">
        <f>IFERROR(__xludf.DUMMYFUNCTION("""COMPUTED_VALUE"""),"")</f>
        <v/>
      </c>
      <c r="M89" s="27" t="str">
        <f>IFERROR(__xludf.DUMMYFUNCTION("""COMPUTED_VALUE"""),"")</f>
        <v/>
      </c>
      <c r="N89" s="23" t="str">
        <f>IFERROR(__xludf.DUMMYFUNCTION("""COMPUTED_VALUE"""),"")</f>
        <v/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0" t="str">
        <f>IFERROR(__xludf.DUMMYFUNCTION("""COMPUTED_VALUE"""),"21111200F")</f>
        <v>21111200F</v>
      </c>
      <c r="B90" s="22" t="str">
        <f>IFERROR(__xludf.DUMMYFUNCTION("""COMPUTED_VALUE"""),"DC-25 Rear Cover Blank")</f>
        <v>DC-25 Rear Cover Blank</v>
      </c>
      <c r="C90" s="23">
        <f>IFERROR(__xludf.DUMMYFUNCTION("""COMPUTED_VALUE"""),0.69984)</f>
        <v>0.69984</v>
      </c>
      <c r="D90" s="23">
        <f>IFERROR(__xludf.DUMMYFUNCTION("""COMPUTED_VALUE"""),0.69984)</f>
        <v>0.69984</v>
      </c>
      <c r="E90" s="25">
        <f>IFERROR(__xludf.DUMMYFUNCTION("""COMPUTED_VALUE"""),1.0)</f>
        <v>1</v>
      </c>
      <c r="F90" s="2" t="str">
        <f>IFERROR(__xludf.DUMMYFUNCTION("""COMPUTED_VALUE"""),"")</f>
        <v/>
      </c>
      <c r="G90" s="27" t="str">
        <f>IFERROR(__xludf.DUMMYFUNCTION("""COMPUTED_VALUE"""),"")</f>
        <v/>
      </c>
      <c r="H90" s="23" t="str">
        <f>IFERROR(__xludf.DUMMYFUNCTION("""COMPUTED_VALUE"""),"")</f>
        <v/>
      </c>
      <c r="I90" s="2" t="str">
        <f>IFERROR(__xludf.DUMMYFUNCTION("""COMPUTED_VALUE"""),"")</f>
        <v/>
      </c>
      <c r="J90" s="27" t="str">
        <f>IFERROR(__xludf.DUMMYFUNCTION("""COMPUTED_VALUE"""),"")</f>
        <v/>
      </c>
      <c r="K90" s="23" t="str">
        <f>IFERROR(__xludf.DUMMYFUNCTION("""COMPUTED_VALUE"""),"")</f>
        <v/>
      </c>
      <c r="L90" s="2" t="str">
        <f>IFERROR(__xludf.DUMMYFUNCTION("""COMPUTED_VALUE"""),"Ф65 AL 2017 Italy")</f>
        <v>Ф65 AL 2017 Italy</v>
      </c>
      <c r="M90" s="27">
        <f>IFERROR(__xludf.DUMMYFUNCTION("""COMPUTED_VALUE"""),0.054)</f>
        <v>0.054</v>
      </c>
      <c r="N90" s="23">
        <f>IFERROR(__xludf.DUMMYFUNCTION("""COMPUTED_VALUE"""),0.69984)</f>
        <v>0.69984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0" t="str">
        <f>IFERROR(__xludf.DUMMYFUNCTION("""COMPUTED_VALUE"""),"21129000B")</f>
        <v>21129000B</v>
      </c>
      <c r="B91" s="22" t="str">
        <f>IFERROR(__xludf.DUMMYFUNCTION("""COMPUTED_VALUE"""),"SSI Multiturn Cover For DC25FS")</f>
        <v>SSI Multiturn Cover For DC25FS</v>
      </c>
      <c r="C91" s="23">
        <f>IFERROR(__xludf.DUMMYFUNCTION("""COMPUTED_VALUE"""),0.7257600000000001)</f>
        <v>0.72576</v>
      </c>
      <c r="D91" s="23">
        <f>IFERROR(__xludf.DUMMYFUNCTION("""COMPUTED_VALUE"""),0.7257600000000001)</f>
        <v>0.72576</v>
      </c>
      <c r="E91" s="25">
        <f>IFERROR(__xludf.DUMMYFUNCTION("""COMPUTED_VALUE"""),1.0)</f>
        <v>1</v>
      </c>
      <c r="F91" s="2" t="str">
        <f>IFERROR(__xludf.DUMMYFUNCTION("""COMPUTED_VALUE"""),"")</f>
        <v/>
      </c>
      <c r="G91" s="27" t="str">
        <f>IFERROR(__xludf.DUMMYFUNCTION("""COMPUTED_VALUE"""),"")</f>
        <v/>
      </c>
      <c r="H91" s="23" t="str">
        <f>IFERROR(__xludf.DUMMYFUNCTION("""COMPUTED_VALUE"""),"")</f>
        <v/>
      </c>
      <c r="I91" s="2" t="str">
        <f>IFERROR(__xludf.DUMMYFUNCTION("""COMPUTED_VALUE"""),"")</f>
        <v/>
      </c>
      <c r="J91" s="27" t="str">
        <f>IFERROR(__xludf.DUMMYFUNCTION("""COMPUTED_VALUE"""),"")</f>
        <v/>
      </c>
      <c r="K91" s="23" t="str">
        <f>IFERROR(__xludf.DUMMYFUNCTION("""COMPUTED_VALUE"""),"")</f>
        <v/>
      </c>
      <c r="L91" s="2" t="str">
        <f>IFERROR(__xludf.DUMMYFUNCTION("""COMPUTED_VALUE"""),"Ф65 AL 2017 Italy")</f>
        <v>Ф65 AL 2017 Italy</v>
      </c>
      <c r="M91" s="27">
        <f>IFERROR(__xludf.DUMMYFUNCTION("""COMPUTED_VALUE"""),0.056)</f>
        <v>0.056</v>
      </c>
      <c r="N91" s="23">
        <f>IFERROR(__xludf.DUMMYFUNCTION("""COMPUTED_VALUE"""),0.7257600000000001)</f>
        <v>0.72576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2">
        <f>IFERROR(__xludf.DUMMYFUNCTION("""COMPUTED_VALUE"""),2.11279E8)</f>
        <v>211279000</v>
      </c>
      <c r="B92" s="22" t="str">
        <f>IFERROR(__xludf.DUMMYFUNCTION("""COMPUTED_VALUE"""),"DC25 &amp; H25 10mm shaft 303 SS new version")</f>
        <v>DC25 &amp; H25 10mm shaft 303 SS new version</v>
      </c>
      <c r="C92" s="23">
        <f>IFERROR(__xludf.DUMMYFUNCTION("""COMPUTED_VALUE"""),0.0)</f>
        <v>0</v>
      </c>
      <c r="D92" s="2" t="str">
        <f>IFERROR(__xludf.DUMMYFUNCTION("""COMPUTED_VALUE"""),"")</f>
        <v/>
      </c>
      <c r="E92" s="25" t="str">
        <f>IFERROR(__xludf.DUMMYFUNCTION("""COMPUTED_VALUE"""),"")</f>
        <v/>
      </c>
      <c r="F92" s="2" t="str">
        <f>IFERROR(__xludf.DUMMYFUNCTION("""COMPUTED_VALUE"""),"")</f>
        <v/>
      </c>
      <c r="G92" s="27" t="str">
        <f>IFERROR(__xludf.DUMMYFUNCTION("""COMPUTED_VALUE"""),"")</f>
        <v/>
      </c>
      <c r="H92" s="23" t="str">
        <f>IFERROR(__xludf.DUMMYFUNCTION("""COMPUTED_VALUE"""),"")</f>
        <v/>
      </c>
      <c r="I92" s="2" t="str">
        <f>IFERROR(__xludf.DUMMYFUNCTION("""COMPUTED_VALUE"""),"")</f>
        <v/>
      </c>
      <c r="J92" s="27" t="str">
        <f>IFERROR(__xludf.DUMMYFUNCTION("""COMPUTED_VALUE"""),"")</f>
        <v/>
      </c>
      <c r="K92" s="23" t="str">
        <f>IFERROR(__xludf.DUMMYFUNCTION("""COMPUTED_VALUE"""),"")</f>
        <v/>
      </c>
      <c r="L92" s="2" t="str">
        <f>IFERROR(__xludf.DUMMYFUNCTION("""COMPUTED_VALUE"""),"")</f>
        <v/>
      </c>
      <c r="M92" s="27" t="str">
        <f>IFERROR(__xludf.DUMMYFUNCTION("""COMPUTED_VALUE"""),"")</f>
        <v/>
      </c>
      <c r="N92" s="23" t="str">
        <f>IFERROR(__xludf.DUMMYFUNCTION("""COMPUTED_VALUE"""),"")</f>
        <v/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2" t="str">
        <f>IFERROR(__xludf.DUMMYFUNCTION("""COMPUTED_VALUE"""),"H25-FS-10")</f>
        <v>H25-FS-10</v>
      </c>
      <c r="B93" s="22" t="str">
        <f>IFERROR(__xludf.DUMMYFUNCTION("""COMPUTED_VALUE"""),"Transducer, 10 mm Shaft,Flange mount, side connector")</f>
        <v>Transducer, 10 mm Shaft,Flange mount, side connector</v>
      </c>
      <c r="C93" s="23">
        <f>IFERROR(__xludf.DUMMYFUNCTION("""COMPUTED_VALUE"""),1.8503)</f>
        <v>1.8503</v>
      </c>
      <c r="D93" s="23">
        <f>IFERROR(__xludf.DUMMYFUNCTION("""COMPUTED_VALUE"""),1.8503)</f>
        <v>1.8503</v>
      </c>
      <c r="E93" s="25" t="str">
        <f>IFERROR(__xludf.DUMMYFUNCTION("""COMPUTED_VALUE"""),"")</f>
        <v/>
      </c>
      <c r="F93" s="2" t="str">
        <f>IFERROR(__xludf.DUMMYFUNCTION("""COMPUTED_VALUE"""),"Cast AL Bulgaria (pc.)")</f>
        <v>Cast AL Bulgaria (pc.)</v>
      </c>
      <c r="G93" s="27">
        <f>IFERROR(__xludf.DUMMYFUNCTION("""COMPUTED_VALUE"""),0.213)</f>
        <v>0.213</v>
      </c>
      <c r="H93" s="23">
        <f>IFERROR(__xludf.DUMMYFUNCTION("""COMPUTED_VALUE"""),0.99258)</f>
        <v>0.99258</v>
      </c>
      <c r="I93" s="2" t="str">
        <f>IFERROR(__xludf.DUMMYFUNCTION("""COMPUTED_VALUE"""),"AL USA (pc.)")</f>
        <v>AL USA (pc.)</v>
      </c>
      <c r="J93" s="27">
        <f>IFERROR(__xludf.DUMMYFUNCTION("""COMPUTED_VALUE"""),0.07)</f>
        <v>0.07</v>
      </c>
      <c r="K93" s="23">
        <f>IFERROR(__xludf.DUMMYFUNCTION("""COMPUTED_VALUE"""),0.11900000000000001)</f>
        <v>0.119</v>
      </c>
      <c r="L93" s="2" t="str">
        <f>IFERROR(__xludf.DUMMYFUNCTION("""COMPUTED_VALUE"""),"Ф65 AL 2017 Italy")</f>
        <v>Ф65 AL 2017 Italy</v>
      </c>
      <c r="M93" s="27">
        <f>IFERROR(__xludf.DUMMYFUNCTION("""COMPUTED_VALUE"""),0.057)</f>
        <v>0.057</v>
      </c>
      <c r="N93" s="23">
        <f>IFERROR(__xludf.DUMMYFUNCTION("""COMPUTED_VALUE"""),0.73872)</f>
        <v>0.73872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2" t="str">
        <f>IFERROR(__xludf.DUMMYFUNCTION("""COMPUTED_VALUE"""),"575-91029")</f>
        <v>575-91029</v>
      </c>
      <c r="B94" s="22" t="str">
        <f>IFERROR(__xludf.DUMMYFUNCTION("""COMPUTED_VALUE"""),"DC25-FE .50 TR/ 250Hz Ctrl. Transformer. Body only")</f>
        <v>DC25-FE .50 TR/ 250Hz Ctrl. Transformer. Body only</v>
      </c>
      <c r="C94" s="23">
        <f>IFERROR(__xludf.DUMMYFUNCTION("""COMPUTED_VALUE"""),3.3849200000000006)</f>
        <v>3.38492</v>
      </c>
      <c r="D94" s="23">
        <f>IFERROR(__xludf.DUMMYFUNCTION("""COMPUTED_VALUE"""),3.3849200000000006)</f>
        <v>3.38492</v>
      </c>
      <c r="E94" s="25" t="str">
        <f>IFERROR(__xludf.DUMMYFUNCTION("""COMPUTED_VALUE"""),"")</f>
        <v/>
      </c>
      <c r="F94" s="2" t="str">
        <f>IFERROR(__xludf.DUMMYFUNCTION("""COMPUTED_VALUE"""),"Ф65 AL 2017 Italy")</f>
        <v>Ф65 AL 2017 Italy</v>
      </c>
      <c r="G94" s="27">
        <f>IFERROR(__xludf.DUMMYFUNCTION("""COMPUTED_VALUE"""),0.252)</f>
        <v>0.252</v>
      </c>
      <c r="H94" s="23">
        <f>IFERROR(__xludf.DUMMYFUNCTION("""COMPUTED_VALUE"""),3.2659200000000004)</f>
        <v>3.26592</v>
      </c>
      <c r="I94" s="2" t="str">
        <f>IFERROR(__xludf.DUMMYFUNCTION("""COMPUTED_VALUE"""),"AL USA (pc.)")</f>
        <v>AL USA (pc.)</v>
      </c>
      <c r="J94" s="27">
        <f>IFERROR(__xludf.DUMMYFUNCTION("""COMPUTED_VALUE"""),0.07)</f>
        <v>0.07</v>
      </c>
      <c r="K94" s="23">
        <f>IFERROR(__xludf.DUMMYFUNCTION("""COMPUTED_VALUE"""),0.11900000000000001)</f>
        <v>0.119</v>
      </c>
      <c r="L94" s="2" t="str">
        <f>IFERROR(__xludf.DUMMYFUNCTION("""COMPUTED_VALUE"""),"")</f>
        <v/>
      </c>
      <c r="M94" s="27" t="str">
        <f>IFERROR(__xludf.DUMMYFUNCTION("""COMPUTED_VALUE"""),"")</f>
        <v/>
      </c>
      <c r="N94" s="23" t="str">
        <f>IFERROR(__xludf.DUMMYFUNCTION("""COMPUTED_VALUE"""),"")</f>
        <v/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0">
        <f>IFERROR(__xludf.DUMMYFUNCTION("""COMPUTED_VALUE"""),2.11423E8)</f>
        <v>211423000</v>
      </c>
      <c r="B95" s="22" t="str">
        <f>IFERROR(__xludf.DUMMYFUNCTION("""COMPUTED_VALUE"""),"1/2"" Hub rotor multiturn New collar-style shaft")</f>
        <v>1/2" Hub rotor multiturn New collar-style shaft</v>
      </c>
      <c r="C95" s="23">
        <f>IFERROR(__xludf.DUMMYFUNCTION("""COMPUTED_VALUE"""),0.0)</f>
        <v>0</v>
      </c>
      <c r="D95" s="2" t="str">
        <f>IFERROR(__xludf.DUMMYFUNCTION("""COMPUTED_VALUE"""),"")</f>
        <v/>
      </c>
      <c r="E95" s="25" t="str">
        <f>IFERROR(__xludf.DUMMYFUNCTION("""COMPUTED_VALUE"""),"")</f>
        <v/>
      </c>
      <c r="F95" s="2" t="str">
        <f>IFERROR(__xludf.DUMMYFUNCTION("""COMPUTED_VALUE"""),"")</f>
        <v/>
      </c>
      <c r="G95" s="27" t="str">
        <f>IFERROR(__xludf.DUMMYFUNCTION("""COMPUTED_VALUE"""),"")</f>
        <v/>
      </c>
      <c r="H95" s="23" t="str">
        <f>IFERROR(__xludf.DUMMYFUNCTION("""COMPUTED_VALUE"""),"")</f>
        <v/>
      </c>
      <c r="I95" s="2" t="str">
        <f>IFERROR(__xludf.DUMMYFUNCTION("""COMPUTED_VALUE"""),"")</f>
        <v/>
      </c>
      <c r="J95" s="27" t="str">
        <f>IFERROR(__xludf.DUMMYFUNCTION("""COMPUTED_VALUE"""),"")</f>
        <v/>
      </c>
      <c r="K95" s="23" t="str">
        <f>IFERROR(__xludf.DUMMYFUNCTION("""COMPUTED_VALUE"""),"")</f>
        <v/>
      </c>
      <c r="L95" s="2" t="str">
        <f>IFERROR(__xludf.DUMMYFUNCTION("""COMPUTED_VALUE"""),"")</f>
        <v/>
      </c>
      <c r="M95" s="27" t="str">
        <f>IFERROR(__xludf.DUMMYFUNCTION("""COMPUTED_VALUE"""),"")</f>
        <v/>
      </c>
      <c r="N95" s="23" t="str">
        <f>IFERROR(__xludf.DUMMYFUNCTION("""COMPUTED_VALUE"""),"")</f>
        <v/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0">
        <f>IFERROR(__xludf.DUMMYFUNCTION("""COMPUTED_VALUE"""),2.11426E8)</f>
        <v>211426000</v>
      </c>
      <c r="B96" s="22" t="str">
        <f>IFERROR(__xludf.DUMMYFUNCTION("""COMPUTED_VALUE"""),"DC25 3/8"" SHAFT WITH FLAT &amp; HOLE")</f>
        <v>DC25 3/8" SHAFT WITH FLAT &amp; HOLE</v>
      </c>
      <c r="C96" s="2"/>
      <c r="D96" s="2" t="str">
        <f>IFERROR(__xludf.DUMMYFUNCTION("""COMPUTED_VALUE"""),"")</f>
        <v/>
      </c>
      <c r="E96" s="25" t="str">
        <f>IFERROR(__xludf.DUMMYFUNCTION("""COMPUTED_VALUE"""),"")</f>
        <v/>
      </c>
      <c r="F96" s="2"/>
      <c r="G96" s="2" t="str">
        <f>IFERROR(__xludf.DUMMYFUNCTION("""COMPUTED_VALUE"""),"")</f>
        <v/>
      </c>
      <c r="H96" s="23"/>
      <c r="I96" s="2"/>
      <c r="J96" s="27"/>
      <c r="K96" s="23"/>
      <c r="L96" s="2"/>
      <c r="M96" s="27"/>
      <c r="N96" s="2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0" t="str">
        <f>IFERROR(__xludf.DUMMYFUNCTION("""COMPUTED_VALUE"""),"21118100D")</f>
        <v>21118100D</v>
      </c>
      <c r="B97" s="22" t="str">
        <f>IFERROR(__xludf.DUMMYFUNCTION("""COMPUTED_VALUE"""),"DC25 &amp; H25 1/4"" shaft 2007 version")</f>
        <v>DC25 &amp; H25 1/4" shaft 2007 version</v>
      </c>
      <c r="C97" s="23">
        <f>IFERROR(__xludf.DUMMYFUNCTION("""COMPUTED_VALUE"""),0.0)</f>
        <v>0</v>
      </c>
      <c r="D97" s="2" t="str">
        <f>IFERROR(__xludf.DUMMYFUNCTION("""COMPUTED_VALUE"""),"")</f>
        <v/>
      </c>
      <c r="E97" s="25" t="str">
        <f>IFERROR(__xludf.DUMMYFUNCTION("""COMPUTED_VALUE"""),"")</f>
        <v/>
      </c>
      <c r="F97" s="2" t="str">
        <f>IFERROR(__xludf.DUMMYFUNCTION("""COMPUTED_VALUE"""),"")</f>
        <v/>
      </c>
      <c r="G97" s="27" t="str">
        <f>IFERROR(__xludf.DUMMYFUNCTION("""COMPUTED_VALUE"""),"")</f>
        <v/>
      </c>
      <c r="H97" s="23" t="str">
        <f>IFERROR(__xludf.DUMMYFUNCTION("""COMPUTED_VALUE"""),"")</f>
        <v/>
      </c>
      <c r="I97" s="2" t="str">
        <f>IFERROR(__xludf.DUMMYFUNCTION("""COMPUTED_VALUE"""),"")</f>
        <v/>
      </c>
      <c r="J97" s="27" t="str">
        <f>IFERROR(__xludf.DUMMYFUNCTION("""COMPUTED_VALUE"""),"")</f>
        <v/>
      </c>
      <c r="K97" s="23" t="str">
        <f>IFERROR(__xludf.DUMMYFUNCTION("""COMPUTED_VALUE"""),"")</f>
        <v/>
      </c>
      <c r="L97" s="2" t="str">
        <f>IFERROR(__xludf.DUMMYFUNCTION("""COMPUTED_VALUE"""),"")</f>
        <v/>
      </c>
      <c r="M97" s="27" t="str">
        <f>IFERROR(__xludf.DUMMYFUNCTION("""COMPUTED_VALUE"""),"")</f>
        <v/>
      </c>
      <c r="N97" s="23" t="str">
        <f>IFERROR(__xludf.DUMMYFUNCTION("""COMPUTED_VALUE"""),"")</f>
        <v/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2" t="str">
        <f>IFERROR(__xludf.DUMMYFUNCTION("""COMPUTED_VALUE"""),"H25-FE-R3N")</f>
        <v>H25-FE-R3N</v>
      </c>
      <c r="B98" s="22" t="str">
        <f>IFERROR(__xludf.DUMMYFUNCTION("""COMPUTED_VALUE"""),"Size 25 resolver 3/8 shaft 0,95 TR @ 5000Hz end mount w/ to pin conn.")</f>
        <v>Size 25 resolver 3/8 shaft 0,95 TR @ 5000Hz end mount w/ to pin conn.</v>
      </c>
      <c r="C98" s="23">
        <f>IFERROR(__xludf.DUMMYFUNCTION("""COMPUTED_VALUE"""),4.007000000000001)</f>
        <v>4.007</v>
      </c>
      <c r="D98" s="23">
        <f>IFERROR(__xludf.DUMMYFUNCTION("""COMPUTED_VALUE"""),4.007000000000001)</f>
        <v>4.007</v>
      </c>
      <c r="E98" s="25" t="str">
        <f>IFERROR(__xludf.DUMMYFUNCTION("""COMPUTED_VALUE"""),"")</f>
        <v/>
      </c>
      <c r="F98" s="2" t="str">
        <f>IFERROR(__xludf.DUMMYFUNCTION("""COMPUTED_VALUE"""),"Ф65 AL 2017 Italy")</f>
        <v>Ф65 AL 2017 Italy</v>
      </c>
      <c r="G98" s="27">
        <f>IFERROR(__xludf.DUMMYFUNCTION("""COMPUTED_VALUE"""),0.252)</f>
        <v>0.252</v>
      </c>
      <c r="H98" s="23">
        <f>IFERROR(__xludf.DUMMYFUNCTION("""COMPUTED_VALUE"""),3.2659200000000004)</f>
        <v>3.26592</v>
      </c>
      <c r="I98" s="2" t="str">
        <f>IFERROR(__xludf.DUMMYFUNCTION("""COMPUTED_VALUE"""),"AL USA (pc.)")</f>
        <v>AL USA (pc.)</v>
      </c>
      <c r="J98" s="27">
        <f>IFERROR(__xludf.DUMMYFUNCTION("""COMPUTED_VALUE"""),0.07)</f>
        <v>0.07</v>
      </c>
      <c r="K98" s="23">
        <f>IFERROR(__xludf.DUMMYFUNCTION("""COMPUTED_VALUE"""),0.11900000000000001)</f>
        <v>0.119</v>
      </c>
      <c r="L98" s="2" t="str">
        <f>IFERROR(__xludf.DUMMYFUNCTION("""COMPUTED_VALUE"""),"Ф65 AL 2017 Italy")</f>
        <v>Ф65 AL 2017 Italy</v>
      </c>
      <c r="M98" s="27">
        <f>IFERROR(__xludf.DUMMYFUNCTION("""COMPUTED_VALUE"""),0.048)</f>
        <v>0.048</v>
      </c>
      <c r="N98" s="23">
        <f>IFERROR(__xludf.DUMMYFUNCTION("""COMPUTED_VALUE"""),0.6220800000000001)</f>
        <v>0.62208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2" t="str">
        <f>IFERROR(__xludf.DUMMYFUNCTION("""COMPUTED_VALUE"""),"DC25-4FS(18)")</f>
        <v>DC25-4FS(18)</v>
      </c>
      <c r="B99" s="22" t="str">
        <f>IFERROR(__xludf.DUMMYFUNCTION("""COMPUTED_VALUE"""),"DC25 housing 4 Speed Side Conn. 3/8"" shaft ")</f>
        <v>DC25 housing 4 Speed Side Conn. 3/8" shaft </v>
      </c>
      <c r="C99" s="23">
        <f>IFERROR(__xludf.DUMMYFUNCTION("""COMPUTED_VALUE"""),1.13488)</f>
        <v>1.13488</v>
      </c>
      <c r="D99" s="23">
        <f>IFERROR(__xludf.DUMMYFUNCTION("""COMPUTED_VALUE"""),1.13488)</f>
        <v>1.13488</v>
      </c>
      <c r="E99" s="25" t="str">
        <f>IFERROR(__xludf.DUMMYFUNCTION("""COMPUTED_VALUE"""),"")</f>
        <v/>
      </c>
      <c r="F99" s="2" t="str">
        <f>IFERROR(__xludf.DUMMYFUNCTION("""COMPUTED_VALUE"""),"Cast AL Bulgaria (pc.)")</f>
        <v>Cast AL Bulgaria (pc.)</v>
      </c>
      <c r="G99" s="27">
        <f>IFERROR(__xludf.DUMMYFUNCTION("""COMPUTED_VALUE"""),0.218)</f>
        <v>0.218</v>
      </c>
      <c r="H99" s="23">
        <f>IFERROR(__xludf.DUMMYFUNCTION("""COMPUTED_VALUE"""),1.0158800000000001)</f>
        <v>1.01588</v>
      </c>
      <c r="I99" s="2" t="str">
        <f>IFERROR(__xludf.DUMMYFUNCTION("""COMPUTED_VALUE"""),"AL USA (pc.)")</f>
        <v>AL USA (pc.)</v>
      </c>
      <c r="J99" s="27">
        <f>IFERROR(__xludf.DUMMYFUNCTION("""COMPUTED_VALUE"""),0.07)</f>
        <v>0.07</v>
      </c>
      <c r="K99" s="23">
        <f>IFERROR(__xludf.DUMMYFUNCTION("""COMPUTED_VALUE"""),0.11900000000000001)</f>
        <v>0.119</v>
      </c>
      <c r="L99" s="2" t="str">
        <f>IFERROR(__xludf.DUMMYFUNCTION("""COMPUTED_VALUE"""),"")</f>
        <v/>
      </c>
      <c r="M99" s="27" t="str">
        <f>IFERROR(__xludf.DUMMYFUNCTION("""COMPUTED_VALUE"""),"")</f>
        <v/>
      </c>
      <c r="N99" s="23" t="str">
        <f>IFERROR(__xludf.DUMMYFUNCTION("""COMPUTED_VALUE"""),"")</f>
        <v/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0">
        <f>IFERROR(__xludf.DUMMYFUNCTION("""COMPUTED_VALUE"""),2.11406E8)</f>
        <v>211406000</v>
      </c>
      <c r="B100" s="22" t="str">
        <f>IFERROR(__xludf.DUMMYFUNCTION("""COMPUTED_VALUE"""),"NR25 Prodibus Singleturn Rear Cover")</f>
        <v>NR25 Prodibus Singleturn Rear Cover</v>
      </c>
      <c r="C100" s="23">
        <f>IFERROR(__xludf.DUMMYFUNCTION("""COMPUTED_VALUE"""),0.68688)</f>
        <v>0.68688</v>
      </c>
      <c r="D100" s="23">
        <f>IFERROR(__xludf.DUMMYFUNCTION("""COMPUTED_VALUE"""),0.68688)</f>
        <v>0.68688</v>
      </c>
      <c r="E100" s="25">
        <f>IFERROR(__xludf.DUMMYFUNCTION("""COMPUTED_VALUE"""),1.0)</f>
        <v>1</v>
      </c>
      <c r="F100" s="2" t="str">
        <f>IFERROR(__xludf.DUMMYFUNCTION("""COMPUTED_VALUE"""),"")</f>
        <v/>
      </c>
      <c r="G100" s="27" t="str">
        <f>IFERROR(__xludf.DUMMYFUNCTION("""COMPUTED_VALUE"""),"")</f>
        <v/>
      </c>
      <c r="H100" s="23" t="str">
        <f>IFERROR(__xludf.DUMMYFUNCTION("""COMPUTED_VALUE"""),"")</f>
        <v/>
      </c>
      <c r="I100" s="2" t="str">
        <f>IFERROR(__xludf.DUMMYFUNCTION("""COMPUTED_VALUE"""),"")</f>
        <v/>
      </c>
      <c r="J100" s="27" t="str">
        <f>IFERROR(__xludf.DUMMYFUNCTION("""COMPUTED_VALUE"""),"")</f>
        <v/>
      </c>
      <c r="K100" s="23" t="str">
        <f>IFERROR(__xludf.DUMMYFUNCTION("""COMPUTED_VALUE"""),"")</f>
        <v/>
      </c>
      <c r="L100" s="2" t="str">
        <f>IFERROR(__xludf.DUMMYFUNCTION("""COMPUTED_VALUE"""),"Ф65 AL 2017 Italy")</f>
        <v>Ф65 AL 2017 Italy</v>
      </c>
      <c r="M100" s="27">
        <f>IFERROR(__xludf.DUMMYFUNCTION("""COMPUTED_VALUE"""),0.053)</f>
        <v>0.053</v>
      </c>
      <c r="N100" s="23">
        <f>IFERROR(__xludf.DUMMYFUNCTION("""COMPUTED_VALUE"""),0.68688)</f>
        <v>0.68688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2" t="str">
        <f>IFERROR(__xludf.DUMMYFUNCTION("""COMPUTED_VALUE"""),"575-95002")</f>
        <v>575-95002</v>
      </c>
      <c r="B101" s="22" t="str">
        <f>IFERROR(__xludf.DUMMYFUNCTION("""COMPUTED_VALUE"""),"Transformer Assembly 1-speed for HT-20C/H25/THE/DC25/NR25")</f>
        <v>Transformer Assembly 1-speed for HT-20C/H25/THE/DC25/NR25</v>
      </c>
      <c r="C101" s="23">
        <f>IFERROR(__xludf.DUMMYFUNCTION("""COMPUTED_VALUE"""),0.0)</f>
        <v>0</v>
      </c>
      <c r="D101" s="2" t="str">
        <f>IFERROR(__xludf.DUMMYFUNCTION("""COMPUTED_VALUE"""),"")</f>
        <v/>
      </c>
      <c r="E101" s="25" t="str">
        <f>IFERROR(__xludf.DUMMYFUNCTION("""COMPUTED_VALUE"""),"")</f>
        <v/>
      </c>
      <c r="F101" s="2" t="str">
        <f>IFERROR(__xludf.DUMMYFUNCTION("""COMPUTED_VALUE"""),"")</f>
        <v/>
      </c>
      <c r="G101" s="27" t="str">
        <f>IFERROR(__xludf.DUMMYFUNCTION("""COMPUTED_VALUE"""),"")</f>
        <v/>
      </c>
      <c r="H101" s="23" t="str">
        <f>IFERROR(__xludf.DUMMYFUNCTION("""COMPUTED_VALUE"""),"")</f>
        <v/>
      </c>
      <c r="I101" s="2" t="str">
        <f>IFERROR(__xludf.DUMMYFUNCTION("""COMPUTED_VALUE"""),"")</f>
        <v/>
      </c>
      <c r="J101" s="27" t="str">
        <f>IFERROR(__xludf.DUMMYFUNCTION("""COMPUTED_VALUE"""),"")</f>
        <v/>
      </c>
      <c r="K101" s="23" t="str">
        <f>IFERROR(__xludf.DUMMYFUNCTION("""COMPUTED_VALUE"""),"")</f>
        <v/>
      </c>
      <c r="L101" s="2" t="str">
        <f>IFERROR(__xludf.DUMMYFUNCTION("""COMPUTED_VALUE"""),"")</f>
        <v/>
      </c>
      <c r="M101" s="27" t="str">
        <f>IFERROR(__xludf.DUMMYFUNCTION("""COMPUTED_VALUE"""),"")</f>
        <v/>
      </c>
      <c r="N101" s="23" t="str">
        <f>IFERROR(__xludf.DUMMYFUNCTION("""COMPUTED_VALUE"""),"")</f>
        <v/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0" t="str">
        <f>IFERROR(__xludf.DUMMYFUNCTION("""COMPUTED_VALUE"""),"575-95003")</f>
        <v>575-95003</v>
      </c>
      <c r="B102" s="22" t="str">
        <f>IFERROR(__xludf.DUMMYFUNCTION("""COMPUTED_VALUE"""),"Size25 Transformer Shell Part 1 with slot for wires Machined Powder metal")</f>
        <v>Size25 Transformer Shell Part 1 with slot for wires Machined Powder metal</v>
      </c>
      <c r="C102" s="23">
        <f>IFERROR(__xludf.DUMMYFUNCTION("""COMPUTED_VALUE"""),0.0)</f>
        <v>0</v>
      </c>
      <c r="D102" s="2" t="str">
        <f>IFERROR(__xludf.DUMMYFUNCTION("""COMPUTED_VALUE"""),"")</f>
        <v/>
      </c>
      <c r="E102" s="25" t="str">
        <f>IFERROR(__xludf.DUMMYFUNCTION("""COMPUTED_VALUE"""),"")</f>
        <v/>
      </c>
      <c r="F102" s="2" t="str">
        <f>IFERROR(__xludf.DUMMYFUNCTION("""COMPUTED_VALUE"""),"")</f>
        <v/>
      </c>
      <c r="G102" s="27" t="str">
        <f>IFERROR(__xludf.DUMMYFUNCTION("""COMPUTED_VALUE"""),"")</f>
        <v/>
      </c>
      <c r="H102" s="23" t="str">
        <f>IFERROR(__xludf.DUMMYFUNCTION("""COMPUTED_VALUE"""),"")</f>
        <v/>
      </c>
      <c r="I102" s="2" t="str">
        <f>IFERROR(__xludf.DUMMYFUNCTION("""COMPUTED_VALUE"""),"")</f>
        <v/>
      </c>
      <c r="J102" s="27" t="str">
        <f>IFERROR(__xludf.DUMMYFUNCTION("""COMPUTED_VALUE"""),"")</f>
        <v/>
      </c>
      <c r="K102" s="23" t="str">
        <f>IFERROR(__xludf.DUMMYFUNCTION("""COMPUTED_VALUE"""),"")</f>
        <v/>
      </c>
      <c r="L102" s="2" t="str">
        <f>IFERROR(__xludf.DUMMYFUNCTION("""COMPUTED_VALUE"""),"")</f>
        <v/>
      </c>
      <c r="M102" s="27" t="str">
        <f>IFERROR(__xludf.DUMMYFUNCTION("""COMPUTED_VALUE"""),"")</f>
        <v/>
      </c>
      <c r="N102" s="23" t="str">
        <f>IFERROR(__xludf.DUMMYFUNCTION("""COMPUTED_VALUE"""),"")</f>
        <v/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0" t="str">
        <f>IFERROR(__xludf.DUMMYFUNCTION("""COMPUTED_VALUE"""),"575-95004")</f>
        <v>575-95004</v>
      </c>
      <c r="B103" s="22" t="str">
        <f>IFERROR(__xludf.DUMMYFUNCTION("""COMPUTED_VALUE"""),"Size25 Transformer Shell Part 2 with slot for wires Machined Powder metal")</f>
        <v>Size25 Transformer Shell Part 2 with slot for wires Machined Powder metal</v>
      </c>
      <c r="C103" s="23">
        <f>IFERROR(__xludf.DUMMYFUNCTION("""COMPUTED_VALUE"""),0.0)</f>
        <v>0</v>
      </c>
      <c r="D103" s="2" t="str">
        <f>IFERROR(__xludf.DUMMYFUNCTION("""COMPUTED_VALUE"""),"")</f>
        <v/>
      </c>
      <c r="E103" s="25" t="str">
        <f>IFERROR(__xludf.DUMMYFUNCTION("""COMPUTED_VALUE"""),"")</f>
        <v/>
      </c>
      <c r="F103" s="2" t="str">
        <f>IFERROR(__xludf.DUMMYFUNCTION("""COMPUTED_VALUE"""),"")</f>
        <v/>
      </c>
      <c r="G103" s="27" t="str">
        <f>IFERROR(__xludf.DUMMYFUNCTION("""COMPUTED_VALUE"""),"")</f>
        <v/>
      </c>
      <c r="H103" s="23" t="str">
        <f>IFERROR(__xludf.DUMMYFUNCTION("""COMPUTED_VALUE"""),"")</f>
        <v/>
      </c>
      <c r="I103" s="2" t="str">
        <f>IFERROR(__xludf.DUMMYFUNCTION("""COMPUTED_VALUE"""),"")</f>
        <v/>
      </c>
      <c r="J103" s="27" t="str">
        <f>IFERROR(__xludf.DUMMYFUNCTION("""COMPUTED_VALUE"""),"")</f>
        <v/>
      </c>
      <c r="K103" s="23" t="str">
        <f>IFERROR(__xludf.DUMMYFUNCTION("""COMPUTED_VALUE"""),"")</f>
        <v/>
      </c>
      <c r="L103" s="2" t="str">
        <f>IFERROR(__xludf.DUMMYFUNCTION("""COMPUTED_VALUE"""),"")</f>
        <v/>
      </c>
      <c r="M103" s="27" t="str">
        <f>IFERROR(__xludf.DUMMYFUNCTION("""COMPUTED_VALUE"""),"")</f>
        <v/>
      </c>
      <c r="N103" s="23" t="str">
        <f>IFERROR(__xludf.DUMMYFUNCTION("""COMPUTED_VALUE"""),"")</f>
        <v/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2" t="str">
        <f>IFERROR(__xludf.DUMMYFUNCTION("""COMPUTED_VALUE"""),"575-95001")</f>
        <v>575-95001</v>
      </c>
      <c r="B104" s="22" t="str">
        <f>IFERROR(__xludf.DUMMYFUNCTION("""COMPUTED_VALUE"""),"Resolver Stator Assembly 1-speed for HT-20C/THE/H25/DC25/NR25")</f>
        <v>Resolver Stator Assembly 1-speed for HT-20C/THE/H25/DC25/NR25</v>
      </c>
      <c r="C104" s="23">
        <f>IFERROR(__xludf.DUMMYFUNCTION("""COMPUTED_VALUE"""),0.0)</f>
        <v>0</v>
      </c>
      <c r="D104" s="2" t="str">
        <f>IFERROR(__xludf.DUMMYFUNCTION("""COMPUTED_VALUE"""),"")</f>
        <v/>
      </c>
      <c r="E104" s="25" t="str">
        <f>IFERROR(__xludf.DUMMYFUNCTION("""COMPUTED_VALUE"""),"")</f>
        <v/>
      </c>
      <c r="F104" s="2" t="str">
        <f>IFERROR(__xludf.DUMMYFUNCTION("""COMPUTED_VALUE"""),"")</f>
        <v/>
      </c>
      <c r="G104" s="27" t="str">
        <f>IFERROR(__xludf.DUMMYFUNCTION("""COMPUTED_VALUE"""),"")</f>
        <v/>
      </c>
      <c r="H104" s="23" t="str">
        <f>IFERROR(__xludf.DUMMYFUNCTION("""COMPUTED_VALUE"""),"")</f>
        <v/>
      </c>
      <c r="I104" s="2" t="str">
        <f>IFERROR(__xludf.DUMMYFUNCTION("""COMPUTED_VALUE"""),"")</f>
        <v/>
      </c>
      <c r="J104" s="27" t="str">
        <f>IFERROR(__xludf.DUMMYFUNCTION("""COMPUTED_VALUE"""),"")</f>
        <v/>
      </c>
      <c r="K104" s="23" t="str">
        <f>IFERROR(__xludf.DUMMYFUNCTION("""COMPUTED_VALUE"""),"")</f>
        <v/>
      </c>
      <c r="L104" s="2" t="str">
        <f>IFERROR(__xludf.DUMMYFUNCTION("""COMPUTED_VALUE"""),"")</f>
        <v/>
      </c>
      <c r="M104" s="27" t="str">
        <f>IFERROR(__xludf.DUMMYFUNCTION("""COMPUTED_VALUE"""),"")</f>
        <v/>
      </c>
      <c r="N104" s="23" t="str">
        <f>IFERROR(__xludf.DUMMYFUNCTION("""COMPUTED_VALUE"""),"")</f>
        <v/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0" t="str">
        <f>IFERROR(__xludf.DUMMYFUNCTION("""COMPUTED_VALUE"""),"097-90001")</f>
        <v>097-90001</v>
      </c>
      <c r="B105" s="22" t="str">
        <f>IFERROR(__xludf.DUMMYFUNCTION("""COMPUTED_VALUE"""),"H25&amp;DC25 Shaft 3/8"" Dia. for old flange 22133200A")</f>
        <v>H25&amp;DC25 Shaft 3/8" Dia. for old flange 22133200A</v>
      </c>
      <c r="C105" s="23">
        <f>IFERROR(__xludf.DUMMYFUNCTION("""COMPUTED_VALUE"""),0.0)</f>
        <v>0</v>
      </c>
      <c r="D105" s="2" t="str">
        <f>IFERROR(__xludf.DUMMYFUNCTION("""COMPUTED_VALUE"""),"")</f>
        <v/>
      </c>
      <c r="E105" s="25" t="str">
        <f>IFERROR(__xludf.DUMMYFUNCTION("""COMPUTED_VALUE"""),"")</f>
        <v/>
      </c>
      <c r="F105" s="2" t="str">
        <f>IFERROR(__xludf.DUMMYFUNCTION("""COMPUTED_VALUE"""),"")</f>
        <v/>
      </c>
      <c r="G105" s="27" t="str">
        <f>IFERROR(__xludf.DUMMYFUNCTION("""COMPUTED_VALUE"""),"")</f>
        <v/>
      </c>
      <c r="H105" s="23" t="str">
        <f>IFERROR(__xludf.DUMMYFUNCTION("""COMPUTED_VALUE"""),"")</f>
        <v/>
      </c>
      <c r="I105" s="2" t="str">
        <f>IFERROR(__xludf.DUMMYFUNCTION("""COMPUTED_VALUE"""),"")</f>
        <v/>
      </c>
      <c r="J105" s="27" t="str">
        <f>IFERROR(__xludf.DUMMYFUNCTION("""COMPUTED_VALUE"""),"")</f>
        <v/>
      </c>
      <c r="K105" s="23" t="str">
        <f>IFERROR(__xludf.DUMMYFUNCTION("""COMPUTED_VALUE"""),"")</f>
        <v/>
      </c>
      <c r="L105" s="2" t="str">
        <f>IFERROR(__xludf.DUMMYFUNCTION("""COMPUTED_VALUE"""),"")</f>
        <v/>
      </c>
      <c r="M105" s="27" t="str">
        <f>IFERROR(__xludf.DUMMYFUNCTION("""COMPUTED_VALUE"""),"")</f>
        <v/>
      </c>
      <c r="N105" s="23" t="str">
        <f>IFERROR(__xludf.DUMMYFUNCTION("""COMPUTED_VALUE"""),"")</f>
        <v/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2" t="str">
        <f>IFERROR(__xludf.DUMMYFUNCTION("""COMPUTED_VALUE"""),"097-90002")</f>
        <v>097-90002</v>
      </c>
      <c r="B106" s="22" t="str">
        <f>IFERROR(__xludf.DUMMYFUNCTION("""COMPUTED_VALUE"""),"H25 + DC25 Shaft 10mm Dia. old version")</f>
        <v>H25 + DC25 Shaft 10mm Dia. old version</v>
      </c>
      <c r="C106" s="23">
        <f>IFERROR(__xludf.DUMMYFUNCTION("""COMPUTED_VALUE"""),0.0)</f>
        <v>0</v>
      </c>
      <c r="D106" s="2" t="str">
        <f>IFERROR(__xludf.DUMMYFUNCTION("""COMPUTED_VALUE"""),"")</f>
        <v/>
      </c>
      <c r="E106" s="25" t="str">
        <f>IFERROR(__xludf.DUMMYFUNCTION("""COMPUTED_VALUE"""),"")</f>
        <v/>
      </c>
      <c r="F106" s="2" t="str">
        <f>IFERROR(__xludf.DUMMYFUNCTION("""COMPUTED_VALUE"""),"")</f>
        <v/>
      </c>
      <c r="G106" s="27" t="str">
        <f>IFERROR(__xludf.DUMMYFUNCTION("""COMPUTED_VALUE"""),"")</f>
        <v/>
      </c>
      <c r="H106" s="23" t="str">
        <f>IFERROR(__xludf.DUMMYFUNCTION("""COMPUTED_VALUE"""),"")</f>
        <v/>
      </c>
      <c r="I106" s="2" t="str">
        <f>IFERROR(__xludf.DUMMYFUNCTION("""COMPUTED_VALUE"""),"")</f>
        <v/>
      </c>
      <c r="J106" s="27" t="str">
        <f>IFERROR(__xludf.DUMMYFUNCTION("""COMPUTED_VALUE"""),"")</f>
        <v/>
      </c>
      <c r="K106" s="23" t="str">
        <f>IFERROR(__xludf.DUMMYFUNCTION("""COMPUTED_VALUE"""),"")</f>
        <v/>
      </c>
      <c r="L106" s="2" t="str">
        <f>IFERROR(__xludf.DUMMYFUNCTION("""COMPUTED_VALUE"""),"")</f>
        <v/>
      </c>
      <c r="M106" s="27" t="str">
        <f>IFERROR(__xludf.DUMMYFUNCTION("""COMPUTED_VALUE"""),"")</f>
        <v/>
      </c>
      <c r="N106" s="23" t="str">
        <f>IFERROR(__xludf.DUMMYFUNCTION("""COMPUTED_VALUE"""),"")</f>
        <v/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2" t="str">
        <f>IFERROR(__xludf.DUMMYFUNCTION("""COMPUTED_VALUE"""),"097-90004")</f>
        <v>097-90004</v>
      </c>
      <c r="B107" s="22" t="str">
        <f>IFERROR(__xludf.DUMMYFUNCTION("""COMPUTED_VALUE"""),"H25  Shaft 3/8"" Dia. w/ 3mm key Shaft")</f>
        <v>H25  Shaft 3/8" Dia. w/ 3mm key Shaft</v>
      </c>
      <c r="C107" s="23">
        <f>IFERROR(__xludf.DUMMYFUNCTION("""COMPUTED_VALUE"""),0.0)</f>
        <v>0</v>
      </c>
      <c r="D107" s="2" t="str">
        <f>IFERROR(__xludf.DUMMYFUNCTION("""COMPUTED_VALUE"""),"")</f>
        <v/>
      </c>
      <c r="E107" s="25" t="str">
        <f>IFERROR(__xludf.DUMMYFUNCTION("""COMPUTED_VALUE"""),"")</f>
        <v/>
      </c>
      <c r="F107" s="2" t="str">
        <f>IFERROR(__xludf.DUMMYFUNCTION("""COMPUTED_VALUE"""),"")</f>
        <v/>
      </c>
      <c r="G107" s="27" t="str">
        <f>IFERROR(__xludf.DUMMYFUNCTION("""COMPUTED_VALUE"""),"")</f>
        <v/>
      </c>
      <c r="H107" s="23" t="str">
        <f>IFERROR(__xludf.DUMMYFUNCTION("""COMPUTED_VALUE"""),"")</f>
        <v/>
      </c>
      <c r="I107" s="2" t="str">
        <f>IFERROR(__xludf.DUMMYFUNCTION("""COMPUTED_VALUE"""),"")</f>
        <v/>
      </c>
      <c r="J107" s="27" t="str">
        <f>IFERROR(__xludf.DUMMYFUNCTION("""COMPUTED_VALUE"""),"")</f>
        <v/>
      </c>
      <c r="K107" s="23" t="str">
        <f>IFERROR(__xludf.DUMMYFUNCTION("""COMPUTED_VALUE"""),"")</f>
        <v/>
      </c>
      <c r="L107" s="2" t="str">
        <f>IFERROR(__xludf.DUMMYFUNCTION("""COMPUTED_VALUE"""),"")</f>
        <v/>
      </c>
      <c r="M107" s="27" t="str">
        <f>IFERROR(__xludf.DUMMYFUNCTION("""COMPUTED_VALUE"""),"")</f>
        <v/>
      </c>
      <c r="N107" s="23" t="str">
        <f>IFERROR(__xludf.DUMMYFUNCTION("""COMPUTED_VALUE"""),"")</f>
        <v/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0" t="str">
        <f>IFERROR(__xludf.DUMMYFUNCTION("""COMPUTED_VALUE"""),"21108800A")</f>
        <v>21108800A</v>
      </c>
      <c r="B108" s="22" t="str">
        <f>IFERROR(__xludf.DUMMYFUNCTION("""COMPUTED_VALUE"""),"HMT-425M Shaft Print A1088 ")</f>
        <v>HMT-425M Shaft Print A1088 </v>
      </c>
      <c r="C108" s="23">
        <f>IFERROR(__xludf.DUMMYFUNCTION("""COMPUTED_VALUE"""),0.0)</f>
        <v>0</v>
      </c>
      <c r="D108" s="2" t="str">
        <f>IFERROR(__xludf.DUMMYFUNCTION("""COMPUTED_VALUE"""),"")</f>
        <v/>
      </c>
      <c r="E108" s="25" t="str">
        <f>IFERROR(__xludf.DUMMYFUNCTION("""COMPUTED_VALUE"""),"")</f>
        <v/>
      </c>
      <c r="F108" s="2" t="str">
        <f>IFERROR(__xludf.DUMMYFUNCTION("""COMPUTED_VALUE"""),"")</f>
        <v/>
      </c>
      <c r="G108" s="27" t="str">
        <f>IFERROR(__xludf.DUMMYFUNCTION("""COMPUTED_VALUE"""),"")</f>
        <v/>
      </c>
      <c r="H108" s="23" t="str">
        <f>IFERROR(__xludf.DUMMYFUNCTION("""COMPUTED_VALUE"""),"")</f>
        <v/>
      </c>
      <c r="I108" s="2" t="str">
        <f>IFERROR(__xludf.DUMMYFUNCTION("""COMPUTED_VALUE"""),"")</f>
        <v/>
      </c>
      <c r="J108" s="27" t="str">
        <f>IFERROR(__xludf.DUMMYFUNCTION("""COMPUTED_VALUE"""),"")</f>
        <v/>
      </c>
      <c r="K108" s="23" t="str">
        <f>IFERROR(__xludf.DUMMYFUNCTION("""COMPUTED_VALUE"""),"")</f>
        <v/>
      </c>
      <c r="L108" s="2" t="str">
        <f>IFERROR(__xludf.DUMMYFUNCTION("""COMPUTED_VALUE"""),"")</f>
        <v/>
      </c>
      <c r="M108" s="27" t="str">
        <f>IFERROR(__xludf.DUMMYFUNCTION("""COMPUTED_VALUE"""),"")</f>
        <v/>
      </c>
      <c r="N108" s="23" t="str">
        <f>IFERROR(__xludf.DUMMYFUNCTION("""COMPUTED_VALUE"""),"")</f>
        <v/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0" t="str">
        <f>IFERROR(__xludf.DUMMYFUNCTION("""COMPUTED_VALUE"""),"21108802B")</f>
        <v>21108802B</v>
      </c>
      <c r="B109" s="22" t="str">
        <f>IFERROR(__xludf.DUMMYFUNCTION("""COMPUTED_VALUE"""),"HTT-425A-100 Shaft ")</f>
        <v>HTT-425A-100 Shaft </v>
      </c>
      <c r="C109" s="23">
        <f>IFERROR(__xludf.DUMMYFUNCTION("""COMPUTED_VALUE"""),0.0)</f>
        <v>0</v>
      </c>
      <c r="D109" s="2" t="str">
        <f>IFERROR(__xludf.DUMMYFUNCTION("""COMPUTED_VALUE"""),"")</f>
        <v/>
      </c>
      <c r="E109" s="25" t="str">
        <f>IFERROR(__xludf.DUMMYFUNCTION("""COMPUTED_VALUE"""),"")</f>
        <v/>
      </c>
      <c r="F109" s="2" t="str">
        <f>IFERROR(__xludf.DUMMYFUNCTION("""COMPUTED_VALUE"""),"")</f>
        <v/>
      </c>
      <c r="G109" s="27" t="str">
        <f>IFERROR(__xludf.DUMMYFUNCTION("""COMPUTED_VALUE"""),"")</f>
        <v/>
      </c>
      <c r="H109" s="23" t="str">
        <f>IFERROR(__xludf.DUMMYFUNCTION("""COMPUTED_VALUE"""),"")</f>
        <v/>
      </c>
      <c r="I109" s="2" t="str">
        <f>IFERROR(__xludf.DUMMYFUNCTION("""COMPUTED_VALUE"""),"")</f>
        <v/>
      </c>
      <c r="J109" s="27" t="str">
        <f>IFERROR(__xludf.DUMMYFUNCTION("""COMPUTED_VALUE"""),"")</f>
        <v/>
      </c>
      <c r="K109" s="23" t="str">
        <f>IFERROR(__xludf.DUMMYFUNCTION("""COMPUTED_VALUE"""),"")</f>
        <v/>
      </c>
      <c r="L109" s="2" t="str">
        <f>IFERROR(__xludf.DUMMYFUNCTION("""COMPUTED_VALUE"""),"")</f>
        <v/>
      </c>
      <c r="M109" s="27" t="str">
        <f>IFERROR(__xludf.DUMMYFUNCTION("""COMPUTED_VALUE"""),"")</f>
        <v/>
      </c>
      <c r="N109" s="23" t="str">
        <f>IFERROR(__xludf.DUMMYFUNCTION("""COMPUTED_VALUE"""),"")</f>
        <v/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0" t="str">
        <f>IFERROR(__xludf.DUMMYFUNCTION("""COMPUTED_VALUE"""),"21110701D")</f>
        <v>21110701D</v>
      </c>
      <c r="B110" s="22" t="str">
        <f>IFERROR(__xludf.DUMMYFUNCTION("""COMPUTED_VALUE"""),"5/8 S.S. Shaft W .115 End ")</f>
        <v>5/8 S.S. Shaft W .115 End </v>
      </c>
      <c r="C110" s="23">
        <f>IFERROR(__xludf.DUMMYFUNCTION("""COMPUTED_VALUE"""),0.0)</f>
        <v>0</v>
      </c>
      <c r="D110" s="2" t="str">
        <f>IFERROR(__xludf.DUMMYFUNCTION("""COMPUTED_VALUE"""),"")</f>
        <v/>
      </c>
      <c r="E110" s="25" t="str">
        <f>IFERROR(__xludf.DUMMYFUNCTION("""COMPUTED_VALUE"""),"")</f>
        <v/>
      </c>
      <c r="F110" s="2" t="str">
        <f>IFERROR(__xludf.DUMMYFUNCTION("""COMPUTED_VALUE"""),"")</f>
        <v/>
      </c>
      <c r="G110" s="27" t="str">
        <f>IFERROR(__xludf.DUMMYFUNCTION("""COMPUTED_VALUE"""),"")</f>
        <v/>
      </c>
      <c r="H110" s="23" t="str">
        <f>IFERROR(__xludf.DUMMYFUNCTION("""COMPUTED_VALUE"""),"")</f>
        <v/>
      </c>
      <c r="I110" s="2" t="str">
        <f>IFERROR(__xludf.DUMMYFUNCTION("""COMPUTED_VALUE"""),"")</f>
        <v/>
      </c>
      <c r="J110" s="27" t="str">
        <f>IFERROR(__xludf.DUMMYFUNCTION("""COMPUTED_VALUE"""),"")</f>
        <v/>
      </c>
      <c r="K110" s="23" t="str">
        <f>IFERROR(__xludf.DUMMYFUNCTION("""COMPUTED_VALUE"""),"")</f>
        <v/>
      </c>
      <c r="L110" s="2" t="str">
        <f>IFERROR(__xludf.DUMMYFUNCTION("""COMPUTED_VALUE"""),"")</f>
        <v/>
      </c>
      <c r="M110" s="27" t="str">
        <f>IFERROR(__xludf.DUMMYFUNCTION("""COMPUTED_VALUE"""),"")</f>
        <v/>
      </c>
      <c r="N110" s="23" t="str">
        <f>IFERROR(__xludf.DUMMYFUNCTION("""COMPUTED_VALUE"""),"")</f>
        <v/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0" t="str">
        <f>IFERROR(__xludf.DUMMYFUNCTION("""COMPUTED_VALUE"""),"21111201F")</f>
        <v>21111201F</v>
      </c>
      <c r="B111" s="22" t="str">
        <f>IFERROR(__xludf.DUMMYFUNCTION("""COMPUTED_VALUE"""),"DC-25 Rear Cover (size 14) See Note")</f>
        <v>DC-25 Rear Cover (size 14) See Note</v>
      </c>
      <c r="C111" s="23">
        <f>IFERROR(__xludf.DUMMYFUNCTION("""COMPUTED_VALUE"""),0.67392)</f>
        <v>0.67392</v>
      </c>
      <c r="D111" s="23">
        <f>IFERROR(__xludf.DUMMYFUNCTION("""COMPUTED_VALUE"""),0.67392)</f>
        <v>0.67392</v>
      </c>
      <c r="E111" s="25">
        <f>IFERROR(__xludf.DUMMYFUNCTION("""COMPUTED_VALUE"""),1.0)</f>
        <v>1</v>
      </c>
      <c r="F111" s="2" t="str">
        <f>IFERROR(__xludf.DUMMYFUNCTION("""COMPUTED_VALUE"""),"")</f>
        <v/>
      </c>
      <c r="G111" s="27" t="str">
        <f>IFERROR(__xludf.DUMMYFUNCTION("""COMPUTED_VALUE"""),"")</f>
        <v/>
      </c>
      <c r="H111" s="23" t="str">
        <f>IFERROR(__xludf.DUMMYFUNCTION("""COMPUTED_VALUE"""),"")</f>
        <v/>
      </c>
      <c r="I111" s="2" t="str">
        <f>IFERROR(__xludf.DUMMYFUNCTION("""COMPUTED_VALUE"""),"")</f>
        <v/>
      </c>
      <c r="J111" s="27" t="str">
        <f>IFERROR(__xludf.DUMMYFUNCTION("""COMPUTED_VALUE"""),"")</f>
        <v/>
      </c>
      <c r="K111" s="23" t="str">
        <f>IFERROR(__xludf.DUMMYFUNCTION("""COMPUTED_VALUE"""),"")</f>
        <v/>
      </c>
      <c r="L111" s="2" t="str">
        <f>IFERROR(__xludf.DUMMYFUNCTION("""COMPUTED_VALUE"""),"Ф65 AL 2017 Italy")</f>
        <v>Ф65 AL 2017 Italy</v>
      </c>
      <c r="M111" s="27">
        <f>IFERROR(__xludf.DUMMYFUNCTION("""COMPUTED_VALUE"""),0.052)</f>
        <v>0.052</v>
      </c>
      <c r="N111" s="23">
        <f>IFERROR(__xludf.DUMMYFUNCTION("""COMPUTED_VALUE"""),0.67392)</f>
        <v>0.67392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0" t="str">
        <f>IFERROR(__xludf.DUMMYFUNCTION("""COMPUTED_VALUE"""),"21111203G")</f>
        <v>21111203G</v>
      </c>
      <c r="B112" s="22" t="str">
        <f>IFERROR(__xludf.DUMMYFUNCTION("""COMPUTED_VALUE"""),"DC-25 Rear Cover (Size 16) ")</f>
        <v>DC-25 Rear Cover (Size 16) </v>
      </c>
      <c r="C112" s="23">
        <f>IFERROR(__xludf.DUMMYFUNCTION("""COMPUTED_VALUE"""),0.6480000000000001)</f>
        <v>0.648</v>
      </c>
      <c r="D112" s="23">
        <f>IFERROR(__xludf.DUMMYFUNCTION("""COMPUTED_VALUE"""),0.6480000000000001)</f>
        <v>0.648</v>
      </c>
      <c r="E112" s="25">
        <f>IFERROR(__xludf.DUMMYFUNCTION("""COMPUTED_VALUE"""),1.0)</f>
        <v>1</v>
      </c>
      <c r="F112" s="2" t="str">
        <f>IFERROR(__xludf.DUMMYFUNCTION("""COMPUTED_VALUE"""),"")</f>
        <v/>
      </c>
      <c r="G112" s="27" t="str">
        <f>IFERROR(__xludf.DUMMYFUNCTION("""COMPUTED_VALUE"""),"")</f>
        <v/>
      </c>
      <c r="H112" s="23" t="str">
        <f>IFERROR(__xludf.DUMMYFUNCTION("""COMPUTED_VALUE"""),"")</f>
        <v/>
      </c>
      <c r="I112" s="2" t="str">
        <f>IFERROR(__xludf.DUMMYFUNCTION("""COMPUTED_VALUE"""),"")</f>
        <v/>
      </c>
      <c r="J112" s="27" t="str">
        <f>IFERROR(__xludf.DUMMYFUNCTION("""COMPUTED_VALUE"""),"")</f>
        <v/>
      </c>
      <c r="K112" s="23" t="str">
        <f>IFERROR(__xludf.DUMMYFUNCTION("""COMPUTED_VALUE"""),"")</f>
        <v/>
      </c>
      <c r="L112" s="2" t="str">
        <f>IFERROR(__xludf.DUMMYFUNCTION("""COMPUTED_VALUE"""),"Ф65 AL 2017 Italy")</f>
        <v>Ф65 AL 2017 Italy</v>
      </c>
      <c r="M112" s="27">
        <f>IFERROR(__xludf.DUMMYFUNCTION("""COMPUTED_VALUE"""),0.05)</f>
        <v>0.05</v>
      </c>
      <c r="N112" s="23">
        <f>IFERROR(__xludf.DUMMYFUNCTION("""COMPUTED_VALUE"""),0.6480000000000001)</f>
        <v>0.648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0" t="str">
        <f>IFERROR(__xludf.DUMMYFUNCTION("""COMPUTED_VALUE"""),"21111204J")</f>
        <v>21111204J</v>
      </c>
      <c r="B113" s="22" t="str">
        <f>IFERROR(__xludf.DUMMYFUNCTION("""COMPUTED_VALUE"""),"DC-25 Rear Cover for  Side Connect AB Xducer(R types)")</f>
        <v>DC-25 Rear Cover for  Side Connect AB Xducer(R types)</v>
      </c>
      <c r="C113" s="23">
        <f>IFERROR(__xludf.DUMMYFUNCTION("""COMPUTED_VALUE"""),0.80352)</f>
        <v>0.80352</v>
      </c>
      <c r="D113" s="23">
        <f>IFERROR(__xludf.DUMMYFUNCTION("""COMPUTED_VALUE"""),0.80352)</f>
        <v>0.80352</v>
      </c>
      <c r="E113" s="25">
        <f>IFERROR(__xludf.DUMMYFUNCTION("""COMPUTED_VALUE"""),1.0)</f>
        <v>1</v>
      </c>
      <c r="F113" s="2" t="str">
        <f>IFERROR(__xludf.DUMMYFUNCTION("""COMPUTED_VALUE"""),"")</f>
        <v/>
      </c>
      <c r="G113" s="27" t="str">
        <f>IFERROR(__xludf.DUMMYFUNCTION("""COMPUTED_VALUE"""),"")</f>
        <v/>
      </c>
      <c r="H113" s="23" t="str">
        <f>IFERROR(__xludf.DUMMYFUNCTION("""COMPUTED_VALUE"""),"")</f>
        <v/>
      </c>
      <c r="I113" s="2" t="str">
        <f>IFERROR(__xludf.DUMMYFUNCTION("""COMPUTED_VALUE"""),"")</f>
        <v/>
      </c>
      <c r="J113" s="27" t="str">
        <f>IFERROR(__xludf.DUMMYFUNCTION("""COMPUTED_VALUE"""),"")</f>
        <v/>
      </c>
      <c r="K113" s="23" t="str">
        <f>IFERROR(__xludf.DUMMYFUNCTION("""COMPUTED_VALUE"""),"")</f>
        <v/>
      </c>
      <c r="L113" s="2" t="str">
        <f>IFERROR(__xludf.DUMMYFUNCTION("""COMPUTED_VALUE"""),"Ф65 AL 2017 Italy")</f>
        <v>Ф65 AL 2017 Italy</v>
      </c>
      <c r="M113" s="27">
        <f>IFERROR(__xludf.DUMMYFUNCTION("""COMPUTED_VALUE"""),0.062)</f>
        <v>0.062</v>
      </c>
      <c r="N113" s="23">
        <f>IFERROR(__xludf.DUMMYFUNCTION("""COMPUTED_VALUE"""),0.80352)</f>
        <v>0.80352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0" t="str">
        <f>IFERROR(__xludf.DUMMYFUNCTION("""COMPUTED_VALUE"""),"21111205K")</f>
        <v>21111205K</v>
      </c>
      <c r="B114" s="22" t="str">
        <f>IFERROR(__xludf.DUMMYFUNCTION("""COMPUTED_VALUE"""),"DC-25 Rear Cover for  SSI rear connector mount, M23")</f>
        <v>DC-25 Rear Cover for  SSI rear connector mount, M23</v>
      </c>
      <c r="C114" s="23">
        <f>IFERROR(__xludf.DUMMYFUNCTION("""COMPUTED_VALUE"""),0.80352)</f>
        <v>0.80352</v>
      </c>
      <c r="D114" s="23">
        <f>IFERROR(__xludf.DUMMYFUNCTION("""COMPUTED_VALUE"""),0.80352)</f>
        <v>0.80352</v>
      </c>
      <c r="E114" s="25">
        <f>IFERROR(__xludf.DUMMYFUNCTION("""COMPUTED_VALUE"""),1.0)</f>
        <v>1</v>
      </c>
      <c r="F114" s="2" t="str">
        <f>IFERROR(__xludf.DUMMYFUNCTION("""COMPUTED_VALUE"""),"")</f>
        <v/>
      </c>
      <c r="G114" s="27" t="str">
        <f>IFERROR(__xludf.DUMMYFUNCTION("""COMPUTED_VALUE"""),"")</f>
        <v/>
      </c>
      <c r="H114" s="23" t="str">
        <f>IFERROR(__xludf.DUMMYFUNCTION("""COMPUTED_VALUE"""),"")</f>
        <v/>
      </c>
      <c r="I114" s="2" t="str">
        <f>IFERROR(__xludf.DUMMYFUNCTION("""COMPUTED_VALUE"""),"")</f>
        <v/>
      </c>
      <c r="J114" s="27" t="str">
        <f>IFERROR(__xludf.DUMMYFUNCTION("""COMPUTED_VALUE"""),"")</f>
        <v/>
      </c>
      <c r="K114" s="23" t="str">
        <f>IFERROR(__xludf.DUMMYFUNCTION("""COMPUTED_VALUE"""),"")</f>
        <v/>
      </c>
      <c r="L114" s="2" t="str">
        <f>IFERROR(__xludf.DUMMYFUNCTION("""COMPUTED_VALUE"""),"Ф65 AL 2017 Italy")</f>
        <v>Ф65 AL 2017 Italy</v>
      </c>
      <c r="M114" s="27">
        <f>IFERROR(__xludf.DUMMYFUNCTION("""COMPUTED_VALUE"""),0.062)</f>
        <v>0.062</v>
      </c>
      <c r="N114" s="23">
        <f>IFERROR(__xludf.DUMMYFUNCTION("""COMPUTED_VALUE"""),0.80352)</f>
        <v>0.80352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2">
        <f>IFERROR(__xludf.DUMMYFUNCTION("""COMPUTED_VALUE"""),2.11136E8)</f>
        <v>211136000</v>
      </c>
      <c r="B115" s="22" t="str">
        <f>IFERROR(__xludf.DUMMYFUNCTION("""COMPUTED_VALUE"""),"Transformer DC25\DC425 6 Pin ")</f>
        <v>Transformer DC25\DC425 6 Pin </v>
      </c>
      <c r="C115" s="23">
        <f>IFERROR(__xludf.DUMMYFUNCTION("""COMPUTED_VALUE"""),0.0)</f>
        <v>0</v>
      </c>
      <c r="D115" s="2" t="str">
        <f>IFERROR(__xludf.DUMMYFUNCTION("""COMPUTED_VALUE"""),"")</f>
        <v/>
      </c>
      <c r="E115" s="25" t="str">
        <f>IFERROR(__xludf.DUMMYFUNCTION("""COMPUTED_VALUE"""),"")</f>
        <v/>
      </c>
      <c r="F115" s="2" t="str">
        <f>IFERROR(__xludf.DUMMYFUNCTION("""COMPUTED_VALUE"""),"")</f>
        <v/>
      </c>
      <c r="G115" s="27" t="str">
        <f>IFERROR(__xludf.DUMMYFUNCTION("""COMPUTED_VALUE"""),"")</f>
        <v/>
      </c>
      <c r="H115" s="23" t="str">
        <f>IFERROR(__xludf.DUMMYFUNCTION("""COMPUTED_VALUE"""),"")</f>
        <v/>
      </c>
      <c r="I115" s="2" t="str">
        <f>IFERROR(__xludf.DUMMYFUNCTION("""COMPUTED_VALUE"""),"")</f>
        <v/>
      </c>
      <c r="J115" s="27" t="str">
        <f>IFERROR(__xludf.DUMMYFUNCTION("""COMPUTED_VALUE"""),"")</f>
        <v/>
      </c>
      <c r="K115" s="23" t="str">
        <f>IFERROR(__xludf.DUMMYFUNCTION("""COMPUTED_VALUE"""),"")</f>
        <v/>
      </c>
      <c r="L115" s="2" t="str">
        <f>IFERROR(__xludf.DUMMYFUNCTION("""COMPUTED_VALUE"""),"")</f>
        <v/>
      </c>
      <c r="M115" s="27" t="str">
        <f>IFERROR(__xludf.DUMMYFUNCTION("""COMPUTED_VALUE"""),"")</f>
        <v/>
      </c>
      <c r="N115" s="23" t="str">
        <f>IFERROR(__xludf.DUMMYFUNCTION("""COMPUTED_VALUE"""),"")</f>
        <v/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0" t="str">
        <f>IFERROR(__xludf.DUMMYFUNCTION("""COMPUTED_VALUE"""),"21114202B")</f>
        <v>21114202B</v>
      </c>
      <c r="B116" s="22" t="str">
        <f>IFERROR(__xludf.DUMMYFUNCTION("""COMPUTED_VALUE"""),"5/8 Shaft w/ Key Slot ")</f>
        <v>5/8 Shaft w/ Key Slot </v>
      </c>
      <c r="C116" s="23">
        <f>IFERROR(__xludf.DUMMYFUNCTION("""COMPUTED_VALUE"""),0.0)</f>
        <v>0</v>
      </c>
      <c r="D116" s="2" t="str">
        <f>IFERROR(__xludf.DUMMYFUNCTION("""COMPUTED_VALUE"""),"")</f>
        <v/>
      </c>
      <c r="E116" s="25" t="str">
        <f>IFERROR(__xludf.DUMMYFUNCTION("""COMPUTED_VALUE"""),"")</f>
        <v/>
      </c>
      <c r="F116" s="2" t="str">
        <f>IFERROR(__xludf.DUMMYFUNCTION("""COMPUTED_VALUE"""),"")</f>
        <v/>
      </c>
      <c r="G116" s="27" t="str">
        <f>IFERROR(__xludf.DUMMYFUNCTION("""COMPUTED_VALUE"""),"")</f>
        <v/>
      </c>
      <c r="H116" s="23" t="str">
        <f>IFERROR(__xludf.DUMMYFUNCTION("""COMPUTED_VALUE"""),"")</f>
        <v/>
      </c>
      <c r="I116" s="2" t="str">
        <f>IFERROR(__xludf.DUMMYFUNCTION("""COMPUTED_VALUE"""),"")</f>
        <v/>
      </c>
      <c r="J116" s="27" t="str">
        <f>IFERROR(__xludf.DUMMYFUNCTION("""COMPUTED_VALUE"""),"")</f>
        <v/>
      </c>
      <c r="K116" s="23" t="str">
        <f>IFERROR(__xludf.DUMMYFUNCTION("""COMPUTED_VALUE"""),"")</f>
        <v/>
      </c>
      <c r="L116" s="2" t="str">
        <f>IFERROR(__xludf.DUMMYFUNCTION("""COMPUTED_VALUE"""),"")</f>
        <v/>
      </c>
      <c r="M116" s="27" t="str">
        <f>IFERROR(__xludf.DUMMYFUNCTION("""COMPUTED_VALUE"""),"")</f>
        <v/>
      </c>
      <c r="N116" s="23" t="str">
        <f>IFERROR(__xludf.DUMMYFUNCTION("""COMPUTED_VALUE"""),"")</f>
        <v/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2" t="str">
        <f>IFERROR(__xludf.DUMMYFUNCTION("""COMPUTED_VALUE"""),"21118100B")</f>
        <v>21118100B</v>
      </c>
      <c r="B117" s="22" t="str">
        <f>IFERROR(__xludf.DUMMYFUNCTION("""COMPUTED_VALUE"""),"SHAFT MOD. FOR 1/4"" H20 SEAL ON DC25 &amp; H25 SHAFT")</f>
        <v>SHAFT MOD. FOR 1/4" H20 SEAL ON DC25 &amp; H25 SHAFT</v>
      </c>
      <c r="C117" s="23">
        <f>IFERROR(__xludf.DUMMYFUNCTION("""COMPUTED_VALUE"""),0.0)</f>
        <v>0</v>
      </c>
      <c r="D117" s="2" t="str">
        <f>IFERROR(__xludf.DUMMYFUNCTION("""COMPUTED_VALUE"""),"")</f>
        <v/>
      </c>
      <c r="E117" s="25" t="str">
        <f>IFERROR(__xludf.DUMMYFUNCTION("""COMPUTED_VALUE"""),"")</f>
        <v/>
      </c>
      <c r="F117" s="2" t="str">
        <f>IFERROR(__xludf.DUMMYFUNCTION("""COMPUTED_VALUE"""),"")</f>
        <v/>
      </c>
      <c r="G117" s="27" t="str">
        <f>IFERROR(__xludf.DUMMYFUNCTION("""COMPUTED_VALUE"""),"")</f>
        <v/>
      </c>
      <c r="H117" s="23" t="str">
        <f>IFERROR(__xludf.DUMMYFUNCTION("""COMPUTED_VALUE"""),"")</f>
        <v/>
      </c>
      <c r="I117" s="2" t="str">
        <f>IFERROR(__xludf.DUMMYFUNCTION("""COMPUTED_VALUE"""),"")</f>
        <v/>
      </c>
      <c r="J117" s="27" t="str">
        <f>IFERROR(__xludf.DUMMYFUNCTION("""COMPUTED_VALUE"""),"")</f>
        <v/>
      </c>
      <c r="K117" s="23" t="str">
        <f>IFERROR(__xludf.DUMMYFUNCTION("""COMPUTED_VALUE"""),"")</f>
        <v/>
      </c>
      <c r="L117" s="2" t="str">
        <f>IFERROR(__xludf.DUMMYFUNCTION("""COMPUTED_VALUE"""),"")</f>
        <v/>
      </c>
      <c r="M117" s="27" t="str">
        <f>IFERROR(__xludf.DUMMYFUNCTION("""COMPUTED_VALUE"""),"")</f>
        <v/>
      </c>
      <c r="N117" s="23" t="str">
        <f>IFERROR(__xludf.DUMMYFUNCTION("""COMPUTED_VALUE"""),"")</f>
        <v/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0" t="str">
        <f>IFERROR(__xludf.DUMMYFUNCTION("""COMPUTED_VALUE"""),"21119801C")</f>
        <v>21119801C</v>
      </c>
      <c r="B118" s="22" t="str">
        <f>IFERROR(__xludf.DUMMYFUNCTION("""COMPUTED_VALUE"""),"H25-HMXXE-HFL REAR COVER ")</f>
        <v>H25-HMXXE-HFL REAR COVER </v>
      </c>
      <c r="C118" s="23">
        <f>IFERROR(__xludf.DUMMYFUNCTION("""COMPUTED_VALUE"""),0.0)</f>
        <v>0</v>
      </c>
      <c r="D118" s="2" t="str">
        <f>IFERROR(__xludf.DUMMYFUNCTION("""COMPUTED_VALUE"""),"")</f>
        <v/>
      </c>
      <c r="E118" s="25" t="str">
        <f>IFERROR(__xludf.DUMMYFUNCTION("""COMPUTED_VALUE"""),"")</f>
        <v/>
      </c>
      <c r="F118" s="2" t="str">
        <f>IFERROR(__xludf.DUMMYFUNCTION("""COMPUTED_VALUE"""),"")</f>
        <v/>
      </c>
      <c r="G118" s="27" t="str">
        <f>IFERROR(__xludf.DUMMYFUNCTION("""COMPUTED_VALUE"""),"")</f>
        <v/>
      </c>
      <c r="H118" s="23" t="str">
        <f>IFERROR(__xludf.DUMMYFUNCTION("""COMPUTED_VALUE"""),"")</f>
        <v/>
      </c>
      <c r="I118" s="2" t="str">
        <f>IFERROR(__xludf.DUMMYFUNCTION("""COMPUTED_VALUE"""),"")</f>
        <v/>
      </c>
      <c r="J118" s="27" t="str">
        <f>IFERROR(__xludf.DUMMYFUNCTION("""COMPUTED_VALUE"""),"")</f>
        <v/>
      </c>
      <c r="K118" s="23" t="str">
        <f>IFERROR(__xludf.DUMMYFUNCTION("""COMPUTED_VALUE"""),"")</f>
        <v/>
      </c>
      <c r="L118" s="2" t="str">
        <f>IFERROR(__xludf.DUMMYFUNCTION("""COMPUTED_VALUE"""),"")</f>
        <v/>
      </c>
      <c r="M118" s="27" t="str">
        <f>IFERROR(__xludf.DUMMYFUNCTION("""COMPUTED_VALUE"""),"")</f>
        <v/>
      </c>
      <c r="N118" s="23" t="str">
        <f>IFERROR(__xludf.DUMMYFUNCTION("""COMPUTED_VALUE"""),"")</f>
        <v/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2">
        <f>IFERROR(__xludf.DUMMYFUNCTION("""COMPUTED_VALUE"""),2.11223E8)</f>
        <v>211223000</v>
      </c>
      <c r="B119" s="22" t="str">
        <f>IFERROR(__xludf.DUMMYFUNCTION("""COMPUTED_VALUE"""),"Transformer SMT6 Pin Carrier 80/200uH (Choke)")</f>
        <v>Transformer SMT6 Pin Carrier 80/200uH (Choke)</v>
      </c>
      <c r="C119" s="23">
        <f>IFERROR(__xludf.DUMMYFUNCTION("""COMPUTED_VALUE"""),0.0)</f>
        <v>0</v>
      </c>
      <c r="D119" s="2" t="str">
        <f>IFERROR(__xludf.DUMMYFUNCTION("""COMPUTED_VALUE"""),"")</f>
        <v/>
      </c>
      <c r="E119" s="25" t="str">
        <f>IFERROR(__xludf.DUMMYFUNCTION("""COMPUTED_VALUE"""),"")</f>
        <v/>
      </c>
      <c r="F119" s="2" t="str">
        <f>IFERROR(__xludf.DUMMYFUNCTION("""COMPUTED_VALUE"""),"")</f>
        <v/>
      </c>
      <c r="G119" s="27" t="str">
        <f>IFERROR(__xludf.DUMMYFUNCTION("""COMPUTED_VALUE"""),"")</f>
        <v/>
      </c>
      <c r="H119" s="23" t="str">
        <f>IFERROR(__xludf.DUMMYFUNCTION("""COMPUTED_VALUE"""),"")</f>
        <v/>
      </c>
      <c r="I119" s="2" t="str">
        <f>IFERROR(__xludf.DUMMYFUNCTION("""COMPUTED_VALUE"""),"")</f>
        <v/>
      </c>
      <c r="J119" s="27" t="str">
        <f>IFERROR(__xludf.DUMMYFUNCTION("""COMPUTED_VALUE"""),"")</f>
        <v/>
      </c>
      <c r="K119" s="23" t="str">
        <f>IFERROR(__xludf.DUMMYFUNCTION("""COMPUTED_VALUE"""),"")</f>
        <v/>
      </c>
      <c r="L119" s="2" t="str">
        <f>IFERROR(__xludf.DUMMYFUNCTION("""COMPUTED_VALUE"""),"")</f>
        <v/>
      </c>
      <c r="M119" s="27" t="str">
        <f>IFERROR(__xludf.DUMMYFUNCTION("""COMPUTED_VALUE"""),"")</f>
        <v/>
      </c>
      <c r="N119" s="23" t="str">
        <f>IFERROR(__xludf.DUMMYFUNCTION("""COMPUTED_VALUE"""),"")</f>
        <v/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2">
        <f>IFERROR(__xludf.DUMMYFUNCTION("""COMPUTED_VALUE"""),2.11259E8)</f>
        <v>211259000</v>
      </c>
      <c r="B120" s="22" t="str">
        <f>IFERROR(__xludf.DUMMYFUNCTION("""COMPUTED_VALUE"""),"SHAFT MOD. FOR 10mm H20 SEAL ON DC25 &amp; H25 SHAFT")</f>
        <v>SHAFT MOD. FOR 10mm H20 SEAL ON DC25 &amp; H25 SHAFT</v>
      </c>
      <c r="C120" s="23">
        <f>IFERROR(__xludf.DUMMYFUNCTION("""COMPUTED_VALUE"""),0.0)</f>
        <v>0</v>
      </c>
      <c r="D120" s="2" t="str">
        <f>IFERROR(__xludf.DUMMYFUNCTION("""COMPUTED_VALUE"""),"")</f>
        <v/>
      </c>
      <c r="E120" s="25" t="str">
        <f>IFERROR(__xludf.DUMMYFUNCTION("""COMPUTED_VALUE"""),"")</f>
        <v/>
      </c>
      <c r="F120" s="2" t="str">
        <f>IFERROR(__xludf.DUMMYFUNCTION("""COMPUTED_VALUE"""),"")</f>
        <v/>
      </c>
      <c r="G120" s="27" t="str">
        <f>IFERROR(__xludf.DUMMYFUNCTION("""COMPUTED_VALUE"""),"")</f>
        <v/>
      </c>
      <c r="H120" s="23" t="str">
        <f>IFERROR(__xludf.DUMMYFUNCTION("""COMPUTED_VALUE"""),"")</f>
        <v/>
      </c>
      <c r="I120" s="2" t="str">
        <f>IFERROR(__xludf.DUMMYFUNCTION("""COMPUTED_VALUE"""),"")</f>
        <v/>
      </c>
      <c r="J120" s="27" t="str">
        <f>IFERROR(__xludf.DUMMYFUNCTION("""COMPUTED_VALUE"""),"")</f>
        <v/>
      </c>
      <c r="K120" s="23" t="str">
        <f>IFERROR(__xludf.DUMMYFUNCTION("""COMPUTED_VALUE"""),"")</f>
        <v/>
      </c>
      <c r="L120" s="2" t="str">
        <f>IFERROR(__xludf.DUMMYFUNCTION("""COMPUTED_VALUE"""),"")</f>
        <v/>
      </c>
      <c r="M120" s="27" t="str">
        <f>IFERROR(__xludf.DUMMYFUNCTION("""COMPUTED_VALUE"""),"")</f>
        <v/>
      </c>
      <c r="N120" s="23" t="str">
        <f>IFERROR(__xludf.DUMMYFUNCTION("""COMPUTED_VALUE"""),"")</f>
        <v/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0">
        <f>IFERROR(__xludf.DUMMYFUNCTION("""COMPUTED_VALUE"""),2.11267E8)</f>
        <v>211267000</v>
      </c>
      <c r="B121" s="22" t="str">
        <f>IFERROR(__xludf.DUMMYFUNCTION("""COMPUTED_VALUE"""),"DC25 Rear Cover Switch Mod ")</f>
        <v>DC25 Rear Cover Switch Mod </v>
      </c>
      <c r="C121" s="23">
        <f>IFERROR(__xludf.DUMMYFUNCTION("""COMPUTED_VALUE"""),0.0)</f>
        <v>0</v>
      </c>
      <c r="D121" s="2" t="str">
        <f>IFERROR(__xludf.DUMMYFUNCTION("""COMPUTED_VALUE"""),"")</f>
        <v/>
      </c>
      <c r="E121" s="25" t="str">
        <f>IFERROR(__xludf.DUMMYFUNCTION("""COMPUTED_VALUE"""),"")</f>
        <v/>
      </c>
      <c r="F121" s="2" t="str">
        <f>IFERROR(__xludf.DUMMYFUNCTION("""COMPUTED_VALUE"""),"")</f>
        <v/>
      </c>
      <c r="G121" s="27" t="str">
        <f>IFERROR(__xludf.DUMMYFUNCTION("""COMPUTED_VALUE"""),"")</f>
        <v/>
      </c>
      <c r="H121" s="23" t="str">
        <f>IFERROR(__xludf.DUMMYFUNCTION("""COMPUTED_VALUE"""),"")</f>
        <v/>
      </c>
      <c r="I121" s="2" t="str">
        <f>IFERROR(__xludf.DUMMYFUNCTION("""COMPUTED_VALUE"""),"")</f>
        <v/>
      </c>
      <c r="J121" s="27" t="str">
        <f>IFERROR(__xludf.DUMMYFUNCTION("""COMPUTED_VALUE"""),"")</f>
        <v/>
      </c>
      <c r="K121" s="23" t="str">
        <f>IFERROR(__xludf.DUMMYFUNCTION("""COMPUTED_VALUE"""),"")</f>
        <v/>
      </c>
      <c r="L121" s="2" t="str">
        <f>IFERROR(__xludf.DUMMYFUNCTION("""COMPUTED_VALUE"""),"")</f>
        <v/>
      </c>
      <c r="M121" s="27" t="str">
        <f>IFERROR(__xludf.DUMMYFUNCTION("""COMPUTED_VALUE"""),"")</f>
        <v/>
      </c>
      <c r="N121" s="23" t="str">
        <f>IFERROR(__xludf.DUMMYFUNCTION("""COMPUTED_VALUE"""),"")</f>
        <v/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0" t="str">
        <f>IFERROR(__xludf.DUMMYFUNCTION("""COMPUTED_VALUE"""),"21127800A")</f>
        <v>21127800A</v>
      </c>
      <c r="B122" s="22" t="str">
        <f>IFERROR(__xludf.DUMMYFUNCTION("""COMPUTED_VALUE"""),"DC25 &amp; H25 3/8"" SHAFT TR=0.95")</f>
        <v>DC25 &amp; H25 3/8" SHAFT TR=0.95</v>
      </c>
      <c r="C122" s="23">
        <f>IFERROR(__xludf.DUMMYFUNCTION("""COMPUTED_VALUE"""),0.0)</f>
        <v>0</v>
      </c>
      <c r="D122" s="2" t="str">
        <f>IFERROR(__xludf.DUMMYFUNCTION("""COMPUTED_VALUE"""),"")</f>
        <v/>
      </c>
      <c r="E122" s="25" t="str">
        <f>IFERROR(__xludf.DUMMYFUNCTION("""COMPUTED_VALUE"""),"")</f>
        <v/>
      </c>
      <c r="F122" s="2" t="str">
        <f>IFERROR(__xludf.DUMMYFUNCTION("""COMPUTED_VALUE"""),"")</f>
        <v/>
      </c>
      <c r="G122" s="27" t="str">
        <f>IFERROR(__xludf.DUMMYFUNCTION("""COMPUTED_VALUE"""),"")</f>
        <v/>
      </c>
      <c r="H122" s="23" t="str">
        <f>IFERROR(__xludf.DUMMYFUNCTION("""COMPUTED_VALUE"""),"")</f>
        <v/>
      </c>
      <c r="I122" s="2" t="str">
        <f>IFERROR(__xludf.DUMMYFUNCTION("""COMPUTED_VALUE"""),"")</f>
        <v/>
      </c>
      <c r="J122" s="27" t="str">
        <f>IFERROR(__xludf.DUMMYFUNCTION("""COMPUTED_VALUE"""),"")</f>
        <v/>
      </c>
      <c r="K122" s="23" t="str">
        <f>IFERROR(__xludf.DUMMYFUNCTION("""COMPUTED_VALUE"""),"")</f>
        <v/>
      </c>
      <c r="L122" s="2" t="str">
        <f>IFERROR(__xludf.DUMMYFUNCTION("""COMPUTED_VALUE"""),"")</f>
        <v/>
      </c>
      <c r="M122" s="27" t="str">
        <f>IFERROR(__xludf.DUMMYFUNCTION("""COMPUTED_VALUE"""),"")</f>
        <v/>
      </c>
      <c r="N122" s="23" t="str">
        <f>IFERROR(__xludf.DUMMYFUNCTION("""COMPUTED_VALUE"""),"")</f>
        <v/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0" t="str">
        <f>IFERROR(__xludf.DUMMYFUNCTION("""COMPUTED_VALUE"""),"21127801A")</f>
        <v>21127801A</v>
      </c>
      <c r="B123" s="22" t="str">
        <f>IFERROR(__xludf.DUMMYFUNCTION("""COMPUTED_VALUE"""),"H25 3/8"" SHAFT TR = 0.5")</f>
        <v>H25 3/8" SHAFT TR = 0.5</v>
      </c>
      <c r="C123" s="23">
        <f>IFERROR(__xludf.DUMMYFUNCTION("""COMPUTED_VALUE"""),0.0)</f>
        <v>0</v>
      </c>
      <c r="D123" s="2" t="str">
        <f>IFERROR(__xludf.DUMMYFUNCTION("""COMPUTED_VALUE"""),"")</f>
        <v/>
      </c>
      <c r="E123" s="25" t="str">
        <f>IFERROR(__xludf.DUMMYFUNCTION("""COMPUTED_VALUE"""),"")</f>
        <v/>
      </c>
      <c r="F123" s="2" t="str">
        <f>IFERROR(__xludf.DUMMYFUNCTION("""COMPUTED_VALUE"""),"")</f>
        <v/>
      </c>
      <c r="G123" s="27" t="str">
        <f>IFERROR(__xludf.DUMMYFUNCTION("""COMPUTED_VALUE"""),"")</f>
        <v/>
      </c>
      <c r="H123" s="23" t="str">
        <f>IFERROR(__xludf.DUMMYFUNCTION("""COMPUTED_VALUE"""),"")</f>
        <v/>
      </c>
      <c r="I123" s="2" t="str">
        <f>IFERROR(__xludf.DUMMYFUNCTION("""COMPUTED_VALUE"""),"")</f>
        <v/>
      </c>
      <c r="J123" s="27" t="str">
        <f>IFERROR(__xludf.DUMMYFUNCTION("""COMPUTED_VALUE"""),"")</f>
        <v/>
      </c>
      <c r="K123" s="23" t="str">
        <f>IFERROR(__xludf.DUMMYFUNCTION("""COMPUTED_VALUE"""),"")</f>
        <v/>
      </c>
      <c r="L123" s="2" t="str">
        <f>IFERROR(__xludf.DUMMYFUNCTION("""COMPUTED_VALUE"""),"")</f>
        <v/>
      </c>
      <c r="M123" s="27" t="str">
        <f>IFERROR(__xludf.DUMMYFUNCTION("""COMPUTED_VALUE"""),"")</f>
        <v/>
      </c>
      <c r="N123" s="23" t="str">
        <f>IFERROR(__xludf.DUMMYFUNCTION("""COMPUTED_VALUE"""),"")</f>
        <v/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0" t="str">
        <f>IFERROR(__xludf.DUMMYFUNCTION("""COMPUTED_VALUE"""),"21127901A")</f>
        <v>21127901A</v>
      </c>
      <c r="B124" s="22" t="str">
        <f>IFERROR(__xludf.DUMMYFUNCTION("""COMPUTED_VALUE"""),"DC25 &amp; H25 10 mm SHAFT 316 SS")</f>
        <v>DC25 &amp; H25 10 mm SHAFT 316 SS</v>
      </c>
      <c r="C124" s="23">
        <f>IFERROR(__xludf.DUMMYFUNCTION("""COMPUTED_VALUE"""),0.0)</f>
        <v>0</v>
      </c>
      <c r="D124" s="2" t="str">
        <f>IFERROR(__xludf.DUMMYFUNCTION("""COMPUTED_VALUE"""),"")</f>
        <v/>
      </c>
      <c r="E124" s="25" t="str">
        <f>IFERROR(__xludf.DUMMYFUNCTION("""COMPUTED_VALUE"""),"")</f>
        <v/>
      </c>
      <c r="F124" s="2" t="str">
        <f>IFERROR(__xludf.DUMMYFUNCTION("""COMPUTED_VALUE"""),"")</f>
        <v/>
      </c>
      <c r="G124" s="27" t="str">
        <f>IFERROR(__xludf.DUMMYFUNCTION("""COMPUTED_VALUE"""),"")</f>
        <v/>
      </c>
      <c r="H124" s="23" t="str">
        <f>IFERROR(__xludf.DUMMYFUNCTION("""COMPUTED_VALUE"""),"")</f>
        <v/>
      </c>
      <c r="I124" s="2" t="str">
        <f>IFERROR(__xludf.DUMMYFUNCTION("""COMPUTED_VALUE"""),"")</f>
        <v/>
      </c>
      <c r="J124" s="27" t="str">
        <f>IFERROR(__xludf.DUMMYFUNCTION("""COMPUTED_VALUE"""),"")</f>
        <v/>
      </c>
      <c r="K124" s="23" t="str">
        <f>IFERROR(__xludf.DUMMYFUNCTION("""COMPUTED_VALUE"""),"")</f>
        <v/>
      </c>
      <c r="L124" s="2" t="str">
        <f>IFERROR(__xludf.DUMMYFUNCTION("""COMPUTED_VALUE"""),"")</f>
        <v/>
      </c>
      <c r="M124" s="27" t="str">
        <f>IFERROR(__xludf.DUMMYFUNCTION("""COMPUTED_VALUE"""),"")</f>
        <v/>
      </c>
      <c r="N124" s="23" t="str">
        <f>IFERROR(__xludf.DUMMYFUNCTION("""COMPUTED_VALUE"""),"")</f>
        <v/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0" t="str">
        <f>IFERROR(__xludf.DUMMYFUNCTION("""COMPUTED_VALUE"""),"21128000A")</f>
        <v>21128000A</v>
      </c>
      <c r="B125" s="22" t="str">
        <f>IFERROR(__xludf.DUMMYFUNCTION("""COMPUTED_VALUE"""),"DC25 &amp; H25 3/8"" SHAFT WITH 7/16"" ADDED TO LENGTH")</f>
        <v>DC25 &amp; H25 3/8" SHAFT WITH 7/16" ADDED TO LENGTH</v>
      </c>
      <c r="C125" s="23">
        <f>IFERROR(__xludf.DUMMYFUNCTION("""COMPUTED_VALUE"""),0.0)</f>
        <v>0</v>
      </c>
      <c r="D125" s="2" t="str">
        <f>IFERROR(__xludf.DUMMYFUNCTION("""COMPUTED_VALUE"""),"")</f>
        <v/>
      </c>
      <c r="E125" s="25" t="str">
        <f>IFERROR(__xludf.DUMMYFUNCTION("""COMPUTED_VALUE"""),"")</f>
        <v/>
      </c>
      <c r="F125" s="2" t="str">
        <f>IFERROR(__xludf.DUMMYFUNCTION("""COMPUTED_VALUE"""),"")</f>
        <v/>
      </c>
      <c r="G125" s="27" t="str">
        <f>IFERROR(__xludf.DUMMYFUNCTION("""COMPUTED_VALUE"""),"")</f>
        <v/>
      </c>
      <c r="H125" s="23" t="str">
        <f>IFERROR(__xludf.DUMMYFUNCTION("""COMPUTED_VALUE"""),"")</f>
        <v/>
      </c>
      <c r="I125" s="2" t="str">
        <f>IFERROR(__xludf.DUMMYFUNCTION("""COMPUTED_VALUE"""),"")</f>
        <v/>
      </c>
      <c r="J125" s="27" t="str">
        <f>IFERROR(__xludf.DUMMYFUNCTION("""COMPUTED_VALUE"""),"")</f>
        <v/>
      </c>
      <c r="K125" s="23" t="str">
        <f>IFERROR(__xludf.DUMMYFUNCTION("""COMPUTED_VALUE"""),"")</f>
        <v/>
      </c>
      <c r="L125" s="2" t="str">
        <f>IFERROR(__xludf.DUMMYFUNCTION("""COMPUTED_VALUE"""),"")</f>
        <v/>
      </c>
      <c r="M125" s="27" t="str">
        <f>IFERROR(__xludf.DUMMYFUNCTION("""COMPUTED_VALUE"""),"")</f>
        <v/>
      </c>
      <c r="N125" s="23" t="str">
        <f>IFERROR(__xludf.DUMMYFUNCTION("""COMPUTED_VALUE"""),"")</f>
        <v/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2">
        <f>IFERROR(__xludf.DUMMYFUNCTION("""COMPUTED_VALUE"""),2.11281E8)</f>
        <v>211281000</v>
      </c>
      <c r="B126" s="22" t="str">
        <f>IFERROR(__xludf.DUMMYFUNCTION("""COMPUTED_VALUE"""),"DC25 &amp; H25 3/8"" SHAFT with 3mm KEY WAY")</f>
        <v>DC25 &amp; H25 3/8" SHAFT with 3mm KEY WAY</v>
      </c>
      <c r="C126" s="23">
        <f>IFERROR(__xludf.DUMMYFUNCTION("""COMPUTED_VALUE"""),0.0)</f>
        <v>0</v>
      </c>
      <c r="D126" s="2" t="str">
        <f>IFERROR(__xludf.DUMMYFUNCTION("""COMPUTED_VALUE"""),"")</f>
        <v/>
      </c>
      <c r="E126" s="25" t="str">
        <f>IFERROR(__xludf.DUMMYFUNCTION("""COMPUTED_VALUE"""),"")</f>
        <v/>
      </c>
      <c r="F126" s="2" t="str">
        <f>IFERROR(__xludf.DUMMYFUNCTION("""COMPUTED_VALUE"""),"")</f>
        <v/>
      </c>
      <c r="G126" s="27" t="str">
        <f>IFERROR(__xludf.DUMMYFUNCTION("""COMPUTED_VALUE"""),"")</f>
        <v/>
      </c>
      <c r="H126" s="23" t="str">
        <f>IFERROR(__xludf.DUMMYFUNCTION("""COMPUTED_VALUE"""),"")</f>
        <v/>
      </c>
      <c r="I126" s="2" t="str">
        <f>IFERROR(__xludf.DUMMYFUNCTION("""COMPUTED_VALUE"""),"")</f>
        <v/>
      </c>
      <c r="J126" s="27" t="str">
        <f>IFERROR(__xludf.DUMMYFUNCTION("""COMPUTED_VALUE"""),"")</f>
        <v/>
      </c>
      <c r="K126" s="23" t="str">
        <f>IFERROR(__xludf.DUMMYFUNCTION("""COMPUTED_VALUE"""),"")</f>
        <v/>
      </c>
      <c r="L126" s="2" t="str">
        <f>IFERROR(__xludf.DUMMYFUNCTION("""COMPUTED_VALUE"""),"")</f>
        <v/>
      </c>
      <c r="M126" s="27" t="str">
        <f>IFERROR(__xludf.DUMMYFUNCTION("""COMPUTED_VALUE"""),"")</f>
        <v/>
      </c>
      <c r="N126" s="23" t="str">
        <f>IFERROR(__xludf.DUMMYFUNCTION("""COMPUTED_VALUE"""),"")</f>
        <v/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2" t="str">
        <f>IFERROR(__xludf.DUMMYFUNCTION("""COMPUTED_VALUE"""),"21128100A")</f>
        <v>21128100A</v>
      </c>
      <c r="B127" s="22" t="str">
        <f>IFERROR(__xludf.DUMMYFUNCTION("""COMPUTED_VALUE"""),"H25-F1E &amp; MIE SHAFT ")</f>
        <v>H25-F1E &amp; MIE SHAFT </v>
      </c>
      <c r="C127" s="23">
        <f>IFERROR(__xludf.DUMMYFUNCTION("""COMPUTED_VALUE"""),0.0)</f>
        <v>0</v>
      </c>
      <c r="D127" s="2" t="str">
        <f>IFERROR(__xludf.DUMMYFUNCTION("""COMPUTED_VALUE"""),"")</f>
        <v/>
      </c>
      <c r="E127" s="25" t="str">
        <f>IFERROR(__xludf.DUMMYFUNCTION("""COMPUTED_VALUE"""),"")</f>
        <v/>
      </c>
      <c r="F127" s="2" t="str">
        <f>IFERROR(__xludf.DUMMYFUNCTION("""COMPUTED_VALUE"""),"")</f>
        <v/>
      </c>
      <c r="G127" s="27" t="str">
        <f>IFERROR(__xludf.DUMMYFUNCTION("""COMPUTED_VALUE"""),"")</f>
        <v/>
      </c>
      <c r="H127" s="23" t="str">
        <f>IFERROR(__xludf.DUMMYFUNCTION("""COMPUTED_VALUE"""),"")</f>
        <v/>
      </c>
      <c r="I127" s="2" t="str">
        <f>IFERROR(__xludf.DUMMYFUNCTION("""COMPUTED_VALUE"""),"")</f>
        <v/>
      </c>
      <c r="J127" s="27" t="str">
        <f>IFERROR(__xludf.DUMMYFUNCTION("""COMPUTED_VALUE"""),"")</f>
        <v/>
      </c>
      <c r="K127" s="23" t="str">
        <f>IFERROR(__xludf.DUMMYFUNCTION("""COMPUTED_VALUE"""),"")</f>
        <v/>
      </c>
      <c r="L127" s="2" t="str">
        <f>IFERROR(__xludf.DUMMYFUNCTION("""COMPUTED_VALUE"""),"")</f>
        <v/>
      </c>
      <c r="M127" s="27" t="str">
        <f>IFERROR(__xludf.DUMMYFUNCTION("""COMPUTED_VALUE"""),"")</f>
        <v/>
      </c>
      <c r="N127" s="23" t="str">
        <f>IFERROR(__xludf.DUMMYFUNCTION("""COMPUTED_VALUE"""),"")</f>
        <v/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2">
        <f>IFERROR(__xludf.DUMMYFUNCTION("""COMPUTED_VALUE"""),2.11283E8)</f>
        <v>211283000</v>
      </c>
      <c r="B128" s="22" t="str">
        <f>IFERROR(__xludf.DUMMYFUNCTION("""COMPUTED_VALUE"""),"Multiturn 10mm SHAFT for DC25")</f>
        <v>Multiturn 10mm SHAFT for DC25</v>
      </c>
      <c r="C128" s="23">
        <f>IFERROR(__xludf.DUMMYFUNCTION("""COMPUTED_VALUE"""),0.0)</f>
        <v>0</v>
      </c>
      <c r="D128" s="2" t="str">
        <f>IFERROR(__xludf.DUMMYFUNCTION("""COMPUTED_VALUE"""),"")</f>
        <v/>
      </c>
      <c r="E128" s="25" t="str">
        <f>IFERROR(__xludf.DUMMYFUNCTION("""COMPUTED_VALUE"""),"")</f>
        <v/>
      </c>
      <c r="F128" s="2" t="str">
        <f>IFERROR(__xludf.DUMMYFUNCTION("""COMPUTED_VALUE"""),"")</f>
        <v/>
      </c>
      <c r="G128" s="27" t="str">
        <f>IFERROR(__xludf.DUMMYFUNCTION("""COMPUTED_VALUE"""),"")</f>
        <v/>
      </c>
      <c r="H128" s="23" t="str">
        <f>IFERROR(__xludf.DUMMYFUNCTION("""COMPUTED_VALUE"""),"")</f>
        <v/>
      </c>
      <c r="I128" s="2" t="str">
        <f>IFERROR(__xludf.DUMMYFUNCTION("""COMPUTED_VALUE"""),"")</f>
        <v/>
      </c>
      <c r="J128" s="27" t="str">
        <f>IFERROR(__xludf.DUMMYFUNCTION("""COMPUTED_VALUE"""),"")</f>
        <v/>
      </c>
      <c r="K128" s="23" t="str">
        <f>IFERROR(__xludf.DUMMYFUNCTION("""COMPUTED_VALUE"""),"")</f>
        <v/>
      </c>
      <c r="L128" s="2" t="str">
        <f>IFERROR(__xludf.DUMMYFUNCTION("""COMPUTED_VALUE"""),"")</f>
        <v/>
      </c>
      <c r="M128" s="27" t="str">
        <f>IFERROR(__xludf.DUMMYFUNCTION("""COMPUTED_VALUE"""),"")</f>
        <v/>
      </c>
      <c r="N128" s="23" t="str">
        <f>IFERROR(__xludf.DUMMYFUNCTION("""COMPUTED_VALUE"""),"")</f>
        <v/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0" t="str">
        <f>IFERROR(__xludf.DUMMYFUNCTION("""COMPUTED_VALUE"""),"21129000A")</f>
        <v>21129000A</v>
      </c>
      <c r="B129" s="22" t="str">
        <f>IFERROR(__xludf.DUMMYFUNCTION("""COMPUTED_VALUE"""),"SSI MULTITURN COVER FOR DC25FS")</f>
        <v>SSI MULTITURN COVER FOR DC25FS</v>
      </c>
      <c r="C129" s="23">
        <f>IFERROR(__xludf.DUMMYFUNCTION("""COMPUTED_VALUE"""),0.0)</f>
        <v>0</v>
      </c>
      <c r="D129" s="2" t="str">
        <f>IFERROR(__xludf.DUMMYFUNCTION("""COMPUTED_VALUE"""),"")</f>
        <v/>
      </c>
      <c r="E129" s="25" t="str">
        <f>IFERROR(__xludf.DUMMYFUNCTION("""COMPUTED_VALUE"""),"")</f>
        <v/>
      </c>
      <c r="F129" s="2" t="str">
        <f>IFERROR(__xludf.DUMMYFUNCTION("""COMPUTED_VALUE"""),"")</f>
        <v/>
      </c>
      <c r="G129" s="27" t="str">
        <f>IFERROR(__xludf.DUMMYFUNCTION("""COMPUTED_VALUE"""),"")</f>
        <v/>
      </c>
      <c r="H129" s="23" t="str">
        <f>IFERROR(__xludf.DUMMYFUNCTION("""COMPUTED_VALUE"""),"")</f>
        <v/>
      </c>
      <c r="I129" s="2" t="str">
        <f>IFERROR(__xludf.DUMMYFUNCTION("""COMPUTED_VALUE"""),"")</f>
        <v/>
      </c>
      <c r="J129" s="27" t="str">
        <f>IFERROR(__xludf.DUMMYFUNCTION("""COMPUTED_VALUE"""),"")</f>
        <v/>
      </c>
      <c r="K129" s="23" t="str">
        <f>IFERROR(__xludf.DUMMYFUNCTION("""COMPUTED_VALUE"""),"")</f>
        <v/>
      </c>
      <c r="L129" s="2"/>
      <c r="M129" s="27">
        <f>IFERROR(__xludf.DUMMYFUNCTION("""COMPUTED_VALUE"""),0.0)</f>
        <v>0</v>
      </c>
      <c r="N129" s="23" t="str">
        <f>IFERROR(__xludf.DUMMYFUNCTION("""COMPUTED_VALUE"""),"")</f>
        <v/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0" t="str">
        <f>IFERROR(__xludf.DUMMYFUNCTION("""COMPUTED_VALUE"""),"21129100A")</f>
        <v>21129100A</v>
      </c>
      <c r="B130" s="22" t="str">
        <f>IFERROR(__xludf.DUMMYFUNCTION("""COMPUTED_VALUE"""),"SSI MULTITURN COVER FOR DC25SE")</f>
        <v>SSI MULTITURN COVER FOR DC25SE</v>
      </c>
      <c r="C130" s="23">
        <f>IFERROR(__xludf.DUMMYFUNCTION("""COMPUTED_VALUE"""),0.80352)</f>
        <v>0.80352</v>
      </c>
      <c r="D130" s="23">
        <f>IFERROR(__xludf.DUMMYFUNCTION("""COMPUTED_VALUE"""),0.80352)</f>
        <v>0.80352</v>
      </c>
      <c r="E130" s="25">
        <f>IFERROR(__xludf.DUMMYFUNCTION("""COMPUTED_VALUE"""),1.0)</f>
        <v>1</v>
      </c>
      <c r="F130" s="2" t="str">
        <f>IFERROR(__xludf.DUMMYFUNCTION("""COMPUTED_VALUE"""),"")</f>
        <v/>
      </c>
      <c r="G130" s="27" t="str">
        <f>IFERROR(__xludf.DUMMYFUNCTION("""COMPUTED_VALUE"""),"")</f>
        <v/>
      </c>
      <c r="H130" s="23" t="str">
        <f>IFERROR(__xludf.DUMMYFUNCTION("""COMPUTED_VALUE"""),"")</f>
        <v/>
      </c>
      <c r="I130" s="2" t="str">
        <f>IFERROR(__xludf.DUMMYFUNCTION("""COMPUTED_VALUE"""),"")</f>
        <v/>
      </c>
      <c r="J130" s="27" t="str">
        <f>IFERROR(__xludf.DUMMYFUNCTION("""COMPUTED_VALUE"""),"")</f>
        <v/>
      </c>
      <c r="K130" s="23" t="str">
        <f>IFERROR(__xludf.DUMMYFUNCTION("""COMPUTED_VALUE"""),"")</f>
        <v/>
      </c>
      <c r="L130" s="2" t="str">
        <f>IFERROR(__xludf.DUMMYFUNCTION("""COMPUTED_VALUE"""),"Ф65 AL 2017 Italy")</f>
        <v>Ф65 AL 2017 Italy</v>
      </c>
      <c r="M130" s="27">
        <f>IFERROR(__xludf.DUMMYFUNCTION("""COMPUTED_VALUE"""),0.062)</f>
        <v>0.062</v>
      </c>
      <c r="N130" s="23">
        <f>IFERROR(__xludf.DUMMYFUNCTION("""COMPUTED_VALUE"""),0.80352)</f>
        <v>0.80352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2">
        <f>IFERROR(__xludf.DUMMYFUNCTION("""COMPUTED_VALUE"""),2.11292E8)</f>
        <v>211292000</v>
      </c>
      <c r="B131" s="22" t="str">
        <f>IFERROR(__xludf.DUMMYFUNCTION("""COMPUTED_VALUE"""),"SSI MULTITURN SPACER ")</f>
        <v>SSI MULTITURN SPACER </v>
      </c>
      <c r="C131" s="23">
        <f>IFERROR(__xludf.DUMMYFUNCTION("""COMPUTED_VALUE"""),0.0)</f>
        <v>0</v>
      </c>
      <c r="D131" s="2" t="str">
        <f>IFERROR(__xludf.DUMMYFUNCTION("""COMPUTED_VALUE"""),"")</f>
        <v/>
      </c>
      <c r="E131" s="25" t="str">
        <f>IFERROR(__xludf.DUMMYFUNCTION("""COMPUTED_VALUE"""),"")</f>
        <v/>
      </c>
      <c r="F131" s="2" t="str">
        <f>IFERROR(__xludf.DUMMYFUNCTION("""COMPUTED_VALUE"""),"")</f>
        <v/>
      </c>
      <c r="G131" s="27" t="str">
        <f>IFERROR(__xludf.DUMMYFUNCTION("""COMPUTED_VALUE"""),"")</f>
        <v/>
      </c>
      <c r="H131" s="23" t="str">
        <f>IFERROR(__xludf.DUMMYFUNCTION("""COMPUTED_VALUE"""),"")</f>
        <v/>
      </c>
      <c r="I131" s="2" t="str">
        <f>IFERROR(__xludf.DUMMYFUNCTION("""COMPUTED_VALUE"""),"")</f>
        <v/>
      </c>
      <c r="J131" s="27" t="str">
        <f>IFERROR(__xludf.DUMMYFUNCTION("""COMPUTED_VALUE"""),"")</f>
        <v/>
      </c>
      <c r="K131" s="23" t="str">
        <f>IFERROR(__xludf.DUMMYFUNCTION("""COMPUTED_VALUE"""),"")</f>
        <v/>
      </c>
      <c r="L131" s="2" t="str">
        <f>IFERROR(__xludf.DUMMYFUNCTION("""COMPUTED_VALUE"""),"")</f>
        <v/>
      </c>
      <c r="M131" s="27" t="str">
        <f>IFERROR(__xludf.DUMMYFUNCTION("""COMPUTED_VALUE"""),"")</f>
        <v/>
      </c>
      <c r="N131" s="23" t="str">
        <f>IFERROR(__xludf.DUMMYFUNCTION("""COMPUTED_VALUE"""),"")</f>
        <v/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0">
        <f>IFERROR(__xludf.DUMMYFUNCTION("""COMPUTED_VALUE"""),2.1129401E8)</f>
        <v>211294010</v>
      </c>
      <c r="B132" s="22" t="str">
        <f>IFERROR(__xludf.DUMMYFUNCTION("""COMPUTED_VALUE"""),"IP67 DC11 Rear Cover Length=24.4mm, Hole Dia=12mm")</f>
        <v>IP67 DC11 Rear Cover Length=24.4mm, Hole Dia=12mm</v>
      </c>
      <c r="C132" s="23">
        <f>IFERROR(__xludf.DUMMYFUNCTION("""COMPUTED_VALUE"""),1.1664)</f>
        <v>1.1664</v>
      </c>
      <c r="D132" s="23">
        <f>IFERROR(__xludf.DUMMYFUNCTION("""COMPUTED_VALUE"""),1.1664)</f>
        <v>1.1664</v>
      </c>
      <c r="E132" s="25">
        <f>IFERROR(__xludf.DUMMYFUNCTION("""COMPUTED_VALUE"""),1.0)</f>
        <v>1</v>
      </c>
      <c r="F132" s="2" t="str">
        <f>IFERROR(__xludf.DUMMYFUNCTION("""COMPUTED_VALUE"""),"")</f>
        <v/>
      </c>
      <c r="G132" s="27" t="str">
        <f>IFERROR(__xludf.DUMMYFUNCTION("""COMPUTED_VALUE"""),"")</f>
        <v/>
      </c>
      <c r="H132" s="23" t="str">
        <f>IFERROR(__xludf.DUMMYFUNCTION("""COMPUTED_VALUE"""),"")</f>
        <v/>
      </c>
      <c r="I132" s="2" t="str">
        <f>IFERROR(__xludf.DUMMYFUNCTION("""COMPUTED_VALUE"""),"")</f>
        <v/>
      </c>
      <c r="J132" s="27" t="str">
        <f>IFERROR(__xludf.DUMMYFUNCTION("""COMPUTED_VALUE"""),"")</f>
        <v/>
      </c>
      <c r="K132" s="23" t="str">
        <f>IFERROR(__xludf.DUMMYFUNCTION("""COMPUTED_VALUE"""),"")</f>
        <v/>
      </c>
      <c r="L132" s="2" t="str">
        <f>IFERROR(__xludf.DUMMYFUNCTION("""COMPUTED_VALUE"""),"Ф65 AL 2017 Italy")</f>
        <v>Ф65 AL 2017 Italy</v>
      </c>
      <c r="M132" s="27">
        <f>IFERROR(__xludf.DUMMYFUNCTION("""COMPUTED_VALUE"""),0.09)</f>
        <v>0.09</v>
      </c>
      <c r="N132" s="23">
        <f>IFERROR(__xludf.DUMMYFUNCTION("""COMPUTED_VALUE"""),1.1664)</f>
        <v>1.1664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0" t="str">
        <f>IFERROR(__xludf.DUMMYFUNCTION("""COMPUTED_VALUE"""),"21129405A")</f>
        <v>21129405A</v>
      </c>
      <c r="B133" s="22" t="str">
        <f>IFERROR(__xludf.DUMMYFUNCTION("""COMPUTED_VALUE"""),"IP67 Size11 Rear Cover L=12.0mm, Hole Dia=15.3mm")</f>
        <v>IP67 Size11 Rear Cover L=12.0mm, Hole Dia=15.3mm</v>
      </c>
      <c r="C133" s="23">
        <f>IFERROR(__xludf.DUMMYFUNCTION("""COMPUTED_VALUE"""),0.0)</f>
        <v>0</v>
      </c>
      <c r="D133" s="2" t="str">
        <f>IFERROR(__xludf.DUMMYFUNCTION("""COMPUTED_VALUE"""),"")</f>
        <v/>
      </c>
      <c r="E133" s="25" t="str">
        <f>IFERROR(__xludf.DUMMYFUNCTION("""COMPUTED_VALUE"""),"")</f>
        <v/>
      </c>
      <c r="F133" s="2" t="str">
        <f>IFERROR(__xludf.DUMMYFUNCTION("""COMPUTED_VALUE"""),"")</f>
        <v/>
      </c>
      <c r="G133" s="27" t="str">
        <f>IFERROR(__xludf.DUMMYFUNCTION("""COMPUTED_VALUE"""),"")</f>
        <v/>
      </c>
      <c r="H133" s="23" t="str">
        <f>IFERROR(__xludf.DUMMYFUNCTION("""COMPUTED_VALUE"""),"")</f>
        <v/>
      </c>
      <c r="I133" s="2" t="str">
        <f>IFERROR(__xludf.DUMMYFUNCTION("""COMPUTED_VALUE"""),"")</f>
        <v/>
      </c>
      <c r="J133" s="27" t="str">
        <f>IFERROR(__xludf.DUMMYFUNCTION("""COMPUTED_VALUE"""),"")</f>
        <v/>
      </c>
      <c r="K133" s="23" t="str">
        <f>IFERROR(__xludf.DUMMYFUNCTION("""COMPUTED_VALUE"""),"")</f>
        <v/>
      </c>
      <c r="L133" s="2" t="str">
        <f>IFERROR(__xludf.DUMMYFUNCTION("""COMPUTED_VALUE"""),"Ф28 S303")</f>
        <v>Ф28 S303</v>
      </c>
      <c r="M133" s="27">
        <f>IFERROR(__xludf.DUMMYFUNCTION("""COMPUTED_VALUE"""),0.0)</f>
        <v>0</v>
      </c>
      <c r="N133" s="23" t="str">
        <f>IFERROR(__xludf.DUMMYFUNCTION("""COMPUTED_VALUE"""),"")</f>
        <v/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2" t="str">
        <f>IFERROR(__xludf.DUMMYFUNCTION("""COMPUTED_VALUE"""),"21129601B")</f>
        <v>21129601B</v>
      </c>
      <c r="B134" s="22" t="str">
        <f>IFERROR(__xludf.DUMMYFUNCTION("""COMPUTED_VALUE"""),"ME15 1/4"" SHAFT For Magnetic Encoder")</f>
        <v>ME15 1/4" SHAFT For Magnetic Encoder</v>
      </c>
      <c r="C134" s="23">
        <f>IFERROR(__xludf.DUMMYFUNCTION("""COMPUTED_VALUE"""),0.0)</f>
        <v>0</v>
      </c>
      <c r="D134" s="2" t="str">
        <f>IFERROR(__xludf.DUMMYFUNCTION("""COMPUTED_VALUE"""),"")</f>
        <v/>
      </c>
      <c r="E134" s="25" t="str">
        <f>IFERROR(__xludf.DUMMYFUNCTION("""COMPUTED_VALUE"""),"")</f>
        <v/>
      </c>
      <c r="F134" s="2" t="str">
        <f>IFERROR(__xludf.DUMMYFUNCTION("""COMPUTED_VALUE"""),"")</f>
        <v/>
      </c>
      <c r="G134" s="27" t="str">
        <f>IFERROR(__xludf.DUMMYFUNCTION("""COMPUTED_VALUE"""),"")</f>
        <v/>
      </c>
      <c r="H134" s="23" t="str">
        <f>IFERROR(__xludf.DUMMYFUNCTION("""COMPUTED_VALUE"""),"")</f>
        <v/>
      </c>
      <c r="I134" s="2" t="str">
        <f>IFERROR(__xludf.DUMMYFUNCTION("""COMPUTED_VALUE"""),"")</f>
        <v/>
      </c>
      <c r="J134" s="27" t="str">
        <f>IFERROR(__xludf.DUMMYFUNCTION("""COMPUTED_VALUE"""),"")</f>
        <v/>
      </c>
      <c r="K134" s="23" t="str">
        <f>IFERROR(__xludf.DUMMYFUNCTION("""COMPUTED_VALUE"""),"")</f>
        <v/>
      </c>
      <c r="L134" s="2" t="str">
        <f>IFERROR(__xludf.DUMMYFUNCTION("""COMPUTED_VALUE"""),"")</f>
        <v/>
      </c>
      <c r="M134" s="27" t="str">
        <f>IFERROR(__xludf.DUMMYFUNCTION("""COMPUTED_VALUE"""),"")</f>
        <v/>
      </c>
      <c r="N134" s="23" t="str">
        <f>IFERROR(__xludf.DUMMYFUNCTION("""COMPUTED_VALUE"""),"")</f>
        <v/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2" t="str">
        <f>IFERROR(__xludf.DUMMYFUNCTION("""COMPUTED_VALUE"""),"21129601C")</f>
        <v>21129601C</v>
      </c>
      <c r="B135" s="22" t="str">
        <f>IFERROR(__xludf.DUMMYFUNCTION("""COMPUTED_VALUE"""),"ME15 1/4"" SHAFT For Magnetic Encoder")</f>
        <v>ME15 1/4" SHAFT For Magnetic Encoder</v>
      </c>
      <c r="C135" s="23">
        <f>IFERROR(__xludf.DUMMYFUNCTION("""COMPUTED_VALUE"""),0.0)</f>
        <v>0</v>
      </c>
      <c r="D135" s="2" t="str">
        <f>IFERROR(__xludf.DUMMYFUNCTION("""COMPUTED_VALUE"""),"")</f>
        <v/>
      </c>
      <c r="E135" s="25" t="str">
        <f>IFERROR(__xludf.DUMMYFUNCTION("""COMPUTED_VALUE"""),"")</f>
        <v/>
      </c>
      <c r="F135" s="2" t="str">
        <f>IFERROR(__xludf.DUMMYFUNCTION("""COMPUTED_VALUE"""),"")</f>
        <v/>
      </c>
      <c r="G135" s="27" t="str">
        <f>IFERROR(__xludf.DUMMYFUNCTION("""COMPUTED_VALUE"""),"")</f>
        <v/>
      </c>
      <c r="H135" s="23" t="str">
        <f>IFERROR(__xludf.DUMMYFUNCTION("""COMPUTED_VALUE"""),"")</f>
        <v/>
      </c>
      <c r="I135" s="2" t="str">
        <f>IFERROR(__xludf.DUMMYFUNCTION("""COMPUTED_VALUE"""),"")</f>
        <v/>
      </c>
      <c r="J135" s="27" t="str">
        <f>IFERROR(__xludf.DUMMYFUNCTION("""COMPUTED_VALUE"""),"")</f>
        <v/>
      </c>
      <c r="K135" s="23" t="str">
        <f>IFERROR(__xludf.DUMMYFUNCTION("""COMPUTED_VALUE"""),"")</f>
        <v/>
      </c>
      <c r="L135" s="2" t="str">
        <f>IFERROR(__xludf.DUMMYFUNCTION("""COMPUTED_VALUE"""),"")</f>
        <v/>
      </c>
      <c r="M135" s="27" t="str">
        <f>IFERROR(__xludf.DUMMYFUNCTION("""COMPUTED_VALUE"""),"")</f>
        <v/>
      </c>
      <c r="N135" s="23" t="str">
        <f>IFERROR(__xludf.DUMMYFUNCTION("""COMPUTED_VALUE"""),"")</f>
        <v/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2" t="str">
        <f>IFERROR(__xludf.DUMMYFUNCTION("""COMPUTED_VALUE"""),"21129602B")</f>
        <v>21129602B</v>
      </c>
      <c r="B136" s="22" t="str">
        <f>IFERROR(__xludf.DUMMYFUNCTION("""COMPUTED_VALUE"""),"ME15  6mm SHAFT For Magnetic Encoder")</f>
        <v>ME15  6mm SHAFT For Magnetic Encoder</v>
      </c>
      <c r="C136" s="23">
        <f>IFERROR(__xludf.DUMMYFUNCTION("""COMPUTED_VALUE"""),0.0)</f>
        <v>0</v>
      </c>
      <c r="D136" s="2" t="str">
        <f>IFERROR(__xludf.DUMMYFUNCTION("""COMPUTED_VALUE"""),"")</f>
        <v/>
      </c>
      <c r="E136" s="25" t="str">
        <f>IFERROR(__xludf.DUMMYFUNCTION("""COMPUTED_VALUE"""),"")</f>
        <v/>
      </c>
      <c r="F136" s="2" t="str">
        <f>IFERROR(__xludf.DUMMYFUNCTION("""COMPUTED_VALUE"""),"")</f>
        <v/>
      </c>
      <c r="G136" s="27" t="str">
        <f>IFERROR(__xludf.DUMMYFUNCTION("""COMPUTED_VALUE"""),"")</f>
        <v/>
      </c>
      <c r="H136" s="23" t="str">
        <f>IFERROR(__xludf.DUMMYFUNCTION("""COMPUTED_VALUE"""),"")</f>
        <v/>
      </c>
      <c r="I136" s="2" t="str">
        <f>IFERROR(__xludf.DUMMYFUNCTION("""COMPUTED_VALUE"""),"")</f>
        <v/>
      </c>
      <c r="J136" s="27" t="str">
        <f>IFERROR(__xludf.DUMMYFUNCTION("""COMPUTED_VALUE"""),"")</f>
        <v/>
      </c>
      <c r="K136" s="23" t="str">
        <f>IFERROR(__xludf.DUMMYFUNCTION("""COMPUTED_VALUE"""),"")</f>
        <v/>
      </c>
      <c r="L136" s="2" t="str">
        <f>IFERROR(__xludf.DUMMYFUNCTION("""COMPUTED_VALUE"""),"")</f>
        <v/>
      </c>
      <c r="M136" s="27" t="str">
        <f>IFERROR(__xludf.DUMMYFUNCTION("""COMPUTED_VALUE"""),"")</f>
        <v/>
      </c>
      <c r="N136" s="23" t="str">
        <f>IFERROR(__xludf.DUMMYFUNCTION("""COMPUTED_VALUE"""),"")</f>
        <v/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2" t="str">
        <f>IFERROR(__xludf.DUMMYFUNCTION("""COMPUTED_VALUE"""),"21129602C")</f>
        <v>21129602C</v>
      </c>
      <c r="B137" s="22" t="str">
        <f>IFERROR(__xludf.DUMMYFUNCTION("""COMPUTED_VALUE"""),"ME15  6mm SHAFT For Magnetic Encoder")</f>
        <v>ME15  6mm SHAFT For Magnetic Encoder</v>
      </c>
      <c r="C137" s="23">
        <f>IFERROR(__xludf.DUMMYFUNCTION("""COMPUTED_VALUE"""),0.0)</f>
        <v>0</v>
      </c>
      <c r="D137" s="2" t="str">
        <f>IFERROR(__xludf.DUMMYFUNCTION("""COMPUTED_VALUE"""),"")</f>
        <v/>
      </c>
      <c r="E137" s="25" t="str">
        <f>IFERROR(__xludf.DUMMYFUNCTION("""COMPUTED_VALUE"""),"")</f>
        <v/>
      </c>
      <c r="F137" s="2" t="str">
        <f>IFERROR(__xludf.DUMMYFUNCTION("""COMPUTED_VALUE"""),"")</f>
        <v/>
      </c>
      <c r="G137" s="27" t="str">
        <f>IFERROR(__xludf.DUMMYFUNCTION("""COMPUTED_VALUE"""),"")</f>
        <v/>
      </c>
      <c r="H137" s="23" t="str">
        <f>IFERROR(__xludf.DUMMYFUNCTION("""COMPUTED_VALUE"""),"")</f>
        <v/>
      </c>
      <c r="I137" s="2" t="str">
        <f>IFERROR(__xludf.DUMMYFUNCTION("""COMPUTED_VALUE"""),"")</f>
        <v/>
      </c>
      <c r="J137" s="27" t="str">
        <f>IFERROR(__xludf.DUMMYFUNCTION("""COMPUTED_VALUE"""),"")</f>
        <v/>
      </c>
      <c r="K137" s="23" t="str">
        <f>IFERROR(__xludf.DUMMYFUNCTION("""COMPUTED_VALUE"""),"")</f>
        <v/>
      </c>
      <c r="L137" s="2" t="str">
        <f>IFERROR(__xludf.DUMMYFUNCTION("""COMPUTED_VALUE"""),"")</f>
        <v/>
      </c>
      <c r="M137" s="27" t="str">
        <f>IFERROR(__xludf.DUMMYFUNCTION("""COMPUTED_VALUE"""),"")</f>
        <v/>
      </c>
      <c r="N137" s="23" t="str">
        <f>IFERROR(__xludf.DUMMYFUNCTION("""COMPUTED_VALUE"""),"")</f>
        <v/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0" t="str">
        <f>IFERROR(__xludf.DUMMYFUNCTION("""COMPUTED_VALUE"""),"21129700B")</f>
        <v>21129700B</v>
      </c>
      <c r="B138" s="22" t="str">
        <f>IFERROR(__xludf.DUMMYFUNCTION("""COMPUTED_VALUE"""),"ME15 REAR COVER CONNECTOR VERSION")</f>
        <v>ME15 REAR COVER CONNECTOR VERSION</v>
      </c>
      <c r="C138" s="23">
        <f>IFERROR(__xludf.DUMMYFUNCTION("""COMPUTED_VALUE"""),0.0)</f>
        <v>0</v>
      </c>
      <c r="D138" s="2" t="str">
        <f>IFERROR(__xludf.DUMMYFUNCTION("""COMPUTED_VALUE"""),"")</f>
        <v/>
      </c>
      <c r="E138" s="25" t="str">
        <f>IFERROR(__xludf.DUMMYFUNCTION("""COMPUTED_VALUE"""),"")</f>
        <v/>
      </c>
      <c r="F138" s="2" t="str">
        <f>IFERROR(__xludf.DUMMYFUNCTION("""COMPUTED_VALUE"""),"")</f>
        <v/>
      </c>
      <c r="G138" s="27" t="str">
        <f>IFERROR(__xludf.DUMMYFUNCTION("""COMPUTED_VALUE"""),"")</f>
        <v/>
      </c>
      <c r="H138" s="23" t="str">
        <f>IFERROR(__xludf.DUMMYFUNCTION("""COMPUTED_VALUE"""),"")</f>
        <v/>
      </c>
      <c r="I138" s="2" t="str">
        <f>IFERROR(__xludf.DUMMYFUNCTION("""COMPUTED_VALUE"""),"")</f>
        <v/>
      </c>
      <c r="J138" s="27" t="str">
        <f>IFERROR(__xludf.DUMMYFUNCTION("""COMPUTED_VALUE"""),"")</f>
        <v/>
      </c>
      <c r="K138" s="23" t="str">
        <f>IFERROR(__xludf.DUMMYFUNCTION("""COMPUTED_VALUE"""),"")</f>
        <v/>
      </c>
      <c r="L138" s="2" t="str">
        <f>IFERROR(__xludf.DUMMYFUNCTION("""COMPUTED_VALUE"""),"Ф28 S303")</f>
        <v>Ф28 S303</v>
      </c>
      <c r="M138" s="27">
        <f>IFERROR(__xludf.DUMMYFUNCTION("""COMPUTED_VALUE"""),0.0)</f>
        <v>0</v>
      </c>
      <c r="N138" s="23" t="str">
        <f>IFERROR(__xludf.DUMMYFUNCTION("""COMPUTED_VALUE"""),"")</f>
        <v/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0" t="str">
        <f>IFERROR(__xludf.DUMMYFUNCTION("""COMPUTED_VALUE"""),"21129800B")</f>
        <v>21129800B</v>
      </c>
      <c r="B139" s="22" t="str">
        <f>IFERROR(__xludf.DUMMYFUNCTION("""COMPUTED_VALUE"""),"ME15 REAR COVER CABLE VERSION")</f>
        <v>ME15 REAR COVER CABLE VERSION</v>
      </c>
      <c r="C139" s="23">
        <f>IFERROR(__xludf.DUMMYFUNCTION("""COMPUTED_VALUE"""),0.0)</f>
        <v>0</v>
      </c>
      <c r="D139" s="2" t="str">
        <f>IFERROR(__xludf.DUMMYFUNCTION("""COMPUTED_VALUE"""),"")</f>
        <v/>
      </c>
      <c r="E139" s="25" t="str">
        <f>IFERROR(__xludf.DUMMYFUNCTION("""COMPUTED_VALUE"""),"")</f>
        <v/>
      </c>
      <c r="F139" s="2" t="str">
        <f>IFERROR(__xludf.DUMMYFUNCTION("""COMPUTED_VALUE"""),"")</f>
        <v/>
      </c>
      <c r="G139" s="27" t="str">
        <f>IFERROR(__xludf.DUMMYFUNCTION("""COMPUTED_VALUE"""),"")</f>
        <v/>
      </c>
      <c r="H139" s="23" t="str">
        <f>IFERROR(__xludf.DUMMYFUNCTION("""COMPUTED_VALUE"""),"")</f>
        <v/>
      </c>
      <c r="I139" s="2" t="str">
        <f>IFERROR(__xludf.DUMMYFUNCTION("""COMPUTED_VALUE"""),"")</f>
        <v/>
      </c>
      <c r="J139" s="27" t="str">
        <f>IFERROR(__xludf.DUMMYFUNCTION("""COMPUTED_VALUE"""),"")</f>
        <v/>
      </c>
      <c r="K139" s="23" t="str">
        <f>IFERROR(__xludf.DUMMYFUNCTION("""COMPUTED_VALUE"""),"")</f>
        <v/>
      </c>
      <c r="L139" s="2" t="str">
        <f>IFERROR(__xludf.DUMMYFUNCTION("""COMPUTED_VALUE"""),"Ф40 AL2017")</f>
        <v>Ф40 AL2017</v>
      </c>
      <c r="M139" s="27">
        <f>IFERROR(__xludf.DUMMYFUNCTION("""COMPUTED_VALUE"""),0.0)</f>
        <v>0</v>
      </c>
      <c r="N139" s="23" t="str">
        <f>IFERROR(__xludf.DUMMYFUNCTION("""COMPUTED_VALUE"""),"")</f>
        <v/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0" t="str">
        <f>IFERROR(__xludf.DUMMYFUNCTION("""COMPUTED_VALUE"""),"21130002D")</f>
        <v>21130002D</v>
      </c>
      <c r="B140" s="22"/>
      <c r="C140" s="2"/>
      <c r="D140" s="2" t="str">
        <f>IFERROR(__xludf.DUMMYFUNCTION("""COMPUTED_VALUE"""),"")</f>
        <v/>
      </c>
      <c r="E140" s="25" t="str">
        <f>IFERROR(__xludf.DUMMYFUNCTION("""COMPUTED_VALUE"""),"")</f>
        <v/>
      </c>
      <c r="F140" s="2"/>
      <c r="G140" s="2" t="str">
        <f>IFERROR(__xludf.DUMMYFUNCTION("""COMPUTED_VALUE"""),"")</f>
        <v/>
      </c>
      <c r="H140" s="23"/>
      <c r="I140" s="2"/>
      <c r="J140" s="27"/>
      <c r="K140" s="23"/>
      <c r="L140" s="2"/>
      <c r="M140" s="27"/>
      <c r="N140" s="2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2" t="str">
        <f>IFERROR(__xludf.DUMMYFUNCTION("""COMPUTED_VALUE"""),"21130002C")</f>
        <v>21130002C</v>
      </c>
      <c r="B141" s="22" t="str">
        <f>IFERROR(__xludf.DUMMYFUNCTION("""COMPUTED_VALUE"""),"Aluminum Flange for DC25 Blind Hole Resolver")</f>
        <v>Aluminum Flange for DC25 Blind Hole Resolver</v>
      </c>
      <c r="C141" s="23">
        <f>IFERROR(__xludf.DUMMYFUNCTION("""COMPUTED_VALUE"""),0.0)</f>
        <v>0</v>
      </c>
      <c r="D141" s="2" t="str">
        <f>IFERROR(__xludf.DUMMYFUNCTION("""COMPUTED_VALUE"""),"")</f>
        <v/>
      </c>
      <c r="E141" s="25" t="str">
        <f>IFERROR(__xludf.DUMMYFUNCTION("""COMPUTED_VALUE"""),"")</f>
        <v/>
      </c>
      <c r="F141" s="2" t="str">
        <f>IFERROR(__xludf.DUMMYFUNCTION("""COMPUTED_VALUE"""),"")</f>
        <v/>
      </c>
      <c r="G141" s="27" t="str">
        <f>IFERROR(__xludf.DUMMYFUNCTION("""COMPUTED_VALUE"""),"")</f>
        <v/>
      </c>
      <c r="H141" s="23" t="str">
        <f>IFERROR(__xludf.DUMMYFUNCTION("""COMPUTED_VALUE"""),"")</f>
        <v/>
      </c>
      <c r="I141" s="2" t="str">
        <f>IFERROR(__xludf.DUMMYFUNCTION("""COMPUTED_VALUE"""),"")</f>
        <v/>
      </c>
      <c r="J141" s="27" t="str">
        <f>IFERROR(__xludf.DUMMYFUNCTION("""COMPUTED_VALUE"""),"")</f>
        <v/>
      </c>
      <c r="K141" s="23" t="str">
        <f>IFERROR(__xludf.DUMMYFUNCTION("""COMPUTED_VALUE"""),"")</f>
        <v/>
      </c>
      <c r="L141" s="2" t="str">
        <f>IFERROR(__xludf.DUMMYFUNCTION("""COMPUTED_VALUE"""),"")</f>
        <v/>
      </c>
      <c r="M141" s="27" t="str">
        <f>IFERROR(__xludf.DUMMYFUNCTION("""COMPUTED_VALUE"""),"")</f>
        <v/>
      </c>
      <c r="N141" s="23" t="str">
        <f>IFERROR(__xludf.DUMMYFUNCTION("""COMPUTED_VALUE"""),"")</f>
        <v/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0" t="str">
        <f>IFERROR(__xludf.DUMMYFUNCTION("""COMPUTED_VALUE"""),"21131600C")</f>
        <v>21131600C</v>
      </c>
      <c r="B142" s="22" t="str">
        <f>IFERROR(__xludf.DUMMYFUNCTION("""COMPUTED_VALUE"""),"SSI MULTITURN COVER FOR MS-18 CONN.")</f>
        <v>SSI MULTITURN COVER FOR MS-18 CONN.</v>
      </c>
      <c r="C142" s="23">
        <f>IFERROR(__xludf.DUMMYFUNCTION("""COMPUTED_VALUE"""),0.0)</f>
        <v>0</v>
      </c>
      <c r="D142" s="2" t="str">
        <f>IFERROR(__xludf.DUMMYFUNCTION("""COMPUTED_VALUE"""),"")</f>
        <v/>
      </c>
      <c r="E142" s="25" t="str">
        <f>IFERROR(__xludf.DUMMYFUNCTION("""COMPUTED_VALUE"""),"")</f>
        <v/>
      </c>
      <c r="F142" s="2" t="str">
        <f>IFERROR(__xludf.DUMMYFUNCTION("""COMPUTED_VALUE"""),"")</f>
        <v/>
      </c>
      <c r="G142" s="27" t="str">
        <f>IFERROR(__xludf.DUMMYFUNCTION("""COMPUTED_VALUE"""),"")</f>
        <v/>
      </c>
      <c r="H142" s="23" t="str">
        <f>IFERROR(__xludf.DUMMYFUNCTION("""COMPUTED_VALUE"""),"")</f>
        <v/>
      </c>
      <c r="I142" s="2" t="str">
        <f>IFERROR(__xludf.DUMMYFUNCTION("""COMPUTED_VALUE"""),"")</f>
        <v/>
      </c>
      <c r="J142" s="27" t="str">
        <f>IFERROR(__xludf.DUMMYFUNCTION("""COMPUTED_VALUE"""),"")</f>
        <v/>
      </c>
      <c r="K142" s="23" t="str">
        <f>IFERROR(__xludf.DUMMYFUNCTION("""COMPUTED_VALUE"""),"")</f>
        <v/>
      </c>
      <c r="L142" s="2" t="str">
        <f>IFERROR(__xludf.DUMMYFUNCTION("""COMPUTED_VALUE"""),"")</f>
        <v/>
      </c>
      <c r="M142" s="27" t="str">
        <f>IFERROR(__xludf.DUMMYFUNCTION("""COMPUTED_VALUE"""),"")</f>
        <v/>
      </c>
      <c r="N142" s="23" t="str">
        <f>IFERROR(__xludf.DUMMYFUNCTION("""COMPUTED_VALUE"""),"")</f>
        <v/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0">
        <f>IFERROR(__xludf.DUMMYFUNCTION("""COMPUTED_VALUE"""),2.1133E8)</f>
        <v>211330000</v>
      </c>
      <c r="B143" s="22"/>
      <c r="C143" s="23">
        <f>IFERROR(__xludf.DUMMYFUNCTION("""COMPUTED_VALUE"""),0.0)</f>
        <v>0</v>
      </c>
      <c r="D143" s="2" t="str">
        <f>IFERROR(__xludf.DUMMYFUNCTION("""COMPUTED_VALUE"""),"")</f>
        <v/>
      </c>
      <c r="E143" s="25" t="str">
        <f>IFERROR(__xludf.DUMMYFUNCTION("""COMPUTED_VALUE"""),"")</f>
        <v/>
      </c>
      <c r="F143" s="2" t="str">
        <f>IFERROR(__xludf.DUMMYFUNCTION("""COMPUTED_VALUE"""),"")</f>
        <v/>
      </c>
      <c r="G143" s="27" t="str">
        <f>IFERROR(__xludf.DUMMYFUNCTION("""COMPUTED_VALUE"""),"")</f>
        <v/>
      </c>
      <c r="H143" s="23" t="str">
        <f>IFERROR(__xludf.DUMMYFUNCTION("""COMPUTED_VALUE"""),"")</f>
        <v/>
      </c>
      <c r="I143" s="2" t="str">
        <f>IFERROR(__xludf.DUMMYFUNCTION("""COMPUTED_VALUE"""),"")</f>
        <v/>
      </c>
      <c r="J143" s="27" t="str">
        <f>IFERROR(__xludf.DUMMYFUNCTION("""COMPUTED_VALUE"""),"")</f>
        <v/>
      </c>
      <c r="K143" s="23" t="str">
        <f>IFERROR(__xludf.DUMMYFUNCTION("""COMPUTED_VALUE"""),"")</f>
        <v/>
      </c>
      <c r="L143" s="2" t="str">
        <f>IFERROR(__xludf.DUMMYFUNCTION("""COMPUTED_VALUE"""),"")</f>
        <v/>
      </c>
      <c r="M143" s="27" t="str">
        <f>IFERROR(__xludf.DUMMYFUNCTION("""COMPUTED_VALUE"""),"")</f>
        <v/>
      </c>
      <c r="N143" s="23" t="str">
        <f>IFERROR(__xludf.DUMMYFUNCTION("""COMPUTED_VALUE"""),"")</f>
        <v/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0" t="str">
        <f>IFERROR(__xludf.DUMMYFUNCTION("""COMPUTED_VALUE"""),"21132800A")</f>
        <v>21132800A</v>
      </c>
      <c r="B144" s="22" t="str">
        <f>IFERROR(__xludf.DUMMYFUNCTION("""COMPUTED_VALUE"""),"DC25 SSI MULTITURN COVER WITH RESET BUTTON")</f>
        <v>DC25 SSI MULTITURN COVER WITH RESET BUTTON</v>
      </c>
      <c r="C144" s="23">
        <f>IFERROR(__xludf.DUMMYFUNCTION("""COMPUTED_VALUE"""),0.0)</f>
        <v>0</v>
      </c>
      <c r="D144" s="2" t="str">
        <f>IFERROR(__xludf.DUMMYFUNCTION("""COMPUTED_VALUE"""),"")</f>
        <v/>
      </c>
      <c r="E144" s="25" t="str">
        <f>IFERROR(__xludf.DUMMYFUNCTION("""COMPUTED_VALUE"""),"")</f>
        <v/>
      </c>
      <c r="F144" s="2" t="str">
        <f>IFERROR(__xludf.DUMMYFUNCTION("""COMPUTED_VALUE"""),"")</f>
        <v/>
      </c>
      <c r="G144" s="27" t="str">
        <f>IFERROR(__xludf.DUMMYFUNCTION("""COMPUTED_VALUE"""),"")</f>
        <v/>
      </c>
      <c r="H144" s="23" t="str">
        <f>IFERROR(__xludf.DUMMYFUNCTION("""COMPUTED_VALUE"""),"")</f>
        <v/>
      </c>
      <c r="I144" s="2" t="str">
        <f>IFERROR(__xludf.DUMMYFUNCTION("""COMPUTED_VALUE"""),"")</f>
        <v/>
      </c>
      <c r="J144" s="27" t="str">
        <f>IFERROR(__xludf.DUMMYFUNCTION("""COMPUTED_VALUE"""),"")</f>
        <v/>
      </c>
      <c r="K144" s="23" t="str">
        <f>IFERROR(__xludf.DUMMYFUNCTION("""COMPUTED_VALUE"""),"")</f>
        <v/>
      </c>
      <c r="L144" s="2" t="str">
        <f>IFERROR(__xludf.DUMMYFUNCTION("""COMPUTED_VALUE"""),"Ф40 AL2017")</f>
        <v>Ф40 AL2017</v>
      </c>
      <c r="M144" s="27">
        <f>IFERROR(__xludf.DUMMYFUNCTION("""COMPUTED_VALUE"""),0.0)</f>
        <v>0</v>
      </c>
      <c r="N144" s="23" t="str">
        <f>IFERROR(__xludf.DUMMYFUNCTION("""COMPUTED_VALUE"""),"")</f>
        <v/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0" t="str">
        <f>IFERROR(__xludf.DUMMYFUNCTION("""COMPUTED_VALUE"""),"21132800B")</f>
        <v>21132800B</v>
      </c>
      <c r="B145" s="22" t="str">
        <f>IFERROR(__xludf.DUMMYFUNCTION("""COMPUTED_VALUE"""),"DC25 SSI MULTITURN COVER WITH RESET BUTTON")</f>
        <v>DC25 SSI MULTITURN COVER WITH RESET BUTTON</v>
      </c>
      <c r="C145" s="23">
        <f>IFERROR(__xludf.DUMMYFUNCTION("""COMPUTED_VALUE"""),1.12752)</f>
        <v>1.12752</v>
      </c>
      <c r="D145" s="23">
        <f>IFERROR(__xludf.DUMMYFUNCTION("""COMPUTED_VALUE"""),1.12752)</f>
        <v>1.12752</v>
      </c>
      <c r="E145" s="25">
        <f>IFERROR(__xludf.DUMMYFUNCTION("""COMPUTED_VALUE"""),1.0)</f>
        <v>1</v>
      </c>
      <c r="F145" s="2" t="str">
        <f>IFERROR(__xludf.DUMMYFUNCTION("""COMPUTED_VALUE"""),"")</f>
        <v/>
      </c>
      <c r="G145" s="27" t="str">
        <f>IFERROR(__xludf.DUMMYFUNCTION("""COMPUTED_VALUE"""),"")</f>
        <v/>
      </c>
      <c r="H145" s="23" t="str">
        <f>IFERROR(__xludf.DUMMYFUNCTION("""COMPUTED_VALUE"""),"")</f>
        <v/>
      </c>
      <c r="I145" s="2" t="str">
        <f>IFERROR(__xludf.DUMMYFUNCTION("""COMPUTED_VALUE"""),"")</f>
        <v/>
      </c>
      <c r="J145" s="27" t="str">
        <f>IFERROR(__xludf.DUMMYFUNCTION("""COMPUTED_VALUE"""),"")</f>
        <v/>
      </c>
      <c r="K145" s="23" t="str">
        <f>IFERROR(__xludf.DUMMYFUNCTION("""COMPUTED_VALUE"""),"")</f>
        <v/>
      </c>
      <c r="L145" s="2" t="str">
        <f>IFERROR(__xludf.DUMMYFUNCTION("""COMPUTED_VALUE"""),"Ф65 AL 2017 Italy")</f>
        <v>Ф65 AL 2017 Italy</v>
      </c>
      <c r="M145" s="27">
        <f>IFERROR(__xludf.DUMMYFUNCTION("""COMPUTED_VALUE"""),0.087)</f>
        <v>0.087</v>
      </c>
      <c r="N145" s="23">
        <f>IFERROR(__xludf.DUMMYFUNCTION("""COMPUTED_VALUE"""),1.12752)</f>
        <v>1.12752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0">
        <f>IFERROR(__xludf.DUMMYFUNCTION("""COMPUTED_VALUE"""),2.11383E8)</f>
        <v>211383000</v>
      </c>
      <c r="B146" s="22"/>
      <c r="C146" s="23">
        <f>IFERROR(__xludf.DUMMYFUNCTION("""COMPUTED_VALUE"""),1.12752)</f>
        <v>1.12752</v>
      </c>
      <c r="D146" s="23">
        <f>IFERROR(__xludf.DUMMYFUNCTION("""COMPUTED_VALUE"""),1.12752)</f>
        <v>1.12752</v>
      </c>
      <c r="E146" s="25">
        <f>IFERROR(__xludf.DUMMYFUNCTION("""COMPUTED_VALUE"""),1.0)</f>
        <v>1</v>
      </c>
      <c r="F146" s="2" t="str">
        <f>IFERROR(__xludf.DUMMYFUNCTION("""COMPUTED_VALUE"""),"")</f>
        <v/>
      </c>
      <c r="G146" s="27" t="str">
        <f>IFERROR(__xludf.DUMMYFUNCTION("""COMPUTED_VALUE"""),"")</f>
        <v/>
      </c>
      <c r="H146" s="23" t="str">
        <f>IFERROR(__xludf.DUMMYFUNCTION("""COMPUTED_VALUE"""),"")</f>
        <v/>
      </c>
      <c r="I146" s="2" t="str">
        <f>IFERROR(__xludf.DUMMYFUNCTION("""COMPUTED_VALUE"""),"")</f>
        <v/>
      </c>
      <c r="J146" s="27" t="str">
        <f>IFERROR(__xludf.DUMMYFUNCTION("""COMPUTED_VALUE"""),"")</f>
        <v/>
      </c>
      <c r="K146" s="23" t="str">
        <f>IFERROR(__xludf.DUMMYFUNCTION("""COMPUTED_VALUE"""),"")</f>
        <v/>
      </c>
      <c r="L146" s="2" t="str">
        <f>IFERROR(__xludf.DUMMYFUNCTION("""COMPUTED_VALUE"""),"Ф65 AL 2017 Italy")</f>
        <v>Ф65 AL 2017 Italy</v>
      </c>
      <c r="M146" s="27">
        <f>IFERROR(__xludf.DUMMYFUNCTION("""COMPUTED_VALUE"""),0.087)</f>
        <v>0.087</v>
      </c>
      <c r="N146" s="23">
        <f>IFERROR(__xludf.DUMMYFUNCTION("""COMPUTED_VALUE"""),1.12752)</f>
        <v>1.12752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0">
        <f>IFERROR(__xludf.DUMMYFUNCTION("""COMPUTED_VALUE"""),2.114E8)</f>
        <v>211400000</v>
      </c>
      <c r="B147" s="22"/>
      <c r="C147" s="23">
        <f>IFERROR(__xludf.DUMMYFUNCTION("""COMPUTED_VALUE"""),0.95904)</f>
        <v>0.95904</v>
      </c>
      <c r="D147" s="23">
        <f>IFERROR(__xludf.DUMMYFUNCTION("""COMPUTED_VALUE"""),0.95904)</f>
        <v>0.95904</v>
      </c>
      <c r="E147" s="25">
        <f>IFERROR(__xludf.DUMMYFUNCTION("""COMPUTED_VALUE"""),1.0)</f>
        <v>1</v>
      </c>
      <c r="F147" s="2" t="str">
        <f>IFERROR(__xludf.DUMMYFUNCTION("""COMPUTED_VALUE"""),"")</f>
        <v/>
      </c>
      <c r="G147" s="27" t="str">
        <f>IFERROR(__xludf.DUMMYFUNCTION("""COMPUTED_VALUE"""),"")</f>
        <v/>
      </c>
      <c r="H147" s="23" t="str">
        <f>IFERROR(__xludf.DUMMYFUNCTION("""COMPUTED_VALUE"""),"")</f>
        <v/>
      </c>
      <c r="I147" s="2" t="str">
        <f>IFERROR(__xludf.DUMMYFUNCTION("""COMPUTED_VALUE"""),"")</f>
        <v/>
      </c>
      <c r="J147" s="27" t="str">
        <f>IFERROR(__xludf.DUMMYFUNCTION("""COMPUTED_VALUE"""),"")</f>
        <v/>
      </c>
      <c r="K147" s="23" t="str">
        <f>IFERROR(__xludf.DUMMYFUNCTION("""COMPUTED_VALUE"""),"")</f>
        <v/>
      </c>
      <c r="L147" s="2" t="str">
        <f>IFERROR(__xludf.DUMMYFUNCTION("""COMPUTED_VALUE"""),"Ф65 AL 2017 Italy")</f>
        <v>Ф65 AL 2017 Italy</v>
      </c>
      <c r="M147" s="27">
        <f>IFERROR(__xludf.DUMMYFUNCTION("""COMPUTED_VALUE"""),0.074)</f>
        <v>0.074</v>
      </c>
      <c r="N147" s="23">
        <f>IFERROR(__xludf.DUMMYFUNCTION("""COMPUTED_VALUE"""),0.95904)</f>
        <v>0.95904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0">
        <f>IFERROR(__xludf.DUMMYFUNCTION("""COMPUTED_VALUE"""),2.1133001E8)</f>
        <v>211330010</v>
      </c>
      <c r="B148" s="22" t="str">
        <f>IFERROR(__xludf.DUMMYFUNCTION("""COMPUTED_VALUE"""),"5/8"" HTE Rotor Assembly 1-speed")</f>
        <v>5/8" HTE Rotor Assembly 1-speed</v>
      </c>
      <c r="C148" s="23">
        <f>IFERROR(__xludf.DUMMYFUNCTION("""COMPUTED_VALUE"""),0.0)</f>
        <v>0</v>
      </c>
      <c r="D148" s="2" t="str">
        <f>IFERROR(__xludf.DUMMYFUNCTION("""COMPUTED_VALUE"""),"")</f>
        <v/>
      </c>
      <c r="E148" s="25" t="str">
        <f>IFERROR(__xludf.DUMMYFUNCTION("""COMPUTED_VALUE"""),"")</f>
        <v/>
      </c>
      <c r="F148" s="2" t="str">
        <f>IFERROR(__xludf.DUMMYFUNCTION("""COMPUTED_VALUE"""),"")</f>
        <v/>
      </c>
      <c r="G148" s="27" t="str">
        <f>IFERROR(__xludf.DUMMYFUNCTION("""COMPUTED_VALUE"""),"")</f>
        <v/>
      </c>
      <c r="H148" s="23" t="str">
        <f>IFERROR(__xludf.DUMMYFUNCTION("""COMPUTED_VALUE"""),"")</f>
        <v/>
      </c>
      <c r="I148" s="2" t="str">
        <f>IFERROR(__xludf.DUMMYFUNCTION("""COMPUTED_VALUE"""),"")</f>
        <v/>
      </c>
      <c r="J148" s="27" t="str">
        <f>IFERROR(__xludf.DUMMYFUNCTION("""COMPUTED_VALUE"""),"")</f>
        <v/>
      </c>
      <c r="K148" s="23" t="str">
        <f>IFERROR(__xludf.DUMMYFUNCTION("""COMPUTED_VALUE"""),"")</f>
        <v/>
      </c>
      <c r="L148" s="2" t="str">
        <f>IFERROR(__xludf.DUMMYFUNCTION("""COMPUTED_VALUE"""),"")</f>
        <v/>
      </c>
      <c r="M148" s="27" t="str">
        <f>IFERROR(__xludf.DUMMYFUNCTION("""COMPUTED_VALUE"""),"")</f>
        <v/>
      </c>
      <c r="N148" s="23" t="str">
        <f>IFERROR(__xludf.DUMMYFUNCTION("""COMPUTED_VALUE"""),"")</f>
        <v/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2" t="str">
        <f>IFERROR(__xludf.DUMMYFUNCTION("""COMPUTED_VALUE"""),"21133001A")</f>
        <v>21133001A</v>
      </c>
      <c r="B149" s="22" t="str">
        <f>IFERROR(__xludf.DUMMYFUNCTION("""COMPUTED_VALUE"""),"5/8"" HTE Rotor Assembly 1-speed")</f>
        <v>5/8" HTE Rotor Assembly 1-speed</v>
      </c>
      <c r="C149" s="23">
        <f>IFERROR(__xludf.DUMMYFUNCTION("""COMPUTED_VALUE"""),0.0)</f>
        <v>0</v>
      </c>
      <c r="D149" s="2" t="str">
        <f>IFERROR(__xludf.DUMMYFUNCTION("""COMPUTED_VALUE"""),"")</f>
        <v/>
      </c>
      <c r="E149" s="25" t="str">
        <f>IFERROR(__xludf.DUMMYFUNCTION("""COMPUTED_VALUE"""),"")</f>
        <v/>
      </c>
      <c r="F149" s="2" t="str">
        <f>IFERROR(__xludf.DUMMYFUNCTION("""COMPUTED_VALUE"""),"")</f>
        <v/>
      </c>
      <c r="G149" s="27" t="str">
        <f>IFERROR(__xludf.DUMMYFUNCTION("""COMPUTED_VALUE"""),"")</f>
        <v/>
      </c>
      <c r="H149" s="23" t="str">
        <f>IFERROR(__xludf.DUMMYFUNCTION("""COMPUTED_VALUE"""),"")</f>
        <v/>
      </c>
      <c r="I149" s="2" t="str">
        <f>IFERROR(__xludf.DUMMYFUNCTION("""COMPUTED_VALUE"""),"")</f>
        <v/>
      </c>
      <c r="J149" s="27" t="str">
        <f>IFERROR(__xludf.DUMMYFUNCTION("""COMPUTED_VALUE"""),"")</f>
        <v/>
      </c>
      <c r="K149" s="23" t="str">
        <f>IFERROR(__xludf.DUMMYFUNCTION("""COMPUTED_VALUE"""),"")</f>
        <v/>
      </c>
      <c r="L149" s="2" t="str">
        <f>IFERROR(__xludf.DUMMYFUNCTION("""COMPUTED_VALUE"""),"")</f>
        <v/>
      </c>
      <c r="M149" s="27" t="str">
        <f>IFERROR(__xludf.DUMMYFUNCTION("""COMPUTED_VALUE"""),"")</f>
        <v/>
      </c>
      <c r="N149" s="23" t="str">
        <f>IFERROR(__xludf.DUMMYFUNCTION("""COMPUTED_VALUE"""),"")</f>
        <v/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0">
        <f>IFERROR(__xludf.DUMMYFUNCTION("""COMPUTED_VALUE"""),2.1133002E8)</f>
        <v>211330020</v>
      </c>
      <c r="B150" s="22" t="str">
        <f>IFERROR(__xludf.DUMMYFUNCTION("""COMPUTED_VALUE"""),"5/8"" HTE Rotor Assembly 4-speed")</f>
        <v>5/8" HTE Rotor Assembly 4-speed</v>
      </c>
      <c r="C150" s="23">
        <f>IFERROR(__xludf.DUMMYFUNCTION("""COMPUTED_VALUE"""),0.0)</f>
        <v>0</v>
      </c>
      <c r="D150" s="2" t="str">
        <f>IFERROR(__xludf.DUMMYFUNCTION("""COMPUTED_VALUE"""),"")</f>
        <v/>
      </c>
      <c r="E150" s="25" t="str">
        <f>IFERROR(__xludf.DUMMYFUNCTION("""COMPUTED_VALUE"""),"")</f>
        <v/>
      </c>
      <c r="F150" s="2" t="str">
        <f>IFERROR(__xludf.DUMMYFUNCTION("""COMPUTED_VALUE"""),"")</f>
        <v/>
      </c>
      <c r="G150" s="27" t="str">
        <f>IFERROR(__xludf.DUMMYFUNCTION("""COMPUTED_VALUE"""),"")</f>
        <v/>
      </c>
      <c r="H150" s="23" t="str">
        <f>IFERROR(__xludf.DUMMYFUNCTION("""COMPUTED_VALUE"""),"")</f>
        <v/>
      </c>
      <c r="I150" s="2" t="str">
        <f>IFERROR(__xludf.DUMMYFUNCTION("""COMPUTED_VALUE"""),"")</f>
        <v/>
      </c>
      <c r="J150" s="27" t="str">
        <f>IFERROR(__xludf.DUMMYFUNCTION("""COMPUTED_VALUE"""),"")</f>
        <v/>
      </c>
      <c r="K150" s="23" t="str">
        <f>IFERROR(__xludf.DUMMYFUNCTION("""COMPUTED_VALUE"""),"")</f>
        <v/>
      </c>
      <c r="L150" s="2" t="str">
        <f>IFERROR(__xludf.DUMMYFUNCTION("""COMPUTED_VALUE"""),"")</f>
        <v/>
      </c>
      <c r="M150" s="27" t="str">
        <f>IFERROR(__xludf.DUMMYFUNCTION("""COMPUTED_VALUE"""),"")</f>
        <v/>
      </c>
      <c r="N150" s="23" t="str">
        <f>IFERROR(__xludf.DUMMYFUNCTION("""COMPUTED_VALUE"""),"")</f>
        <v/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2" t="str">
        <f>IFERROR(__xludf.DUMMYFUNCTION("""COMPUTED_VALUE"""),"21133002A")</f>
        <v>21133002A</v>
      </c>
      <c r="B151" s="22" t="str">
        <f>IFERROR(__xludf.DUMMYFUNCTION("""COMPUTED_VALUE"""),"5/8"" HTE Rotor Assembly 4-speed")</f>
        <v>5/8" HTE Rotor Assembly 4-speed</v>
      </c>
      <c r="C151" s="23">
        <f>IFERROR(__xludf.DUMMYFUNCTION("""COMPUTED_VALUE"""),0.0)</f>
        <v>0</v>
      </c>
      <c r="D151" s="2" t="str">
        <f>IFERROR(__xludf.DUMMYFUNCTION("""COMPUTED_VALUE"""),"")</f>
        <v/>
      </c>
      <c r="E151" s="25" t="str">
        <f>IFERROR(__xludf.DUMMYFUNCTION("""COMPUTED_VALUE"""),"")</f>
        <v/>
      </c>
      <c r="F151" s="2" t="str">
        <f>IFERROR(__xludf.DUMMYFUNCTION("""COMPUTED_VALUE"""),"")</f>
        <v/>
      </c>
      <c r="G151" s="27" t="str">
        <f>IFERROR(__xludf.DUMMYFUNCTION("""COMPUTED_VALUE"""),"")</f>
        <v/>
      </c>
      <c r="H151" s="23" t="str">
        <f>IFERROR(__xludf.DUMMYFUNCTION("""COMPUTED_VALUE"""),"")</f>
        <v/>
      </c>
      <c r="I151" s="2" t="str">
        <f>IFERROR(__xludf.DUMMYFUNCTION("""COMPUTED_VALUE"""),"")</f>
        <v/>
      </c>
      <c r="J151" s="27" t="str">
        <f>IFERROR(__xludf.DUMMYFUNCTION("""COMPUTED_VALUE"""),"")</f>
        <v/>
      </c>
      <c r="K151" s="23" t="str">
        <f>IFERROR(__xludf.DUMMYFUNCTION("""COMPUTED_VALUE"""),"")</f>
        <v/>
      </c>
      <c r="L151" s="2" t="str">
        <f>IFERROR(__xludf.DUMMYFUNCTION("""COMPUTED_VALUE"""),"")</f>
        <v/>
      </c>
      <c r="M151" s="27" t="str">
        <f>IFERROR(__xludf.DUMMYFUNCTION("""COMPUTED_VALUE"""),"")</f>
        <v/>
      </c>
      <c r="N151" s="23" t="str">
        <f>IFERROR(__xludf.DUMMYFUNCTION("""COMPUTED_VALUE"""),"")</f>
        <v/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2">
        <f>IFERROR(__xludf.DUMMYFUNCTION("""COMPUTED_VALUE"""),2.11334E8)</f>
        <v>211334000</v>
      </c>
      <c r="B152" s="22" t="str">
        <f>IFERROR(__xludf.DUMMYFUNCTION("""COMPUTED_VALUE"""),"1/2"" Blind Hole Rotor size25 Made in Bulgaria, SS-316")</f>
        <v>1/2" Blind Hole Rotor size25 Made in Bulgaria, SS-316</v>
      </c>
      <c r="C152" s="23">
        <f>IFERROR(__xludf.DUMMYFUNCTION("""COMPUTED_VALUE"""),0.0)</f>
        <v>0</v>
      </c>
      <c r="D152" s="2" t="str">
        <f>IFERROR(__xludf.DUMMYFUNCTION("""COMPUTED_VALUE"""),"")</f>
        <v/>
      </c>
      <c r="E152" s="25" t="str">
        <f>IFERROR(__xludf.DUMMYFUNCTION("""COMPUTED_VALUE"""),"")</f>
        <v/>
      </c>
      <c r="F152" s="2" t="str">
        <f>IFERROR(__xludf.DUMMYFUNCTION("""COMPUTED_VALUE"""),"")</f>
        <v/>
      </c>
      <c r="G152" s="27" t="str">
        <f>IFERROR(__xludf.DUMMYFUNCTION("""COMPUTED_VALUE"""),"")</f>
        <v/>
      </c>
      <c r="H152" s="23" t="str">
        <f>IFERROR(__xludf.DUMMYFUNCTION("""COMPUTED_VALUE"""),"")</f>
        <v/>
      </c>
      <c r="I152" s="2" t="str">
        <f>IFERROR(__xludf.DUMMYFUNCTION("""COMPUTED_VALUE"""),"")</f>
        <v/>
      </c>
      <c r="J152" s="27" t="str">
        <f>IFERROR(__xludf.DUMMYFUNCTION("""COMPUTED_VALUE"""),"")</f>
        <v/>
      </c>
      <c r="K152" s="23" t="str">
        <f>IFERROR(__xludf.DUMMYFUNCTION("""COMPUTED_VALUE"""),"")</f>
        <v/>
      </c>
      <c r="L152" s="2" t="str">
        <f>IFERROR(__xludf.DUMMYFUNCTION("""COMPUTED_VALUE"""),"")</f>
        <v/>
      </c>
      <c r="M152" s="27" t="str">
        <f>IFERROR(__xludf.DUMMYFUNCTION("""COMPUTED_VALUE"""),"")</f>
        <v/>
      </c>
      <c r="N152" s="23" t="str">
        <f>IFERROR(__xludf.DUMMYFUNCTION("""COMPUTED_VALUE"""),"")</f>
        <v/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2">
        <f>IFERROR(__xludf.DUMMYFUNCTION("""COMPUTED_VALUE"""),2.1133402E8)</f>
        <v>211334020</v>
      </c>
      <c r="B153" s="22" t="str">
        <f>IFERROR(__xludf.DUMMYFUNCTION("""COMPUTED_VALUE"""),"12mm Blind Hole Rotor Assy SS-316     Made in BG")</f>
        <v>12mm Blind Hole Rotor Assy SS-316     Made in BG</v>
      </c>
      <c r="C153" s="23">
        <f>IFERROR(__xludf.DUMMYFUNCTION("""COMPUTED_VALUE"""),0.0)</f>
        <v>0</v>
      </c>
      <c r="D153" s="2" t="str">
        <f>IFERROR(__xludf.DUMMYFUNCTION("""COMPUTED_VALUE"""),"")</f>
        <v/>
      </c>
      <c r="E153" s="25" t="str">
        <f>IFERROR(__xludf.DUMMYFUNCTION("""COMPUTED_VALUE"""),"")</f>
        <v/>
      </c>
      <c r="F153" s="2" t="str">
        <f>IFERROR(__xludf.DUMMYFUNCTION("""COMPUTED_VALUE"""),"")</f>
        <v/>
      </c>
      <c r="G153" s="27" t="str">
        <f>IFERROR(__xludf.DUMMYFUNCTION("""COMPUTED_VALUE"""),"")</f>
        <v/>
      </c>
      <c r="H153" s="23" t="str">
        <f>IFERROR(__xludf.DUMMYFUNCTION("""COMPUTED_VALUE"""),"")</f>
        <v/>
      </c>
      <c r="I153" s="2" t="str">
        <f>IFERROR(__xludf.DUMMYFUNCTION("""COMPUTED_VALUE"""),"")</f>
        <v/>
      </c>
      <c r="J153" s="27" t="str">
        <f>IFERROR(__xludf.DUMMYFUNCTION("""COMPUTED_VALUE"""),"")</f>
        <v/>
      </c>
      <c r="K153" s="23" t="str">
        <f>IFERROR(__xludf.DUMMYFUNCTION("""COMPUTED_VALUE"""),"")</f>
        <v/>
      </c>
      <c r="L153" s="2" t="str">
        <f>IFERROR(__xludf.DUMMYFUNCTION("""COMPUTED_VALUE"""),"")</f>
        <v/>
      </c>
      <c r="M153" s="27" t="str">
        <f>IFERROR(__xludf.DUMMYFUNCTION("""COMPUTED_VALUE"""),"")</f>
        <v/>
      </c>
      <c r="N153" s="23" t="str">
        <f>IFERROR(__xludf.DUMMYFUNCTION("""COMPUTED_VALUE"""),"")</f>
        <v/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2">
        <f>IFERROR(__xludf.DUMMYFUNCTION("""COMPUTED_VALUE"""),2.11335E8)</f>
        <v>211335000</v>
      </c>
      <c r="B154" s="22" t="str">
        <f>IFERROR(__xludf.DUMMYFUNCTION("""COMPUTED_VALUE"""),"1/2"" Blind Rotor Multiturn Made in Bulgaria, SS-316")</f>
        <v>1/2" Blind Rotor Multiturn Made in Bulgaria, SS-316</v>
      </c>
      <c r="C154" s="23">
        <f>IFERROR(__xludf.DUMMYFUNCTION("""COMPUTED_VALUE"""),0.0)</f>
        <v>0</v>
      </c>
      <c r="D154" s="2" t="str">
        <f>IFERROR(__xludf.DUMMYFUNCTION("""COMPUTED_VALUE"""),"")</f>
        <v/>
      </c>
      <c r="E154" s="25" t="str">
        <f>IFERROR(__xludf.DUMMYFUNCTION("""COMPUTED_VALUE"""),"")</f>
        <v/>
      </c>
      <c r="F154" s="2" t="str">
        <f>IFERROR(__xludf.DUMMYFUNCTION("""COMPUTED_VALUE"""),"")</f>
        <v/>
      </c>
      <c r="G154" s="27" t="str">
        <f>IFERROR(__xludf.DUMMYFUNCTION("""COMPUTED_VALUE"""),"")</f>
        <v/>
      </c>
      <c r="H154" s="23" t="str">
        <f>IFERROR(__xludf.DUMMYFUNCTION("""COMPUTED_VALUE"""),"")</f>
        <v/>
      </c>
      <c r="I154" s="2" t="str">
        <f>IFERROR(__xludf.DUMMYFUNCTION("""COMPUTED_VALUE"""),"")</f>
        <v/>
      </c>
      <c r="J154" s="27" t="str">
        <f>IFERROR(__xludf.DUMMYFUNCTION("""COMPUTED_VALUE"""),"")</f>
        <v/>
      </c>
      <c r="K154" s="23" t="str">
        <f>IFERROR(__xludf.DUMMYFUNCTION("""COMPUTED_VALUE"""),"")</f>
        <v/>
      </c>
      <c r="L154" s="2" t="str">
        <f>IFERROR(__xludf.DUMMYFUNCTION("""COMPUTED_VALUE"""),"")</f>
        <v/>
      </c>
      <c r="M154" s="27" t="str">
        <f>IFERROR(__xludf.DUMMYFUNCTION("""COMPUTED_VALUE"""),"")</f>
        <v/>
      </c>
      <c r="N154" s="23" t="str">
        <f>IFERROR(__xludf.DUMMYFUNCTION("""COMPUTED_VALUE"""),"")</f>
        <v/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0" t="str">
        <f>IFERROR(__xludf.DUMMYFUNCTION("""COMPUTED_VALUE"""),"21134201C")</f>
        <v>21134201C</v>
      </c>
      <c r="B155" s="22" t="str">
        <f>IFERROR(__xludf.DUMMYFUNCTION("""COMPUTED_VALUE"""),"NR25 Side conn. rear cover Must be sent for silkscreen")</f>
        <v>NR25 Side conn. rear cover Must be sent for silkscreen</v>
      </c>
      <c r="C155" s="23">
        <f>IFERROR(__xludf.DUMMYFUNCTION("""COMPUTED_VALUE"""),0.53136)</f>
        <v>0.53136</v>
      </c>
      <c r="D155" s="23">
        <f>IFERROR(__xludf.DUMMYFUNCTION("""COMPUTED_VALUE"""),0.53136)</f>
        <v>0.53136</v>
      </c>
      <c r="E155" s="25">
        <f>IFERROR(__xludf.DUMMYFUNCTION("""COMPUTED_VALUE"""),1.0)</f>
        <v>1</v>
      </c>
      <c r="F155" s="2" t="str">
        <f>IFERROR(__xludf.DUMMYFUNCTION("""COMPUTED_VALUE"""),"")</f>
        <v/>
      </c>
      <c r="G155" s="27" t="str">
        <f>IFERROR(__xludf.DUMMYFUNCTION("""COMPUTED_VALUE"""),"")</f>
        <v/>
      </c>
      <c r="H155" s="23" t="str">
        <f>IFERROR(__xludf.DUMMYFUNCTION("""COMPUTED_VALUE"""),"")</f>
        <v/>
      </c>
      <c r="I155" s="2" t="str">
        <f>IFERROR(__xludf.DUMMYFUNCTION("""COMPUTED_VALUE"""),"")</f>
        <v/>
      </c>
      <c r="J155" s="27" t="str">
        <f>IFERROR(__xludf.DUMMYFUNCTION("""COMPUTED_VALUE"""),"")</f>
        <v/>
      </c>
      <c r="K155" s="23" t="str">
        <f>IFERROR(__xludf.DUMMYFUNCTION("""COMPUTED_VALUE"""),"")</f>
        <v/>
      </c>
      <c r="L155" s="2" t="str">
        <f>IFERROR(__xludf.DUMMYFUNCTION("""COMPUTED_VALUE"""),"Ф65 AL 2017 Italy")</f>
        <v>Ф65 AL 2017 Italy</v>
      </c>
      <c r="M155" s="27">
        <f>IFERROR(__xludf.DUMMYFUNCTION("""COMPUTED_VALUE"""),0.041)</f>
        <v>0.041</v>
      </c>
      <c r="N155" s="23">
        <f>IFERROR(__xludf.DUMMYFUNCTION("""COMPUTED_VALUE"""),0.53136)</f>
        <v>0.53136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2">
        <f>IFERROR(__xludf.DUMMYFUNCTION("""COMPUTED_VALUE"""),2.11346E8)</f>
        <v>211346000</v>
      </c>
      <c r="B156" s="22" t="str">
        <f>IFERROR(__xludf.DUMMYFUNCTION("""COMPUTED_VALUE"""),"12mm Blind Rotor Multiturn Made in Bulgaria, SS-316")</f>
        <v>12mm Blind Rotor Multiturn Made in Bulgaria, SS-316</v>
      </c>
      <c r="C156" s="23">
        <f>IFERROR(__xludf.DUMMYFUNCTION("""COMPUTED_VALUE"""),0.0)</f>
        <v>0</v>
      </c>
      <c r="D156" s="2" t="str">
        <f>IFERROR(__xludf.DUMMYFUNCTION("""COMPUTED_VALUE"""),"")</f>
        <v/>
      </c>
      <c r="E156" s="25" t="str">
        <f>IFERROR(__xludf.DUMMYFUNCTION("""COMPUTED_VALUE"""),"")</f>
        <v/>
      </c>
      <c r="F156" s="2" t="str">
        <f>IFERROR(__xludf.DUMMYFUNCTION("""COMPUTED_VALUE"""),"")</f>
        <v/>
      </c>
      <c r="G156" s="27" t="str">
        <f>IFERROR(__xludf.DUMMYFUNCTION("""COMPUTED_VALUE"""),"")</f>
        <v/>
      </c>
      <c r="H156" s="23" t="str">
        <f>IFERROR(__xludf.DUMMYFUNCTION("""COMPUTED_VALUE"""),"")</f>
        <v/>
      </c>
      <c r="I156" s="2" t="str">
        <f>IFERROR(__xludf.DUMMYFUNCTION("""COMPUTED_VALUE"""),"")</f>
        <v/>
      </c>
      <c r="J156" s="27" t="str">
        <f>IFERROR(__xludf.DUMMYFUNCTION("""COMPUTED_VALUE"""),"")</f>
        <v/>
      </c>
      <c r="K156" s="23" t="str">
        <f>IFERROR(__xludf.DUMMYFUNCTION("""COMPUTED_VALUE"""),"")</f>
        <v/>
      </c>
      <c r="L156" s="2" t="str">
        <f>IFERROR(__xludf.DUMMYFUNCTION("""COMPUTED_VALUE"""),"")</f>
        <v/>
      </c>
      <c r="M156" s="27" t="str">
        <f>IFERROR(__xludf.DUMMYFUNCTION("""COMPUTED_VALUE"""),"")</f>
        <v/>
      </c>
      <c r="N156" s="23" t="str">
        <f>IFERROR(__xludf.DUMMYFUNCTION("""COMPUTED_VALUE"""),"")</f>
        <v/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90">
        <f>IFERROR(__xludf.DUMMYFUNCTION("""COMPUTED_VALUE"""),2.1134702E8)</f>
        <v>211347020</v>
      </c>
      <c r="B157" s="22" t="str">
        <f>IFERROR(__xludf.DUMMYFUNCTION("""COMPUTED_VALUE"""),"5/8"" Rotor, Multiturn Stainless Steel 316")</f>
        <v>5/8" Rotor, Multiturn Stainless Steel 316</v>
      </c>
      <c r="C157" s="23">
        <f>IFERROR(__xludf.DUMMYFUNCTION("""COMPUTED_VALUE"""),0.0)</f>
        <v>0</v>
      </c>
      <c r="D157" s="2" t="str">
        <f>IFERROR(__xludf.DUMMYFUNCTION("""COMPUTED_VALUE"""),"")</f>
        <v/>
      </c>
      <c r="E157" s="25" t="str">
        <f>IFERROR(__xludf.DUMMYFUNCTION("""COMPUTED_VALUE"""),"")</f>
        <v/>
      </c>
      <c r="F157" s="2" t="str">
        <f>IFERROR(__xludf.DUMMYFUNCTION("""COMPUTED_VALUE"""),"")</f>
        <v/>
      </c>
      <c r="G157" s="27" t="str">
        <f>IFERROR(__xludf.DUMMYFUNCTION("""COMPUTED_VALUE"""),"")</f>
        <v/>
      </c>
      <c r="H157" s="23" t="str">
        <f>IFERROR(__xludf.DUMMYFUNCTION("""COMPUTED_VALUE"""),"")</f>
        <v/>
      </c>
      <c r="I157" s="2" t="str">
        <f>IFERROR(__xludf.DUMMYFUNCTION("""COMPUTED_VALUE"""),"")</f>
        <v/>
      </c>
      <c r="J157" s="27" t="str">
        <f>IFERROR(__xludf.DUMMYFUNCTION("""COMPUTED_VALUE"""),"")</f>
        <v/>
      </c>
      <c r="K157" s="23" t="str">
        <f>IFERROR(__xludf.DUMMYFUNCTION("""COMPUTED_VALUE"""),"")</f>
        <v/>
      </c>
      <c r="L157" s="2" t="str">
        <f>IFERROR(__xludf.DUMMYFUNCTION("""COMPUTED_VALUE"""),"")</f>
        <v/>
      </c>
      <c r="M157" s="27" t="str">
        <f>IFERROR(__xludf.DUMMYFUNCTION("""COMPUTED_VALUE"""),"")</f>
        <v/>
      </c>
      <c r="N157" s="23" t="str">
        <f>IFERROR(__xludf.DUMMYFUNCTION("""COMPUTED_VALUE"""),"")</f>
        <v/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2">
        <f>IFERROR(__xludf.DUMMYFUNCTION("""COMPUTED_VALUE"""),2.1134801E8)</f>
        <v>211348010</v>
      </c>
      <c r="B158" s="22" t="str">
        <f>IFERROR(__xludf.DUMMYFUNCTION("""COMPUTED_VALUE"""),"Multiturn Brass Standoff for stainless steel body.")</f>
        <v>Multiturn Brass Standoff for stainless steel body.</v>
      </c>
      <c r="C158" s="23">
        <f>IFERROR(__xludf.DUMMYFUNCTION("""COMPUTED_VALUE"""),0.0)</f>
        <v>0</v>
      </c>
      <c r="D158" s="2" t="str">
        <f>IFERROR(__xludf.DUMMYFUNCTION("""COMPUTED_VALUE"""),"")</f>
        <v/>
      </c>
      <c r="E158" s="25" t="str">
        <f>IFERROR(__xludf.DUMMYFUNCTION("""COMPUTED_VALUE"""),"")</f>
        <v/>
      </c>
      <c r="F158" s="2" t="str">
        <f>IFERROR(__xludf.DUMMYFUNCTION("""COMPUTED_VALUE"""),"")</f>
        <v/>
      </c>
      <c r="G158" s="27" t="str">
        <f>IFERROR(__xludf.DUMMYFUNCTION("""COMPUTED_VALUE"""),"")</f>
        <v/>
      </c>
      <c r="H158" s="23" t="str">
        <f>IFERROR(__xludf.DUMMYFUNCTION("""COMPUTED_VALUE"""),"")</f>
        <v/>
      </c>
      <c r="I158" s="2" t="str">
        <f>IFERROR(__xludf.DUMMYFUNCTION("""COMPUTED_VALUE"""),"")</f>
        <v/>
      </c>
      <c r="J158" s="27" t="str">
        <f>IFERROR(__xludf.DUMMYFUNCTION("""COMPUTED_VALUE"""),"")</f>
        <v/>
      </c>
      <c r="K158" s="23" t="str">
        <f>IFERROR(__xludf.DUMMYFUNCTION("""COMPUTED_VALUE"""),"")</f>
        <v/>
      </c>
      <c r="L158" s="2" t="str">
        <f>IFERROR(__xludf.DUMMYFUNCTION("""COMPUTED_VALUE"""),"")</f>
        <v/>
      </c>
      <c r="M158" s="27" t="str">
        <f>IFERROR(__xludf.DUMMYFUNCTION("""COMPUTED_VALUE"""),"")</f>
        <v/>
      </c>
      <c r="N158" s="23" t="str">
        <f>IFERROR(__xludf.DUMMYFUNCTION("""COMPUTED_VALUE"""),"")</f>
        <v/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0">
        <f>IFERROR(__xludf.DUMMYFUNCTION("""COMPUTED_VALUE"""),2.11349E8)</f>
        <v>211349000</v>
      </c>
      <c r="B159" s="22" t="str">
        <f>IFERROR(__xludf.DUMMYFUNCTION("""COMPUTED_VALUE"""),"3/4"" Rotor SS-303 for H25/DC25")</f>
        <v>3/4" Rotor SS-303 for H25/DC25</v>
      </c>
      <c r="C159" s="23">
        <f>IFERROR(__xludf.DUMMYFUNCTION("""COMPUTED_VALUE"""),0.0)</f>
        <v>0</v>
      </c>
      <c r="D159" s="2" t="str">
        <f>IFERROR(__xludf.DUMMYFUNCTION("""COMPUTED_VALUE"""),"")</f>
        <v/>
      </c>
      <c r="E159" s="25" t="str">
        <f>IFERROR(__xludf.DUMMYFUNCTION("""COMPUTED_VALUE"""),"")</f>
        <v/>
      </c>
      <c r="F159" s="2" t="str">
        <f>IFERROR(__xludf.DUMMYFUNCTION("""COMPUTED_VALUE"""),"")</f>
        <v/>
      </c>
      <c r="G159" s="27" t="str">
        <f>IFERROR(__xludf.DUMMYFUNCTION("""COMPUTED_VALUE"""),"")</f>
        <v/>
      </c>
      <c r="H159" s="23" t="str">
        <f>IFERROR(__xludf.DUMMYFUNCTION("""COMPUTED_VALUE"""),"")</f>
        <v/>
      </c>
      <c r="I159" s="2" t="str">
        <f>IFERROR(__xludf.DUMMYFUNCTION("""COMPUTED_VALUE"""),"")</f>
        <v/>
      </c>
      <c r="J159" s="27" t="str">
        <f>IFERROR(__xludf.DUMMYFUNCTION("""COMPUTED_VALUE"""),"")</f>
        <v/>
      </c>
      <c r="K159" s="23" t="str">
        <f>IFERROR(__xludf.DUMMYFUNCTION("""COMPUTED_VALUE"""),"")</f>
        <v/>
      </c>
      <c r="L159" s="2" t="str">
        <f>IFERROR(__xludf.DUMMYFUNCTION("""COMPUTED_VALUE"""),"")</f>
        <v/>
      </c>
      <c r="M159" s="27" t="str">
        <f>IFERROR(__xludf.DUMMYFUNCTION("""COMPUTED_VALUE"""),"")</f>
        <v/>
      </c>
      <c r="N159" s="23" t="str">
        <f>IFERROR(__xludf.DUMMYFUNCTION("""COMPUTED_VALUE"""),"")</f>
        <v/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0">
        <f>IFERROR(__xludf.DUMMYFUNCTION("""COMPUTED_VALUE"""),2.1135E8)</f>
        <v>211350000</v>
      </c>
      <c r="B160" s="22" t="str">
        <f>IFERROR(__xludf.DUMMYFUNCTION("""COMPUTED_VALUE"""),"ME11 SHAFT 0.25"" with flat")</f>
        <v>ME11 SHAFT 0.25" with flat</v>
      </c>
      <c r="C160" s="23">
        <f>IFERROR(__xludf.DUMMYFUNCTION("""COMPUTED_VALUE"""),0.0)</f>
        <v>0</v>
      </c>
      <c r="D160" s="2" t="str">
        <f>IFERROR(__xludf.DUMMYFUNCTION("""COMPUTED_VALUE"""),"")</f>
        <v/>
      </c>
      <c r="E160" s="25" t="str">
        <f>IFERROR(__xludf.DUMMYFUNCTION("""COMPUTED_VALUE"""),"")</f>
        <v/>
      </c>
      <c r="F160" s="2" t="str">
        <f>IFERROR(__xludf.DUMMYFUNCTION("""COMPUTED_VALUE"""),"")</f>
        <v/>
      </c>
      <c r="G160" s="27" t="str">
        <f>IFERROR(__xludf.DUMMYFUNCTION("""COMPUTED_VALUE"""),"")</f>
        <v/>
      </c>
      <c r="H160" s="23" t="str">
        <f>IFERROR(__xludf.DUMMYFUNCTION("""COMPUTED_VALUE"""),"")</f>
        <v/>
      </c>
      <c r="I160" s="2" t="str">
        <f>IFERROR(__xludf.DUMMYFUNCTION("""COMPUTED_VALUE"""),"")</f>
        <v/>
      </c>
      <c r="J160" s="27" t="str">
        <f>IFERROR(__xludf.DUMMYFUNCTION("""COMPUTED_VALUE"""),"")</f>
        <v/>
      </c>
      <c r="K160" s="23" t="str">
        <f>IFERROR(__xludf.DUMMYFUNCTION("""COMPUTED_VALUE"""),"")</f>
        <v/>
      </c>
      <c r="L160" s="2" t="str">
        <f>IFERROR(__xludf.DUMMYFUNCTION("""COMPUTED_VALUE"""),"")</f>
        <v/>
      </c>
      <c r="M160" s="27" t="str">
        <f>IFERROR(__xludf.DUMMYFUNCTION("""COMPUTED_VALUE"""),"")</f>
        <v/>
      </c>
      <c r="N160" s="23" t="str">
        <f>IFERROR(__xludf.DUMMYFUNCTION("""COMPUTED_VALUE"""),"")</f>
        <v/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0">
        <f>IFERROR(__xludf.DUMMYFUNCTION("""COMPUTED_VALUE"""),2.11353E8)</f>
        <v>211353000</v>
      </c>
      <c r="B161" s="22" t="str">
        <f>IFERROR(__xludf.DUMMYFUNCTION("""COMPUTED_VALUE"""),"Size11 rear cover with side grommet hole")</f>
        <v>Size11 rear cover with side grommet hole</v>
      </c>
      <c r="C161" s="23">
        <f>IFERROR(__xludf.DUMMYFUNCTION("""COMPUTED_VALUE"""),1.08864)</f>
        <v>1.08864</v>
      </c>
      <c r="D161" s="23">
        <f>IFERROR(__xludf.DUMMYFUNCTION("""COMPUTED_VALUE"""),1.08864)</f>
        <v>1.08864</v>
      </c>
      <c r="E161" s="25">
        <f>IFERROR(__xludf.DUMMYFUNCTION("""COMPUTED_VALUE"""),1.0)</f>
        <v>1</v>
      </c>
      <c r="F161" s="2" t="str">
        <f>IFERROR(__xludf.DUMMYFUNCTION("""COMPUTED_VALUE"""),"")</f>
        <v/>
      </c>
      <c r="G161" s="27" t="str">
        <f>IFERROR(__xludf.DUMMYFUNCTION("""COMPUTED_VALUE"""),"")</f>
        <v/>
      </c>
      <c r="H161" s="23" t="str">
        <f>IFERROR(__xludf.DUMMYFUNCTION("""COMPUTED_VALUE"""),"")</f>
        <v/>
      </c>
      <c r="I161" s="2" t="str">
        <f>IFERROR(__xludf.DUMMYFUNCTION("""COMPUTED_VALUE"""),"")</f>
        <v/>
      </c>
      <c r="J161" s="27" t="str">
        <f>IFERROR(__xludf.DUMMYFUNCTION("""COMPUTED_VALUE"""),"")</f>
        <v/>
      </c>
      <c r="K161" s="23" t="str">
        <f>IFERROR(__xludf.DUMMYFUNCTION("""COMPUTED_VALUE"""),"")</f>
        <v/>
      </c>
      <c r="L161" s="2" t="str">
        <f>IFERROR(__xludf.DUMMYFUNCTION("""COMPUTED_VALUE"""),"Ф65 AL 2017 Italy")</f>
        <v>Ф65 AL 2017 Italy</v>
      </c>
      <c r="M161" s="27">
        <f>IFERROR(__xludf.DUMMYFUNCTION("""COMPUTED_VALUE"""),0.084)</f>
        <v>0.084</v>
      </c>
      <c r="N161" s="23">
        <f>IFERROR(__xludf.DUMMYFUNCTION("""COMPUTED_VALUE"""),1.08864)</f>
        <v>1.08864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2" t="str">
        <f>IFERROR(__xludf.DUMMYFUNCTION("""COMPUTED_VALUE"""),"21135700A")</f>
        <v>21135700A</v>
      </c>
      <c r="B162" s="22" t="str">
        <f>IFERROR(__xludf.DUMMYFUNCTION("""COMPUTED_VALUE"""),"Size11 rear cover with side hole potted")</f>
        <v>Size11 rear cover with side hole potted</v>
      </c>
      <c r="C162" s="23">
        <f>IFERROR(__xludf.DUMMYFUNCTION("""COMPUTED_VALUE"""),0.0)</f>
        <v>0</v>
      </c>
      <c r="D162" s="2" t="str">
        <f>IFERROR(__xludf.DUMMYFUNCTION("""COMPUTED_VALUE"""),"")</f>
        <v/>
      </c>
      <c r="E162" s="25" t="str">
        <f>IFERROR(__xludf.DUMMYFUNCTION("""COMPUTED_VALUE"""),"")</f>
        <v/>
      </c>
      <c r="F162" s="2" t="str">
        <f>IFERROR(__xludf.DUMMYFUNCTION("""COMPUTED_VALUE"""),"")</f>
        <v/>
      </c>
      <c r="G162" s="27" t="str">
        <f>IFERROR(__xludf.DUMMYFUNCTION("""COMPUTED_VALUE"""),"")</f>
        <v/>
      </c>
      <c r="H162" s="23" t="str">
        <f>IFERROR(__xludf.DUMMYFUNCTION("""COMPUTED_VALUE"""),"")</f>
        <v/>
      </c>
      <c r="I162" s="2" t="str">
        <f>IFERROR(__xludf.DUMMYFUNCTION("""COMPUTED_VALUE"""),"")</f>
        <v/>
      </c>
      <c r="J162" s="27" t="str">
        <f>IFERROR(__xludf.DUMMYFUNCTION("""COMPUTED_VALUE"""),"")</f>
        <v/>
      </c>
      <c r="K162" s="23" t="str">
        <f>IFERROR(__xludf.DUMMYFUNCTION("""COMPUTED_VALUE"""),"")</f>
        <v/>
      </c>
      <c r="L162" s="2" t="str">
        <f>IFERROR(__xludf.DUMMYFUNCTION("""COMPUTED_VALUE"""),"")</f>
        <v/>
      </c>
      <c r="M162" s="27" t="str">
        <f>IFERROR(__xludf.DUMMYFUNCTION("""COMPUTED_VALUE"""),"")</f>
        <v/>
      </c>
      <c r="N162" s="23" t="str">
        <f>IFERROR(__xludf.DUMMYFUNCTION("""COMPUTED_VALUE"""),"")</f>
        <v/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0">
        <f>IFERROR(__xludf.DUMMYFUNCTION("""COMPUTED_VALUE"""),2.11361E8)</f>
        <v>211361000</v>
      </c>
      <c r="B163" s="22" t="str">
        <f>IFERROR(__xludf.DUMMYFUNCTION("""COMPUTED_VALUE"""),"DC25 &amp; H25 10mm MULTITURN SHAFT")</f>
        <v>DC25 &amp; H25 10mm MULTITURN SHAFT</v>
      </c>
      <c r="C163" s="23">
        <f>IFERROR(__xludf.DUMMYFUNCTION("""COMPUTED_VALUE"""),0.0)</f>
        <v>0</v>
      </c>
      <c r="D163" s="2" t="str">
        <f>IFERROR(__xludf.DUMMYFUNCTION("""COMPUTED_VALUE"""),"")</f>
        <v/>
      </c>
      <c r="E163" s="25" t="str">
        <f>IFERROR(__xludf.DUMMYFUNCTION("""COMPUTED_VALUE"""),"")</f>
        <v/>
      </c>
      <c r="F163" s="2" t="str">
        <f>IFERROR(__xludf.DUMMYFUNCTION("""COMPUTED_VALUE"""),"")</f>
        <v/>
      </c>
      <c r="G163" s="27" t="str">
        <f>IFERROR(__xludf.DUMMYFUNCTION("""COMPUTED_VALUE"""),"")</f>
        <v/>
      </c>
      <c r="H163" s="23" t="str">
        <f>IFERROR(__xludf.DUMMYFUNCTION("""COMPUTED_VALUE"""),"")</f>
        <v/>
      </c>
      <c r="I163" s="2" t="str">
        <f>IFERROR(__xludf.DUMMYFUNCTION("""COMPUTED_VALUE"""),"")</f>
        <v/>
      </c>
      <c r="J163" s="27" t="str">
        <f>IFERROR(__xludf.DUMMYFUNCTION("""COMPUTED_VALUE"""),"")</f>
        <v/>
      </c>
      <c r="K163" s="23" t="str">
        <f>IFERROR(__xludf.DUMMYFUNCTION("""COMPUTED_VALUE"""),"")</f>
        <v/>
      </c>
      <c r="L163" s="2" t="str">
        <f>IFERROR(__xludf.DUMMYFUNCTION("""COMPUTED_VALUE"""),"")</f>
        <v/>
      </c>
      <c r="M163" s="27" t="str">
        <f>IFERROR(__xludf.DUMMYFUNCTION("""COMPUTED_VALUE"""),"")</f>
        <v/>
      </c>
      <c r="N163" s="23" t="str">
        <f>IFERROR(__xludf.DUMMYFUNCTION("""COMPUTED_VALUE"""),"")</f>
        <v/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0">
        <f>IFERROR(__xludf.DUMMYFUNCTION("""COMPUTED_VALUE"""),2.11362E8)</f>
        <v>211362000</v>
      </c>
      <c r="B164" s="22" t="str">
        <f>IFERROR(__xludf.DUMMYFUNCTION("""COMPUTED_VALUE"""),"DC25 &amp; H25 1/4"" MULTITURN SHAFT")</f>
        <v>DC25 &amp; H25 1/4" MULTITURN SHAFT</v>
      </c>
      <c r="C164" s="23">
        <f>IFERROR(__xludf.DUMMYFUNCTION("""COMPUTED_VALUE"""),0.0)</f>
        <v>0</v>
      </c>
      <c r="D164" s="2" t="str">
        <f>IFERROR(__xludf.DUMMYFUNCTION("""COMPUTED_VALUE"""),"")</f>
        <v/>
      </c>
      <c r="E164" s="25" t="str">
        <f>IFERROR(__xludf.DUMMYFUNCTION("""COMPUTED_VALUE"""),"")</f>
        <v/>
      </c>
      <c r="F164" s="2" t="str">
        <f>IFERROR(__xludf.DUMMYFUNCTION("""COMPUTED_VALUE"""),"")</f>
        <v/>
      </c>
      <c r="G164" s="27" t="str">
        <f>IFERROR(__xludf.DUMMYFUNCTION("""COMPUTED_VALUE"""),"")</f>
        <v/>
      </c>
      <c r="H164" s="23" t="str">
        <f>IFERROR(__xludf.DUMMYFUNCTION("""COMPUTED_VALUE"""),"")</f>
        <v/>
      </c>
      <c r="I164" s="2" t="str">
        <f>IFERROR(__xludf.DUMMYFUNCTION("""COMPUTED_VALUE"""),"")</f>
        <v/>
      </c>
      <c r="J164" s="27" t="str">
        <f>IFERROR(__xludf.DUMMYFUNCTION("""COMPUTED_VALUE"""),"")</f>
        <v/>
      </c>
      <c r="K164" s="23" t="str">
        <f>IFERROR(__xludf.DUMMYFUNCTION("""COMPUTED_VALUE"""),"")</f>
        <v/>
      </c>
      <c r="L164" s="2" t="str">
        <f>IFERROR(__xludf.DUMMYFUNCTION("""COMPUTED_VALUE"""),"")</f>
        <v/>
      </c>
      <c r="M164" s="27" t="str">
        <f>IFERROR(__xludf.DUMMYFUNCTION("""COMPUTED_VALUE"""),"")</f>
        <v/>
      </c>
      <c r="N164" s="23" t="str">
        <f>IFERROR(__xludf.DUMMYFUNCTION("""COMPUTED_VALUE"""),"")</f>
        <v/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0">
        <f>IFERROR(__xludf.DUMMYFUNCTION("""COMPUTED_VALUE"""),2.11363E8)</f>
        <v>211363000</v>
      </c>
      <c r="B165" s="22" t="str">
        <f>IFERROR(__xludf.DUMMYFUNCTION("""COMPUTED_VALUE"""),"DC25 &amp; H25  3/8"" MULTITURN SHAFT")</f>
        <v>DC25 &amp; H25  3/8" MULTITURN SHAFT</v>
      </c>
      <c r="C165" s="23">
        <f>IFERROR(__xludf.DUMMYFUNCTION("""COMPUTED_VALUE"""),0.0)</f>
        <v>0</v>
      </c>
      <c r="D165" s="2" t="str">
        <f>IFERROR(__xludf.DUMMYFUNCTION("""COMPUTED_VALUE"""),"")</f>
        <v/>
      </c>
      <c r="E165" s="25" t="str">
        <f>IFERROR(__xludf.DUMMYFUNCTION("""COMPUTED_VALUE"""),"")</f>
        <v/>
      </c>
      <c r="F165" s="2" t="str">
        <f>IFERROR(__xludf.DUMMYFUNCTION("""COMPUTED_VALUE"""),"")</f>
        <v/>
      </c>
      <c r="G165" s="27" t="str">
        <f>IFERROR(__xludf.DUMMYFUNCTION("""COMPUTED_VALUE"""),"")</f>
        <v/>
      </c>
      <c r="H165" s="23" t="str">
        <f>IFERROR(__xludf.DUMMYFUNCTION("""COMPUTED_VALUE"""),"")</f>
        <v/>
      </c>
      <c r="I165" s="2" t="str">
        <f>IFERROR(__xludf.DUMMYFUNCTION("""COMPUTED_VALUE"""),"")</f>
        <v/>
      </c>
      <c r="J165" s="27" t="str">
        <f>IFERROR(__xludf.DUMMYFUNCTION("""COMPUTED_VALUE"""),"")</f>
        <v/>
      </c>
      <c r="K165" s="23" t="str">
        <f>IFERROR(__xludf.DUMMYFUNCTION("""COMPUTED_VALUE"""),"")</f>
        <v/>
      </c>
      <c r="L165" s="2" t="str">
        <f>IFERROR(__xludf.DUMMYFUNCTION("""COMPUTED_VALUE"""),"")</f>
        <v/>
      </c>
      <c r="M165" s="27" t="str">
        <f>IFERROR(__xludf.DUMMYFUNCTION("""COMPUTED_VALUE"""),"")</f>
        <v/>
      </c>
      <c r="N165" s="23" t="str">
        <f>IFERROR(__xludf.DUMMYFUNCTION("""COMPUTED_VALUE"""),"")</f>
        <v/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0" t="str">
        <f>IFERROR(__xludf.DUMMYFUNCTION("""COMPUTED_VALUE"""),"21137201A")</f>
        <v>21137201A</v>
      </c>
      <c r="B166" s="22" t="str">
        <f>IFERROR(__xludf.DUMMYFUNCTION("""COMPUTED_VALUE"""),"NR25 Ethernet rear cover Singleturn; Side conn.")</f>
        <v>NR25 Ethernet rear cover Singleturn; Side conn.</v>
      </c>
      <c r="C166" s="23">
        <f>IFERROR(__xludf.DUMMYFUNCTION("""COMPUTED_VALUE"""),0.0)</f>
        <v>0</v>
      </c>
      <c r="D166" s="2" t="str">
        <f>IFERROR(__xludf.DUMMYFUNCTION("""COMPUTED_VALUE"""),"")</f>
        <v/>
      </c>
      <c r="E166" s="25" t="str">
        <f>IFERROR(__xludf.DUMMYFUNCTION("""COMPUTED_VALUE"""),"")</f>
        <v/>
      </c>
      <c r="F166" s="2" t="str">
        <f>IFERROR(__xludf.DUMMYFUNCTION("""COMPUTED_VALUE"""),"")</f>
        <v/>
      </c>
      <c r="G166" s="27" t="str">
        <f>IFERROR(__xludf.DUMMYFUNCTION("""COMPUTED_VALUE"""),"")</f>
        <v/>
      </c>
      <c r="H166" s="23" t="str">
        <f>IFERROR(__xludf.DUMMYFUNCTION("""COMPUTED_VALUE"""),"")</f>
        <v/>
      </c>
      <c r="I166" s="2" t="str">
        <f>IFERROR(__xludf.DUMMYFUNCTION("""COMPUTED_VALUE"""),"")</f>
        <v/>
      </c>
      <c r="J166" s="27" t="str">
        <f>IFERROR(__xludf.DUMMYFUNCTION("""COMPUTED_VALUE"""),"")</f>
        <v/>
      </c>
      <c r="K166" s="23" t="str">
        <f>IFERROR(__xludf.DUMMYFUNCTION("""COMPUTED_VALUE"""),"")</f>
        <v/>
      </c>
      <c r="L166" s="2" t="str">
        <f>IFERROR(__xludf.DUMMYFUNCTION("""COMPUTED_VALUE"""),"Ф28 S303")</f>
        <v>Ф28 S303</v>
      </c>
      <c r="M166" s="27">
        <f>IFERROR(__xludf.DUMMYFUNCTION("""COMPUTED_VALUE"""),0.0)</f>
        <v>0</v>
      </c>
      <c r="N166" s="23" t="str">
        <f>IFERROR(__xludf.DUMMYFUNCTION("""COMPUTED_VALUE"""),"")</f>
        <v/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0">
        <f>IFERROR(__xludf.DUMMYFUNCTION("""COMPUTED_VALUE"""),2.11323E8)</f>
        <v>211323000</v>
      </c>
      <c r="B167" s="22"/>
      <c r="C167" s="23">
        <f>IFERROR(__xludf.DUMMYFUNCTION("""COMPUTED_VALUE"""),0.0)</f>
        <v>0</v>
      </c>
      <c r="D167" s="2" t="str">
        <f>IFERROR(__xludf.DUMMYFUNCTION("""COMPUTED_VALUE"""),"")</f>
        <v/>
      </c>
      <c r="E167" s="25" t="str">
        <f>IFERROR(__xludf.DUMMYFUNCTION("""COMPUTED_VALUE"""),"")</f>
        <v/>
      </c>
      <c r="F167" s="2" t="str">
        <f>IFERROR(__xludf.DUMMYFUNCTION("""COMPUTED_VALUE"""),"")</f>
        <v/>
      </c>
      <c r="G167" s="27" t="str">
        <f>IFERROR(__xludf.DUMMYFUNCTION("""COMPUTED_VALUE"""),"")</f>
        <v/>
      </c>
      <c r="H167" s="23" t="str">
        <f>IFERROR(__xludf.DUMMYFUNCTION("""COMPUTED_VALUE"""),"")</f>
        <v/>
      </c>
      <c r="I167" s="2" t="str">
        <f>IFERROR(__xludf.DUMMYFUNCTION("""COMPUTED_VALUE"""),"")</f>
        <v/>
      </c>
      <c r="J167" s="27" t="str">
        <f>IFERROR(__xludf.DUMMYFUNCTION("""COMPUTED_VALUE"""),"")</f>
        <v/>
      </c>
      <c r="K167" s="23" t="str">
        <f>IFERROR(__xludf.DUMMYFUNCTION("""COMPUTED_VALUE"""),"")</f>
        <v/>
      </c>
      <c r="L167" s="2" t="str">
        <f>IFERROR(__xludf.DUMMYFUNCTION("""COMPUTED_VALUE"""),"")</f>
        <v/>
      </c>
      <c r="M167" s="27" t="str">
        <f>IFERROR(__xludf.DUMMYFUNCTION("""COMPUTED_VALUE"""),"")</f>
        <v/>
      </c>
      <c r="N167" s="23" t="str">
        <f>IFERROR(__xludf.DUMMYFUNCTION("""COMPUTED_VALUE"""),"")</f>
        <v/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2" t="str">
        <f>IFERROR(__xludf.DUMMYFUNCTION("""COMPUTED_VALUE"""),"22108201E")</f>
        <v>22108201E</v>
      </c>
      <c r="B168" s="22" t="str">
        <f>IFERROR(__xludf.DUMMYFUNCTION("""COMPUTED_VALUE"""),"Flange Plate for Aux. Nose ")</f>
        <v>Flange Plate for Aux. Nose </v>
      </c>
      <c r="C168" s="23">
        <f>IFERROR(__xludf.DUMMYFUNCTION("""COMPUTED_VALUE"""),0.11900000000000001)</f>
        <v>0.119</v>
      </c>
      <c r="D168" s="23">
        <f>IFERROR(__xludf.DUMMYFUNCTION("""COMPUTED_VALUE"""),0.11900000000000001)</f>
        <v>0.119</v>
      </c>
      <c r="E168" s="25">
        <f>IFERROR(__xludf.DUMMYFUNCTION("""COMPUTED_VALUE"""),1.0)</f>
        <v>1</v>
      </c>
      <c r="F168" s="2" t="str">
        <f>IFERROR(__xludf.DUMMYFUNCTION("""COMPUTED_VALUE"""),"")</f>
        <v/>
      </c>
      <c r="G168" s="27" t="str">
        <f>IFERROR(__xludf.DUMMYFUNCTION("""COMPUTED_VALUE"""),"")</f>
        <v/>
      </c>
      <c r="H168" s="23" t="str">
        <f>IFERROR(__xludf.DUMMYFUNCTION("""COMPUTED_VALUE"""),"")</f>
        <v/>
      </c>
      <c r="I168" s="2" t="str">
        <f>IFERROR(__xludf.DUMMYFUNCTION("""COMPUTED_VALUE"""),"AL USA (pc.)")</f>
        <v>AL USA (pc.)</v>
      </c>
      <c r="J168" s="27">
        <f>IFERROR(__xludf.DUMMYFUNCTION("""COMPUTED_VALUE"""),0.07)</f>
        <v>0.07</v>
      </c>
      <c r="K168" s="23">
        <f>IFERROR(__xludf.DUMMYFUNCTION("""COMPUTED_VALUE"""),0.11900000000000001)</f>
        <v>0.119</v>
      </c>
      <c r="L168" s="2" t="str">
        <f>IFERROR(__xludf.DUMMYFUNCTION("""COMPUTED_VALUE"""),"")</f>
        <v/>
      </c>
      <c r="M168" s="27" t="str">
        <f>IFERROR(__xludf.DUMMYFUNCTION("""COMPUTED_VALUE"""),"")</f>
        <v/>
      </c>
      <c r="N168" s="23" t="str">
        <f>IFERROR(__xludf.DUMMYFUNCTION("""COMPUTED_VALUE"""),"")</f>
        <v/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2" t="str">
        <f>IFERROR(__xludf.DUMMYFUNCTION("""COMPUTED_VALUE"""),"22113300B")</f>
        <v>22113300B</v>
      </c>
      <c r="B169" s="22" t="str">
        <f>IFERROR(__xludf.DUMMYFUNCTION("""COMPUTED_VALUE"""),"Transducer Flange Slv.H25M1 ")</f>
        <v>Transducer Flange Slv.H25M1 </v>
      </c>
      <c r="C169" s="23">
        <f>IFERROR(__xludf.DUMMYFUNCTION("""COMPUTED_VALUE"""),0.0)</f>
        <v>0</v>
      </c>
      <c r="D169" s="2" t="str">
        <f>IFERROR(__xludf.DUMMYFUNCTION("""COMPUTED_VALUE"""),"")</f>
        <v/>
      </c>
      <c r="E169" s="25" t="str">
        <f>IFERROR(__xludf.DUMMYFUNCTION("""COMPUTED_VALUE"""),"")</f>
        <v/>
      </c>
      <c r="F169" s="2" t="str">
        <f>IFERROR(__xludf.DUMMYFUNCTION("""COMPUTED_VALUE"""),"")</f>
        <v/>
      </c>
      <c r="G169" s="27" t="str">
        <f>IFERROR(__xludf.DUMMYFUNCTION("""COMPUTED_VALUE"""),"")</f>
        <v/>
      </c>
      <c r="H169" s="23" t="str">
        <f>IFERROR(__xludf.DUMMYFUNCTION("""COMPUTED_VALUE"""),"")</f>
        <v/>
      </c>
      <c r="I169" s="2" t="str">
        <f>IFERROR(__xludf.DUMMYFUNCTION("""COMPUTED_VALUE"""),"")</f>
        <v/>
      </c>
      <c r="J169" s="27" t="str">
        <f>IFERROR(__xludf.DUMMYFUNCTION("""COMPUTED_VALUE"""),"")</f>
        <v/>
      </c>
      <c r="K169" s="23" t="str">
        <f>IFERROR(__xludf.DUMMYFUNCTION("""COMPUTED_VALUE"""),"")</f>
        <v/>
      </c>
      <c r="L169" s="2" t="str">
        <f>IFERROR(__xludf.DUMMYFUNCTION("""COMPUTED_VALUE"""),"")</f>
        <v/>
      </c>
      <c r="M169" s="27" t="str">
        <f>IFERROR(__xludf.DUMMYFUNCTION("""COMPUTED_VALUE"""),"")</f>
        <v/>
      </c>
      <c r="N169" s="23" t="str">
        <f>IFERROR(__xludf.DUMMYFUNCTION("""COMPUTED_VALUE"""),"")</f>
        <v/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2">
        <f>IFERROR(__xludf.DUMMYFUNCTION("""COMPUTED_VALUE"""),2.21134E8)</f>
        <v>221134000</v>
      </c>
      <c r="B170" s="22" t="str">
        <f>IFERROR(__xludf.DUMMYFUNCTION("""COMPUTED_VALUE"""),"M1 Flange Plate (H25-M1) ")</f>
        <v>M1 Flange Plate (H25-M1) </v>
      </c>
      <c r="C170" s="23">
        <f>IFERROR(__xludf.DUMMYFUNCTION("""COMPUTED_VALUE"""),0.0)</f>
        <v>0</v>
      </c>
      <c r="D170" s="2" t="str">
        <f>IFERROR(__xludf.DUMMYFUNCTION("""COMPUTED_VALUE"""),"")</f>
        <v/>
      </c>
      <c r="E170" s="25" t="str">
        <f>IFERROR(__xludf.DUMMYFUNCTION("""COMPUTED_VALUE"""),"")</f>
        <v/>
      </c>
      <c r="F170" s="2" t="str">
        <f>IFERROR(__xludf.DUMMYFUNCTION("""COMPUTED_VALUE"""),"")</f>
        <v/>
      </c>
      <c r="G170" s="27" t="str">
        <f>IFERROR(__xludf.DUMMYFUNCTION("""COMPUTED_VALUE"""),"")</f>
        <v/>
      </c>
      <c r="H170" s="23" t="str">
        <f>IFERROR(__xludf.DUMMYFUNCTION("""COMPUTED_VALUE"""),"")</f>
        <v/>
      </c>
      <c r="I170" s="2" t="str">
        <f>IFERROR(__xludf.DUMMYFUNCTION("""COMPUTED_VALUE"""),"")</f>
        <v/>
      </c>
      <c r="J170" s="27" t="str">
        <f>IFERROR(__xludf.DUMMYFUNCTION("""COMPUTED_VALUE"""),"")</f>
        <v/>
      </c>
      <c r="K170" s="23" t="str">
        <f>IFERROR(__xludf.DUMMYFUNCTION("""COMPUTED_VALUE"""),"")</f>
        <v/>
      </c>
      <c r="L170" s="2" t="str">
        <f>IFERROR(__xludf.DUMMYFUNCTION("""COMPUTED_VALUE"""),"")</f>
        <v/>
      </c>
      <c r="M170" s="27" t="str">
        <f>IFERROR(__xludf.DUMMYFUNCTION("""COMPUTED_VALUE"""),"")</f>
        <v/>
      </c>
      <c r="N170" s="23" t="str">
        <f>IFERROR(__xludf.DUMMYFUNCTION("""COMPUTED_VALUE"""),"")</f>
        <v/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0" t="str">
        <f>IFERROR(__xludf.DUMMYFUNCTION("""COMPUTED_VALUE"""),"22124500F")</f>
        <v>22124500F</v>
      </c>
      <c r="B171" s="22" t="str">
        <f>IFERROR(__xludf.DUMMYFUNCTION("""COMPUTED_VALUE"""),"H25/DC25 Aux. Nose with 8-32 tapped mounting")</f>
        <v>H25/DC25 Aux. Nose with 8-32 tapped mounting</v>
      </c>
      <c r="C171" s="23">
        <f>IFERROR(__xludf.DUMMYFUNCTION("""COMPUTED_VALUE"""),1.12752)</f>
        <v>1.12752</v>
      </c>
      <c r="D171" s="23">
        <f>IFERROR(__xludf.DUMMYFUNCTION("""COMPUTED_VALUE"""),1.12752)</f>
        <v>1.12752</v>
      </c>
      <c r="E171" s="25">
        <f>IFERROR(__xludf.DUMMYFUNCTION("""COMPUTED_VALUE"""),1.0)</f>
        <v>1</v>
      </c>
      <c r="F171" s="2" t="str">
        <f>IFERROR(__xludf.DUMMYFUNCTION("""COMPUTED_VALUE"""),"")</f>
        <v/>
      </c>
      <c r="G171" s="27" t="str">
        <f>IFERROR(__xludf.DUMMYFUNCTION("""COMPUTED_VALUE"""),"")</f>
        <v/>
      </c>
      <c r="H171" s="23" t="str">
        <f>IFERROR(__xludf.DUMMYFUNCTION("""COMPUTED_VALUE"""),"")</f>
        <v/>
      </c>
      <c r="I171" s="2" t="str">
        <f>IFERROR(__xludf.DUMMYFUNCTION("""COMPUTED_VALUE"""),"Ф65 AL 2017 Italy")</f>
        <v>Ф65 AL 2017 Italy</v>
      </c>
      <c r="J171" s="27">
        <f>IFERROR(__xludf.DUMMYFUNCTION("""COMPUTED_VALUE"""),0.087)</f>
        <v>0.087</v>
      </c>
      <c r="K171" s="23">
        <f>IFERROR(__xludf.DUMMYFUNCTION("""COMPUTED_VALUE"""),1.12752)</f>
        <v>1.12752</v>
      </c>
      <c r="L171" s="2" t="str">
        <f>IFERROR(__xludf.DUMMYFUNCTION("""COMPUTED_VALUE"""),"")</f>
        <v/>
      </c>
      <c r="M171" s="27" t="str">
        <f>IFERROR(__xludf.DUMMYFUNCTION("""COMPUTED_VALUE"""),"")</f>
        <v/>
      </c>
      <c r="N171" s="23" t="str">
        <f>IFERROR(__xludf.DUMMYFUNCTION("""COMPUTED_VALUE"""),"")</f>
        <v/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0" t="str">
        <f>IFERROR(__xludf.DUMMYFUNCTION("""COMPUTED_VALUE"""),"22124501F")</f>
        <v>22124501F</v>
      </c>
      <c r="B172" s="22" t="str">
        <f>IFERROR(__xludf.DUMMYFUNCTION("""COMPUTED_VALUE"""),"H25/DC25 Aux. Nose with 6-32 tapped mounting")</f>
        <v>H25/DC25 Aux. Nose with 6-32 tapped mounting</v>
      </c>
      <c r="C172" s="23">
        <f>IFERROR(__xludf.DUMMYFUNCTION("""COMPUTED_VALUE"""),1.12752)</f>
        <v>1.12752</v>
      </c>
      <c r="D172" s="23">
        <f>IFERROR(__xludf.DUMMYFUNCTION("""COMPUTED_VALUE"""),1.12752)</f>
        <v>1.12752</v>
      </c>
      <c r="E172" s="25">
        <f>IFERROR(__xludf.DUMMYFUNCTION("""COMPUTED_VALUE"""),1.0)</f>
        <v>1</v>
      </c>
      <c r="F172" s="2" t="str">
        <f>IFERROR(__xludf.DUMMYFUNCTION("""COMPUTED_VALUE"""),"")</f>
        <v/>
      </c>
      <c r="G172" s="27" t="str">
        <f>IFERROR(__xludf.DUMMYFUNCTION("""COMPUTED_VALUE"""),"")</f>
        <v/>
      </c>
      <c r="H172" s="23" t="str">
        <f>IFERROR(__xludf.DUMMYFUNCTION("""COMPUTED_VALUE"""),"")</f>
        <v/>
      </c>
      <c r="I172" s="2" t="str">
        <f>IFERROR(__xludf.DUMMYFUNCTION("""COMPUTED_VALUE"""),"Ф65 AL 2017 Italy")</f>
        <v>Ф65 AL 2017 Italy</v>
      </c>
      <c r="J172" s="27">
        <f>IFERROR(__xludf.DUMMYFUNCTION("""COMPUTED_VALUE"""),0.087)</f>
        <v>0.087</v>
      </c>
      <c r="K172" s="23">
        <f>IFERROR(__xludf.DUMMYFUNCTION("""COMPUTED_VALUE"""),1.12752)</f>
        <v>1.12752</v>
      </c>
      <c r="L172" s="2" t="str">
        <f>IFERROR(__xludf.DUMMYFUNCTION("""COMPUTED_VALUE"""),"")</f>
        <v/>
      </c>
      <c r="M172" s="27" t="str">
        <f>IFERROR(__xludf.DUMMYFUNCTION("""COMPUTED_VALUE"""),"")</f>
        <v/>
      </c>
      <c r="N172" s="23" t="str">
        <f>IFERROR(__xludf.DUMMYFUNCTION("""COMPUTED_VALUE"""),"")</f>
        <v/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0" t="str">
        <f>IFERROR(__xludf.DUMMYFUNCTION("""COMPUTED_VALUE"""),"22126700L")</f>
        <v>22126700L</v>
      </c>
      <c r="B173" s="22" t="str">
        <f>IFERROR(__xludf.DUMMYFUNCTION("""COMPUTED_VALUE"""),"H25/DC25 Flange Nose Aluminum")</f>
        <v>H25/DC25 Flange Nose Aluminum</v>
      </c>
      <c r="C173" s="23">
        <f>IFERROR(__xludf.DUMMYFUNCTION("""COMPUTED_VALUE"""),0.11900000000000001)</f>
        <v>0.119</v>
      </c>
      <c r="D173" s="23">
        <f>IFERROR(__xludf.DUMMYFUNCTION("""COMPUTED_VALUE"""),0.11900000000000001)</f>
        <v>0.119</v>
      </c>
      <c r="E173" s="25">
        <f>IFERROR(__xludf.DUMMYFUNCTION("""COMPUTED_VALUE"""),1.0)</f>
        <v>1</v>
      </c>
      <c r="F173" s="2" t="str">
        <f>IFERROR(__xludf.DUMMYFUNCTION("""COMPUTED_VALUE"""),"")</f>
        <v/>
      </c>
      <c r="G173" s="27" t="str">
        <f>IFERROR(__xludf.DUMMYFUNCTION("""COMPUTED_VALUE"""),"")</f>
        <v/>
      </c>
      <c r="H173" s="23" t="str">
        <f>IFERROR(__xludf.DUMMYFUNCTION("""COMPUTED_VALUE"""),"")</f>
        <v/>
      </c>
      <c r="I173" s="2" t="str">
        <f>IFERROR(__xludf.DUMMYFUNCTION("""COMPUTED_VALUE"""),"AL USA (pc.)")</f>
        <v>AL USA (pc.)</v>
      </c>
      <c r="J173" s="27">
        <f>IFERROR(__xludf.DUMMYFUNCTION("""COMPUTED_VALUE"""),0.07)</f>
        <v>0.07</v>
      </c>
      <c r="K173" s="23">
        <f>IFERROR(__xludf.DUMMYFUNCTION("""COMPUTED_VALUE"""),0.11900000000000001)</f>
        <v>0.119</v>
      </c>
      <c r="L173" s="2" t="str">
        <f>IFERROR(__xludf.DUMMYFUNCTION("""COMPUTED_VALUE"""),"")</f>
        <v/>
      </c>
      <c r="M173" s="27" t="str">
        <f>IFERROR(__xludf.DUMMYFUNCTION("""COMPUTED_VALUE"""),"")</f>
        <v/>
      </c>
      <c r="N173" s="23" t="str">
        <f>IFERROR(__xludf.DUMMYFUNCTION("""COMPUTED_VALUE"""),"")</f>
        <v/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0" t="str">
        <f>IFERROR(__xludf.DUMMYFUNCTION("""COMPUTED_VALUE"""),"22126701M")</f>
        <v>22126701M</v>
      </c>
      <c r="B174" s="22" t="str">
        <f>IFERROR(__xludf.DUMMYFUNCTION("""COMPUTED_VALUE"""),"DC-25 Flange Nose W/ 1/4-20 TAPPED MOUNTING")</f>
        <v>DC-25 Flange Nose W/ 1/4-20 TAPPED MOUNTING</v>
      </c>
      <c r="C174" s="23">
        <f>IFERROR(__xludf.DUMMYFUNCTION("""COMPUTED_VALUE"""),0.11220000000000001)</f>
        <v>0.1122</v>
      </c>
      <c r="D174" s="23">
        <f>IFERROR(__xludf.DUMMYFUNCTION("""COMPUTED_VALUE"""),0.11220000000000001)</f>
        <v>0.1122</v>
      </c>
      <c r="E174" s="25">
        <f>IFERROR(__xludf.DUMMYFUNCTION("""COMPUTED_VALUE"""),1.0)</f>
        <v>1</v>
      </c>
      <c r="F174" s="2" t="str">
        <f>IFERROR(__xludf.DUMMYFUNCTION("""COMPUTED_VALUE"""),"")</f>
        <v/>
      </c>
      <c r="G174" s="27" t="str">
        <f>IFERROR(__xludf.DUMMYFUNCTION("""COMPUTED_VALUE"""),"")</f>
        <v/>
      </c>
      <c r="H174" s="23" t="str">
        <f>IFERROR(__xludf.DUMMYFUNCTION("""COMPUTED_VALUE"""),"")</f>
        <v/>
      </c>
      <c r="I174" s="2" t="str">
        <f>IFERROR(__xludf.DUMMYFUNCTION("""COMPUTED_VALUE"""),"AL USA (pc.)")</f>
        <v>AL USA (pc.)</v>
      </c>
      <c r="J174" s="27">
        <f>IFERROR(__xludf.DUMMYFUNCTION("""COMPUTED_VALUE"""),0.066)</f>
        <v>0.066</v>
      </c>
      <c r="K174" s="23">
        <f>IFERROR(__xludf.DUMMYFUNCTION("""COMPUTED_VALUE"""),0.11220000000000001)</f>
        <v>0.1122</v>
      </c>
      <c r="L174" s="2" t="str">
        <f>IFERROR(__xludf.DUMMYFUNCTION("""COMPUTED_VALUE"""),"")</f>
        <v/>
      </c>
      <c r="M174" s="27" t="str">
        <f>IFERROR(__xludf.DUMMYFUNCTION("""COMPUTED_VALUE"""),"")</f>
        <v/>
      </c>
      <c r="N174" s="23" t="str">
        <f>IFERROR(__xludf.DUMMYFUNCTION("""COMPUTED_VALUE"""),"")</f>
        <v/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2" t="str">
        <f>IFERROR(__xludf.DUMMYFUNCTION("""COMPUTED_VALUE"""),"22130000B")</f>
        <v>22130000B</v>
      </c>
      <c r="B175" s="22" t="str">
        <f>IFERROR(__xludf.DUMMYFUNCTION("""COMPUTED_VALUE"""),"H25 &amp; DC25 Shft Mod. for 3mm Key Way- NEW SHAFT STYLE")</f>
        <v>H25 &amp; DC25 Shft Mod. for 3mm Key Way- NEW SHAFT STYLE</v>
      </c>
      <c r="C175" s="23">
        <f>IFERROR(__xludf.DUMMYFUNCTION("""COMPUTED_VALUE"""),0.0)</f>
        <v>0</v>
      </c>
      <c r="D175" s="2" t="str">
        <f>IFERROR(__xludf.DUMMYFUNCTION("""COMPUTED_VALUE"""),"")</f>
        <v/>
      </c>
      <c r="E175" s="25" t="str">
        <f>IFERROR(__xludf.DUMMYFUNCTION("""COMPUTED_VALUE"""),"")</f>
        <v/>
      </c>
      <c r="F175" s="2" t="str">
        <f>IFERROR(__xludf.DUMMYFUNCTION("""COMPUTED_VALUE"""),"")</f>
        <v/>
      </c>
      <c r="G175" s="27" t="str">
        <f>IFERROR(__xludf.DUMMYFUNCTION("""COMPUTED_VALUE"""),"")</f>
        <v/>
      </c>
      <c r="H175" s="23" t="str">
        <f>IFERROR(__xludf.DUMMYFUNCTION("""COMPUTED_VALUE"""),"")</f>
        <v/>
      </c>
      <c r="I175" s="2" t="str">
        <f>IFERROR(__xludf.DUMMYFUNCTION("""COMPUTED_VALUE"""),"")</f>
        <v/>
      </c>
      <c r="J175" s="27" t="str">
        <f>IFERROR(__xludf.DUMMYFUNCTION("""COMPUTED_VALUE"""),"")</f>
        <v/>
      </c>
      <c r="K175" s="23" t="str">
        <f>IFERROR(__xludf.DUMMYFUNCTION("""COMPUTED_VALUE"""),"")</f>
        <v/>
      </c>
      <c r="L175" s="2" t="str">
        <f>IFERROR(__xludf.DUMMYFUNCTION("""COMPUTED_VALUE"""),"")</f>
        <v/>
      </c>
      <c r="M175" s="27" t="str">
        <f>IFERROR(__xludf.DUMMYFUNCTION("""COMPUTED_VALUE"""),"")</f>
        <v/>
      </c>
      <c r="N175" s="23" t="str">
        <f>IFERROR(__xludf.DUMMYFUNCTION("""COMPUTED_VALUE"""),"")</f>
        <v/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0" t="str">
        <f>IFERROR(__xludf.DUMMYFUNCTION("""COMPUTED_VALUE"""),"22133200A")</f>
        <v>22133200A</v>
      </c>
      <c r="B176" s="22" t="str">
        <f>IFERROR(__xludf.DUMMYFUNCTION("""COMPUTED_VALUE"""),"DC25 Flange For H20 Seal used in 575-92014")</f>
        <v>DC25 Flange For H20 Seal used in 575-92014</v>
      </c>
      <c r="C176" s="23">
        <f>IFERROR(__xludf.DUMMYFUNCTION("""COMPUTED_VALUE"""),0.68688)</f>
        <v>0.68688</v>
      </c>
      <c r="D176" s="23">
        <f>IFERROR(__xludf.DUMMYFUNCTION("""COMPUTED_VALUE"""),0.68688)</f>
        <v>0.68688</v>
      </c>
      <c r="E176" s="25">
        <f>IFERROR(__xludf.DUMMYFUNCTION("""COMPUTED_VALUE"""),1.0)</f>
        <v>1</v>
      </c>
      <c r="F176" s="2" t="str">
        <f>IFERROR(__xludf.DUMMYFUNCTION("""COMPUTED_VALUE"""),"")</f>
        <v/>
      </c>
      <c r="G176" s="27" t="str">
        <f>IFERROR(__xludf.DUMMYFUNCTION("""COMPUTED_VALUE"""),"")</f>
        <v/>
      </c>
      <c r="H176" s="23" t="str">
        <f>IFERROR(__xludf.DUMMYFUNCTION("""COMPUTED_VALUE"""),"")</f>
        <v/>
      </c>
      <c r="I176" s="2" t="str">
        <f>IFERROR(__xludf.DUMMYFUNCTION("""COMPUTED_VALUE"""),"Ф65 AL 2017 Italy")</f>
        <v>Ф65 AL 2017 Italy</v>
      </c>
      <c r="J176" s="27">
        <f>IFERROR(__xludf.DUMMYFUNCTION("""COMPUTED_VALUE"""),0.053)</f>
        <v>0.053</v>
      </c>
      <c r="K176" s="23">
        <f>IFERROR(__xludf.DUMMYFUNCTION("""COMPUTED_VALUE"""),0.68688)</f>
        <v>0.68688</v>
      </c>
      <c r="L176" s="2" t="str">
        <f>IFERROR(__xludf.DUMMYFUNCTION("""COMPUTED_VALUE"""),"")</f>
        <v/>
      </c>
      <c r="M176" s="27" t="str">
        <f>IFERROR(__xludf.DUMMYFUNCTION("""COMPUTED_VALUE"""),"")</f>
        <v/>
      </c>
      <c r="N176" s="23" t="str">
        <f>IFERROR(__xludf.DUMMYFUNCTION("""COMPUTED_VALUE"""),"")</f>
        <v/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2">
        <f>IFERROR(__xludf.DUMMYFUNCTION("""COMPUTED_VALUE"""),2.21344E8)</f>
        <v>221344000</v>
      </c>
      <c r="B177" s="22" t="str">
        <f>IFERROR(__xludf.DUMMYFUNCTION("""COMPUTED_VALUE"""),"DC25 Servo Nose For H20 Seal DO NOT RE-ORDER")</f>
        <v>DC25 Servo Nose For H20 Seal DO NOT RE-ORDER</v>
      </c>
      <c r="C177" s="23">
        <f>IFERROR(__xludf.DUMMYFUNCTION("""COMPUTED_VALUE"""),0.0)</f>
        <v>0</v>
      </c>
      <c r="D177" s="2" t="str">
        <f>IFERROR(__xludf.DUMMYFUNCTION("""COMPUTED_VALUE"""),"")</f>
        <v/>
      </c>
      <c r="E177" s="25" t="str">
        <f>IFERROR(__xludf.DUMMYFUNCTION("""COMPUTED_VALUE"""),"")</f>
        <v/>
      </c>
      <c r="F177" s="2" t="str">
        <f>IFERROR(__xludf.DUMMYFUNCTION("""COMPUTED_VALUE"""),"")</f>
        <v/>
      </c>
      <c r="G177" s="27" t="str">
        <f>IFERROR(__xludf.DUMMYFUNCTION("""COMPUTED_VALUE"""),"")</f>
        <v/>
      </c>
      <c r="H177" s="23" t="str">
        <f>IFERROR(__xludf.DUMMYFUNCTION("""COMPUTED_VALUE"""),"")</f>
        <v/>
      </c>
      <c r="I177" s="2" t="str">
        <f>IFERROR(__xludf.DUMMYFUNCTION("""COMPUTED_VALUE"""),"Ф65 AL 2017 Italy")</f>
        <v>Ф65 AL 2017 Italy</v>
      </c>
      <c r="J177" s="27">
        <f>IFERROR(__xludf.DUMMYFUNCTION("""COMPUTED_VALUE"""),0.0)</f>
        <v>0</v>
      </c>
      <c r="K177" s="23">
        <f>IFERROR(__xludf.DUMMYFUNCTION("""COMPUTED_VALUE"""),0.0)</f>
        <v>0</v>
      </c>
      <c r="L177" s="2" t="str">
        <f>IFERROR(__xludf.DUMMYFUNCTION("""COMPUTED_VALUE"""),"")</f>
        <v/>
      </c>
      <c r="M177" s="27" t="str">
        <f>IFERROR(__xludf.DUMMYFUNCTION("""COMPUTED_VALUE"""),"")</f>
        <v/>
      </c>
      <c r="N177" s="23" t="str">
        <f>IFERROR(__xludf.DUMMYFUNCTION("""COMPUTED_VALUE"""),"")</f>
        <v/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0" t="str">
        <f>IFERROR(__xludf.DUMMYFUNCTION("""COMPUTED_VALUE"""),"22139300C")</f>
        <v>22139300C</v>
      </c>
      <c r="B178" s="22" t="str">
        <f>IFERROR(__xludf.DUMMYFUNCTION("""COMPUTED_VALUE"""),"ME15 ENCODER HOUSING BODY Made by AMCI-AD")</f>
        <v>ME15 ENCODER HOUSING BODY Made by AMCI-AD</v>
      </c>
      <c r="C178" s="23">
        <f>IFERROR(__xludf.DUMMYFUNCTION("""COMPUTED_VALUE"""),0.0)</f>
        <v>0</v>
      </c>
      <c r="D178" s="2" t="str">
        <f>IFERROR(__xludf.DUMMYFUNCTION("""COMPUTED_VALUE"""),"")</f>
        <v/>
      </c>
      <c r="E178" s="25" t="str">
        <f>IFERROR(__xludf.DUMMYFUNCTION("""COMPUTED_VALUE"""),"")</f>
        <v/>
      </c>
      <c r="F178" s="2"/>
      <c r="G178" s="2" t="str">
        <f>IFERROR(__xludf.DUMMYFUNCTION("""COMPUTED_VALUE"""),"")</f>
        <v/>
      </c>
      <c r="H178" s="23" t="str">
        <f>IFERROR(__xludf.DUMMYFUNCTION("""COMPUTED_VALUE"""),"")</f>
        <v/>
      </c>
      <c r="I178" s="2" t="str">
        <f>IFERROR(__xludf.DUMMYFUNCTION("""COMPUTED_VALUE"""),"")</f>
        <v/>
      </c>
      <c r="J178" s="27" t="str">
        <f>IFERROR(__xludf.DUMMYFUNCTION("""COMPUTED_VALUE"""),"")</f>
        <v/>
      </c>
      <c r="K178" s="23" t="str">
        <f>IFERROR(__xludf.DUMMYFUNCTION("""COMPUTED_VALUE"""),"")</f>
        <v/>
      </c>
      <c r="L178" s="2" t="str">
        <f>IFERROR(__xludf.DUMMYFUNCTION("""COMPUTED_VALUE"""),"")</f>
        <v/>
      </c>
      <c r="M178" s="27" t="str">
        <f>IFERROR(__xludf.DUMMYFUNCTION("""COMPUTED_VALUE"""),"")</f>
        <v/>
      </c>
      <c r="N178" s="23" t="str">
        <f>IFERROR(__xludf.DUMMYFUNCTION("""COMPUTED_VALUE"""),"")</f>
        <v/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2" t="str">
        <f>IFERROR(__xludf.DUMMYFUNCTION("""COMPUTED_VALUE"""),"22140701A")</f>
        <v>22140701A</v>
      </c>
      <c r="B179" s="22" t="str">
        <f>IFERROR(__xludf.DUMMYFUNCTION("""COMPUTED_VALUE"""),"H25 w/ zeroed shaft for HT-400x-L singleturn")</f>
        <v>H25 w/ zeroed shaft for HT-400x-L singleturn</v>
      </c>
      <c r="C179" s="23">
        <f>IFERROR(__xludf.DUMMYFUNCTION("""COMPUTED_VALUE"""),0.0)</f>
        <v>0</v>
      </c>
      <c r="D179" s="2" t="str">
        <f>IFERROR(__xludf.DUMMYFUNCTION("""COMPUTED_VALUE"""),"")</f>
        <v/>
      </c>
      <c r="E179" s="25" t="str">
        <f>IFERROR(__xludf.DUMMYFUNCTION("""COMPUTED_VALUE"""),"")</f>
        <v/>
      </c>
      <c r="F179" s="2" t="str">
        <f>IFERROR(__xludf.DUMMYFUNCTION("""COMPUTED_VALUE"""),"")</f>
        <v/>
      </c>
      <c r="G179" s="27" t="str">
        <f>IFERROR(__xludf.DUMMYFUNCTION("""COMPUTED_VALUE"""),"")</f>
        <v/>
      </c>
      <c r="H179" s="23" t="str">
        <f>IFERROR(__xludf.DUMMYFUNCTION("""COMPUTED_VALUE"""),"")</f>
        <v/>
      </c>
      <c r="I179" s="2" t="str">
        <f>IFERROR(__xludf.DUMMYFUNCTION("""COMPUTED_VALUE"""),"")</f>
        <v/>
      </c>
      <c r="J179" s="27" t="str">
        <f>IFERROR(__xludf.DUMMYFUNCTION("""COMPUTED_VALUE"""),"")</f>
        <v/>
      </c>
      <c r="K179" s="23" t="str">
        <f>IFERROR(__xludf.DUMMYFUNCTION("""COMPUTED_VALUE"""),"")</f>
        <v/>
      </c>
      <c r="L179" s="2" t="str">
        <f>IFERROR(__xludf.DUMMYFUNCTION("""COMPUTED_VALUE"""),"")</f>
        <v/>
      </c>
      <c r="M179" s="27" t="str">
        <f>IFERROR(__xludf.DUMMYFUNCTION("""COMPUTED_VALUE"""),"")</f>
        <v/>
      </c>
      <c r="N179" s="23" t="str">
        <f>IFERROR(__xludf.DUMMYFUNCTION("""COMPUTED_VALUE"""),"")</f>
        <v/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2" t="str">
        <f>IFERROR(__xludf.DUMMYFUNCTION("""COMPUTED_VALUE"""),"22140703A")</f>
        <v>22140703A</v>
      </c>
      <c r="B180" s="22" t="str">
        <f>IFERROR(__xludf.DUMMYFUNCTION("""COMPUTED_VALUE"""),"H25 special for HT-400-M1C-J with connector")</f>
        <v>H25 special for HT-400-M1C-J with connector</v>
      </c>
      <c r="C180" s="23">
        <f>IFERROR(__xludf.DUMMYFUNCTION("""COMPUTED_VALUE"""),0.0)</f>
        <v>0</v>
      </c>
      <c r="D180" s="2" t="str">
        <f>IFERROR(__xludf.DUMMYFUNCTION("""COMPUTED_VALUE"""),"")</f>
        <v/>
      </c>
      <c r="E180" s="25" t="str">
        <f>IFERROR(__xludf.DUMMYFUNCTION("""COMPUTED_VALUE"""),"")</f>
        <v/>
      </c>
      <c r="F180" s="2" t="str">
        <f>IFERROR(__xludf.DUMMYFUNCTION("""COMPUTED_VALUE"""),"")</f>
        <v/>
      </c>
      <c r="G180" s="27" t="str">
        <f>IFERROR(__xludf.DUMMYFUNCTION("""COMPUTED_VALUE"""),"")</f>
        <v/>
      </c>
      <c r="H180" s="23" t="str">
        <f>IFERROR(__xludf.DUMMYFUNCTION("""COMPUTED_VALUE"""),"")</f>
        <v/>
      </c>
      <c r="I180" s="2" t="str">
        <f>IFERROR(__xludf.DUMMYFUNCTION("""COMPUTED_VALUE"""),"")</f>
        <v/>
      </c>
      <c r="J180" s="27" t="str">
        <f>IFERROR(__xludf.DUMMYFUNCTION("""COMPUTED_VALUE"""),"")</f>
        <v/>
      </c>
      <c r="K180" s="23" t="str">
        <f>IFERROR(__xludf.DUMMYFUNCTION("""COMPUTED_VALUE"""),"")</f>
        <v/>
      </c>
      <c r="L180" s="2" t="str">
        <f>IFERROR(__xludf.DUMMYFUNCTION("""COMPUTED_VALUE"""),"")</f>
        <v/>
      </c>
      <c r="M180" s="27" t="str">
        <f>IFERROR(__xludf.DUMMYFUNCTION("""COMPUTED_VALUE"""),"")</f>
        <v/>
      </c>
      <c r="N180" s="23" t="str">
        <f>IFERROR(__xludf.DUMMYFUNCTION("""COMPUTED_VALUE"""),"")</f>
        <v/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2" t="str">
        <f>IFERROR(__xludf.DUMMYFUNCTION("""COMPUTED_VALUE"""),"22142900A")</f>
        <v>22142900A</v>
      </c>
      <c r="B181" s="22" t="str">
        <f>IFERROR(__xludf.DUMMYFUNCTION("""COMPUTED_VALUE"""),"ME15 Blind hole enclosure body Aluminum 6061-T6")</f>
        <v>ME15 Blind hole enclosure body Aluminum 6061-T6</v>
      </c>
      <c r="C181" s="23">
        <f>IFERROR(__xludf.DUMMYFUNCTION("""COMPUTED_VALUE"""),0.0)</f>
        <v>0</v>
      </c>
      <c r="D181" s="2" t="str">
        <f>IFERROR(__xludf.DUMMYFUNCTION("""COMPUTED_VALUE"""),"")</f>
        <v/>
      </c>
      <c r="E181" s="25" t="str">
        <f>IFERROR(__xludf.DUMMYFUNCTION("""COMPUTED_VALUE"""),"")</f>
        <v/>
      </c>
      <c r="F181" s="2" t="str">
        <f>IFERROR(__xludf.DUMMYFUNCTION("""COMPUTED_VALUE"""),"")</f>
        <v/>
      </c>
      <c r="G181" s="27" t="str">
        <f>IFERROR(__xludf.DUMMYFUNCTION("""COMPUTED_VALUE"""),"")</f>
        <v/>
      </c>
      <c r="H181" s="23" t="str">
        <f>IFERROR(__xludf.DUMMYFUNCTION("""COMPUTED_VALUE"""),"")</f>
        <v/>
      </c>
      <c r="I181" s="2" t="str">
        <f>IFERROR(__xludf.DUMMYFUNCTION("""COMPUTED_VALUE"""),"")</f>
        <v/>
      </c>
      <c r="J181" s="27" t="str">
        <f>IFERROR(__xludf.DUMMYFUNCTION("""COMPUTED_VALUE"""),"")</f>
        <v/>
      </c>
      <c r="K181" s="23" t="str">
        <f>IFERROR(__xludf.DUMMYFUNCTION("""COMPUTED_VALUE"""),"")</f>
        <v/>
      </c>
      <c r="L181" s="2" t="str">
        <f>IFERROR(__xludf.DUMMYFUNCTION("""COMPUTED_VALUE"""),"")</f>
        <v/>
      </c>
      <c r="M181" s="27" t="str">
        <f>IFERROR(__xludf.DUMMYFUNCTION("""COMPUTED_VALUE"""),"")</f>
        <v/>
      </c>
      <c r="N181" s="23" t="str">
        <f>IFERROR(__xludf.DUMMYFUNCTION("""COMPUTED_VALUE"""),"")</f>
        <v/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2" t="str">
        <f>IFERROR(__xludf.DUMMYFUNCTION("""COMPUTED_VALUE"""),"22142900B")</f>
        <v>22142900B</v>
      </c>
      <c r="B182" s="22" t="str">
        <f>IFERROR(__xludf.DUMMYFUNCTION("""COMPUTED_VALUE"""),"ME15 Blind hole enclosure body  Aluminum 6061-T6")</f>
        <v>ME15 Blind hole enclosure body  Aluminum 6061-T6</v>
      </c>
      <c r="C182" s="23">
        <f>IFERROR(__xludf.DUMMYFUNCTION("""COMPUTED_VALUE"""),0.0)</f>
        <v>0</v>
      </c>
      <c r="D182" s="2" t="str">
        <f>IFERROR(__xludf.DUMMYFUNCTION("""COMPUTED_VALUE"""),"")</f>
        <v/>
      </c>
      <c r="E182" s="25" t="str">
        <f>IFERROR(__xludf.DUMMYFUNCTION("""COMPUTED_VALUE"""),"")</f>
        <v/>
      </c>
      <c r="F182" s="2" t="str">
        <f>IFERROR(__xludf.DUMMYFUNCTION("""COMPUTED_VALUE"""),"")</f>
        <v/>
      </c>
      <c r="G182" s="27" t="str">
        <f>IFERROR(__xludf.DUMMYFUNCTION("""COMPUTED_VALUE"""),"")</f>
        <v/>
      </c>
      <c r="H182" s="23" t="str">
        <f>IFERROR(__xludf.DUMMYFUNCTION("""COMPUTED_VALUE"""),"")</f>
        <v/>
      </c>
      <c r="I182" s="2" t="str">
        <f>IFERROR(__xludf.DUMMYFUNCTION("""COMPUTED_VALUE"""),"")</f>
        <v/>
      </c>
      <c r="J182" s="27" t="str">
        <f>IFERROR(__xludf.DUMMYFUNCTION("""COMPUTED_VALUE"""),"")</f>
        <v/>
      </c>
      <c r="K182" s="23" t="str">
        <f>IFERROR(__xludf.DUMMYFUNCTION("""COMPUTED_VALUE"""),"")</f>
        <v/>
      </c>
      <c r="L182" s="2" t="str">
        <f>IFERROR(__xludf.DUMMYFUNCTION("""COMPUTED_VALUE"""),"")</f>
        <v/>
      </c>
      <c r="M182" s="27" t="str">
        <f>IFERROR(__xludf.DUMMYFUNCTION("""COMPUTED_VALUE"""),"")</f>
        <v/>
      </c>
      <c r="N182" s="23" t="str">
        <f>IFERROR(__xludf.DUMMYFUNCTION("""COMPUTED_VALUE"""),"")</f>
        <v/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2">
        <f>IFERROR(__xludf.DUMMYFUNCTION("""COMPUTED_VALUE"""),2.21436E8)</f>
        <v>221436000</v>
      </c>
      <c r="B183" s="22" t="str">
        <f>IFERROR(__xludf.DUMMYFUNCTION("""COMPUTED_VALUE"""),"NR25  Profibus r. cover Three side connectors")</f>
        <v>NR25  Profibus r. cover Three side connectors</v>
      </c>
      <c r="C183" s="23">
        <f>IFERROR(__xludf.DUMMYFUNCTION("""COMPUTED_VALUE"""),0.0)</f>
        <v>0</v>
      </c>
      <c r="D183" s="2" t="str">
        <f>IFERROR(__xludf.DUMMYFUNCTION("""COMPUTED_VALUE"""),"")</f>
        <v/>
      </c>
      <c r="E183" s="25" t="str">
        <f>IFERROR(__xludf.DUMMYFUNCTION("""COMPUTED_VALUE"""),"")</f>
        <v/>
      </c>
      <c r="F183" s="2" t="str">
        <f>IFERROR(__xludf.DUMMYFUNCTION("""COMPUTED_VALUE"""),"")</f>
        <v/>
      </c>
      <c r="G183" s="27" t="str">
        <f>IFERROR(__xludf.DUMMYFUNCTION("""COMPUTED_VALUE"""),"")</f>
        <v/>
      </c>
      <c r="H183" s="23" t="str">
        <f>IFERROR(__xludf.DUMMYFUNCTION("""COMPUTED_VALUE"""),"")</f>
        <v/>
      </c>
      <c r="I183" s="2" t="str">
        <f>IFERROR(__xludf.DUMMYFUNCTION("""COMPUTED_VALUE"""),"")</f>
        <v/>
      </c>
      <c r="J183" s="27" t="str">
        <f>IFERROR(__xludf.DUMMYFUNCTION("""COMPUTED_VALUE"""),"")</f>
        <v/>
      </c>
      <c r="K183" s="23" t="str">
        <f>IFERROR(__xludf.DUMMYFUNCTION("""COMPUTED_VALUE"""),"")</f>
        <v/>
      </c>
      <c r="L183" s="2" t="str">
        <f>IFERROR(__xludf.DUMMYFUNCTION("""COMPUTED_VALUE"""),"")</f>
        <v/>
      </c>
      <c r="M183" s="27" t="str">
        <f>IFERROR(__xludf.DUMMYFUNCTION("""COMPUTED_VALUE"""),"")</f>
        <v/>
      </c>
      <c r="N183" s="23" t="str">
        <f>IFERROR(__xludf.DUMMYFUNCTION("""COMPUTED_VALUE"""),"")</f>
        <v/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2" t="str">
        <f>IFERROR(__xludf.DUMMYFUNCTION("""COMPUTED_VALUE"""),"22903700A")</f>
        <v>22903700A</v>
      </c>
      <c r="B184" s="22" t="str">
        <f>IFERROR(__xludf.DUMMYFUNCTION("""COMPUTED_VALUE"""),"SD17063 Transformer ")</f>
        <v>SD17063 Transformer </v>
      </c>
      <c r="C184" s="23">
        <f>IFERROR(__xludf.DUMMYFUNCTION("""COMPUTED_VALUE"""),0.0)</f>
        <v>0</v>
      </c>
      <c r="D184" s="2" t="str">
        <f>IFERROR(__xludf.DUMMYFUNCTION("""COMPUTED_VALUE"""),"")</f>
        <v/>
      </c>
      <c r="E184" s="25" t="str">
        <f>IFERROR(__xludf.DUMMYFUNCTION("""COMPUTED_VALUE"""),"")</f>
        <v/>
      </c>
      <c r="F184" s="2" t="str">
        <f>IFERROR(__xludf.DUMMYFUNCTION("""COMPUTED_VALUE"""),"")</f>
        <v/>
      </c>
      <c r="G184" s="27" t="str">
        <f>IFERROR(__xludf.DUMMYFUNCTION("""COMPUTED_VALUE"""),"")</f>
        <v/>
      </c>
      <c r="H184" s="23" t="str">
        <f>IFERROR(__xludf.DUMMYFUNCTION("""COMPUTED_VALUE"""),"")</f>
        <v/>
      </c>
      <c r="I184" s="2" t="str">
        <f>IFERROR(__xludf.DUMMYFUNCTION("""COMPUTED_VALUE"""),"")</f>
        <v/>
      </c>
      <c r="J184" s="27" t="str">
        <f>IFERROR(__xludf.DUMMYFUNCTION("""COMPUTED_VALUE"""),"")</f>
        <v/>
      </c>
      <c r="K184" s="23" t="str">
        <f>IFERROR(__xludf.DUMMYFUNCTION("""COMPUTED_VALUE"""),"")</f>
        <v/>
      </c>
      <c r="L184" s="2" t="str">
        <f>IFERROR(__xludf.DUMMYFUNCTION("""COMPUTED_VALUE"""),"")</f>
        <v/>
      </c>
      <c r="M184" s="27" t="str">
        <f>IFERROR(__xludf.DUMMYFUNCTION("""COMPUTED_VALUE"""),"")</f>
        <v/>
      </c>
      <c r="N184" s="23" t="str">
        <f>IFERROR(__xludf.DUMMYFUNCTION("""COMPUTED_VALUE"""),"")</f>
        <v/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2">
        <f>IFERROR(__xludf.DUMMYFUNCTION("""COMPUTED_VALUE"""),2.2915701E8)</f>
        <v>229157010</v>
      </c>
      <c r="B185" s="22" t="str">
        <f>IFERROR(__xludf.DUMMYFUNCTION("""COMPUTED_VALUE"""),"MS-16 Conn W/ 4.5 "" ")</f>
        <v>MS-16 Conn W/ 4.5 " </v>
      </c>
      <c r="C185" s="23">
        <f>IFERROR(__xludf.DUMMYFUNCTION("""COMPUTED_VALUE"""),0.0)</f>
        <v>0</v>
      </c>
      <c r="D185" s="2" t="str">
        <f>IFERROR(__xludf.DUMMYFUNCTION("""COMPUTED_VALUE"""),"")</f>
        <v/>
      </c>
      <c r="E185" s="25" t="str">
        <f>IFERROR(__xludf.DUMMYFUNCTION("""COMPUTED_VALUE"""),"")</f>
        <v/>
      </c>
      <c r="F185" s="2" t="str">
        <f>IFERROR(__xludf.DUMMYFUNCTION("""COMPUTED_VALUE"""),"")</f>
        <v/>
      </c>
      <c r="G185" s="27" t="str">
        <f>IFERROR(__xludf.DUMMYFUNCTION("""COMPUTED_VALUE"""),"")</f>
        <v/>
      </c>
      <c r="H185" s="23" t="str">
        <f>IFERROR(__xludf.DUMMYFUNCTION("""COMPUTED_VALUE"""),"")</f>
        <v/>
      </c>
      <c r="I185" s="2" t="str">
        <f>IFERROR(__xludf.DUMMYFUNCTION("""COMPUTED_VALUE"""),"")</f>
        <v/>
      </c>
      <c r="J185" s="27" t="str">
        <f>IFERROR(__xludf.DUMMYFUNCTION("""COMPUTED_VALUE"""),"")</f>
        <v/>
      </c>
      <c r="K185" s="23" t="str">
        <f>IFERROR(__xludf.DUMMYFUNCTION("""COMPUTED_VALUE"""),"")</f>
        <v/>
      </c>
      <c r="L185" s="2" t="str">
        <f>IFERROR(__xludf.DUMMYFUNCTION("""COMPUTED_VALUE"""),"")</f>
        <v/>
      </c>
      <c r="M185" s="27" t="str">
        <f>IFERROR(__xludf.DUMMYFUNCTION("""COMPUTED_VALUE"""),"")</f>
        <v/>
      </c>
      <c r="N185" s="23" t="str">
        <f>IFERROR(__xludf.DUMMYFUNCTION("""COMPUTED_VALUE"""),"")</f>
        <v/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2">
        <f>IFERROR(__xludf.DUMMYFUNCTION("""COMPUTED_VALUE"""),2.2915801E8)</f>
        <v>229158010</v>
      </c>
      <c r="B186" s="22" t="str">
        <f>IFERROR(__xludf.DUMMYFUNCTION("""COMPUTED_VALUE"""),"MSD-10 Conn W/ 4.5 "" wires ")</f>
        <v>MSD-10 Conn W/ 4.5 " wires </v>
      </c>
      <c r="C186" s="23">
        <f>IFERROR(__xludf.DUMMYFUNCTION("""COMPUTED_VALUE"""),0.0)</f>
        <v>0</v>
      </c>
      <c r="D186" s="2" t="str">
        <f>IFERROR(__xludf.DUMMYFUNCTION("""COMPUTED_VALUE"""),"")</f>
        <v/>
      </c>
      <c r="E186" s="25" t="str">
        <f>IFERROR(__xludf.DUMMYFUNCTION("""COMPUTED_VALUE"""),"")</f>
        <v/>
      </c>
      <c r="F186" s="2" t="str">
        <f>IFERROR(__xludf.DUMMYFUNCTION("""COMPUTED_VALUE"""),"")</f>
        <v/>
      </c>
      <c r="G186" s="27" t="str">
        <f>IFERROR(__xludf.DUMMYFUNCTION("""COMPUTED_VALUE"""),"")</f>
        <v/>
      </c>
      <c r="H186" s="23" t="str">
        <f>IFERROR(__xludf.DUMMYFUNCTION("""COMPUTED_VALUE"""),"")</f>
        <v/>
      </c>
      <c r="I186" s="2" t="str">
        <f>IFERROR(__xludf.DUMMYFUNCTION("""COMPUTED_VALUE"""),"")</f>
        <v/>
      </c>
      <c r="J186" s="27" t="str">
        <f>IFERROR(__xludf.DUMMYFUNCTION("""COMPUTED_VALUE"""),"")</f>
        <v/>
      </c>
      <c r="K186" s="23" t="str">
        <f>IFERROR(__xludf.DUMMYFUNCTION("""COMPUTED_VALUE"""),"")</f>
        <v/>
      </c>
      <c r="L186" s="2" t="str">
        <f>IFERROR(__xludf.DUMMYFUNCTION("""COMPUTED_VALUE"""),"")</f>
        <v/>
      </c>
      <c r="M186" s="27" t="str">
        <f>IFERROR(__xludf.DUMMYFUNCTION("""COMPUTED_VALUE"""),"")</f>
        <v/>
      </c>
      <c r="N186" s="23" t="str">
        <f>IFERROR(__xludf.DUMMYFUNCTION("""COMPUTED_VALUE"""),"")</f>
        <v/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2">
        <f>IFERROR(__xludf.DUMMYFUNCTION("""COMPUTED_VALUE"""),2.2915805E8)</f>
        <v>229158050</v>
      </c>
      <c r="B187" s="22" t="str">
        <f>IFERROR(__xludf.DUMMYFUNCTION("""COMPUTED_VALUE"""),"MSD-10 Conn W/ 4.5 "" WIRES &amp; DIODE")</f>
        <v>MSD-10 Conn W/ 4.5 " WIRES &amp; DIODE</v>
      </c>
      <c r="C187" s="23">
        <f>IFERROR(__xludf.DUMMYFUNCTION("""COMPUTED_VALUE"""),0.0)</f>
        <v>0</v>
      </c>
      <c r="D187" s="2" t="str">
        <f>IFERROR(__xludf.DUMMYFUNCTION("""COMPUTED_VALUE"""),"")</f>
        <v/>
      </c>
      <c r="E187" s="25" t="str">
        <f>IFERROR(__xludf.DUMMYFUNCTION("""COMPUTED_VALUE"""),"")</f>
        <v/>
      </c>
      <c r="F187" s="2" t="str">
        <f>IFERROR(__xludf.DUMMYFUNCTION("""COMPUTED_VALUE"""),"")</f>
        <v/>
      </c>
      <c r="G187" s="27" t="str">
        <f>IFERROR(__xludf.DUMMYFUNCTION("""COMPUTED_VALUE"""),"")</f>
        <v/>
      </c>
      <c r="H187" s="23" t="str">
        <f>IFERROR(__xludf.DUMMYFUNCTION("""COMPUTED_VALUE"""),"")</f>
        <v/>
      </c>
      <c r="I187" s="2" t="str">
        <f>IFERROR(__xludf.DUMMYFUNCTION("""COMPUTED_VALUE"""),"")</f>
        <v/>
      </c>
      <c r="J187" s="27" t="str">
        <f>IFERROR(__xludf.DUMMYFUNCTION("""COMPUTED_VALUE"""),"")</f>
        <v/>
      </c>
      <c r="K187" s="23" t="str">
        <f>IFERROR(__xludf.DUMMYFUNCTION("""COMPUTED_VALUE"""),"")</f>
        <v/>
      </c>
      <c r="L187" s="2" t="str">
        <f>IFERROR(__xludf.DUMMYFUNCTION("""COMPUTED_VALUE"""),"")</f>
        <v/>
      </c>
      <c r="M187" s="27" t="str">
        <f>IFERROR(__xludf.DUMMYFUNCTION("""COMPUTED_VALUE"""),"")</f>
        <v/>
      </c>
      <c r="N187" s="23" t="str">
        <f>IFERROR(__xludf.DUMMYFUNCTION("""COMPUTED_VALUE"""),"")</f>
        <v/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2" t="str">
        <f>IFERROR(__xludf.DUMMYFUNCTION("""COMPUTED_VALUE"""),"414-92000")</f>
        <v>414-92000</v>
      </c>
      <c r="B188" s="22" t="str">
        <f>IFERROR(__xludf.DUMMYFUNCTION("""COMPUTED_VALUE"""),"Ethernet Processor ")</f>
        <v>Ethernet Processor </v>
      </c>
      <c r="C188" s="23">
        <f>IFERROR(__xludf.DUMMYFUNCTION("""COMPUTED_VALUE"""),0.0)</f>
        <v>0</v>
      </c>
      <c r="D188" s="2" t="str">
        <f>IFERROR(__xludf.DUMMYFUNCTION("""COMPUTED_VALUE"""),"")</f>
        <v/>
      </c>
      <c r="E188" s="25" t="str">
        <f>IFERROR(__xludf.DUMMYFUNCTION("""COMPUTED_VALUE"""),"")</f>
        <v/>
      </c>
      <c r="F188" s="2" t="str">
        <f>IFERROR(__xludf.DUMMYFUNCTION("""COMPUTED_VALUE"""),"")</f>
        <v/>
      </c>
      <c r="G188" s="27" t="str">
        <f>IFERROR(__xludf.DUMMYFUNCTION("""COMPUTED_VALUE"""),"")</f>
        <v/>
      </c>
      <c r="H188" s="23" t="str">
        <f>IFERROR(__xludf.DUMMYFUNCTION("""COMPUTED_VALUE"""),"")</f>
        <v/>
      </c>
      <c r="I188" s="2" t="str">
        <f>IFERROR(__xludf.DUMMYFUNCTION("""COMPUTED_VALUE"""),"")</f>
        <v/>
      </c>
      <c r="J188" s="27" t="str">
        <f>IFERROR(__xludf.DUMMYFUNCTION("""COMPUTED_VALUE"""),"")</f>
        <v/>
      </c>
      <c r="K188" s="23" t="str">
        <f>IFERROR(__xludf.DUMMYFUNCTION("""COMPUTED_VALUE"""),"")</f>
        <v/>
      </c>
      <c r="L188" s="2" t="str">
        <f>IFERROR(__xludf.DUMMYFUNCTION("""COMPUTED_VALUE"""),"")</f>
        <v/>
      </c>
      <c r="M188" s="27" t="str">
        <f>IFERROR(__xludf.DUMMYFUNCTION("""COMPUTED_VALUE"""),"")</f>
        <v/>
      </c>
      <c r="N188" s="23" t="str">
        <f>IFERROR(__xludf.DUMMYFUNCTION("""COMPUTED_VALUE"""),"")</f>
        <v/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2" t="str">
        <f>IFERROR(__xludf.DUMMYFUNCTION("""COMPUTED_VALUE"""),"551-90001")</f>
        <v>551-90001</v>
      </c>
      <c r="B189" s="22" t="str">
        <f>IFERROR(__xludf.DUMMYFUNCTION("""COMPUTED_VALUE"""),"Transformer Input 42700 Sine/Cosine")</f>
        <v>Transformer Input 42700 Sine/Cosine</v>
      </c>
      <c r="C189" s="23">
        <f>IFERROR(__xludf.DUMMYFUNCTION("""COMPUTED_VALUE"""),0.0)</f>
        <v>0</v>
      </c>
      <c r="D189" s="2" t="str">
        <f>IFERROR(__xludf.DUMMYFUNCTION("""COMPUTED_VALUE"""),"")</f>
        <v/>
      </c>
      <c r="E189" s="25" t="str">
        <f>IFERROR(__xludf.DUMMYFUNCTION("""COMPUTED_VALUE"""),"")</f>
        <v/>
      </c>
      <c r="F189" s="2" t="str">
        <f>IFERROR(__xludf.DUMMYFUNCTION("""COMPUTED_VALUE"""),"")</f>
        <v/>
      </c>
      <c r="G189" s="27" t="str">
        <f>IFERROR(__xludf.DUMMYFUNCTION("""COMPUTED_VALUE"""),"")</f>
        <v/>
      </c>
      <c r="H189" s="23" t="str">
        <f>IFERROR(__xludf.DUMMYFUNCTION("""COMPUTED_VALUE"""),"")</f>
        <v/>
      </c>
      <c r="I189" s="2" t="str">
        <f>IFERROR(__xludf.DUMMYFUNCTION("""COMPUTED_VALUE"""),"")</f>
        <v/>
      </c>
      <c r="J189" s="27" t="str">
        <f>IFERROR(__xludf.DUMMYFUNCTION("""COMPUTED_VALUE"""),"")</f>
        <v/>
      </c>
      <c r="K189" s="23" t="str">
        <f>IFERROR(__xludf.DUMMYFUNCTION("""COMPUTED_VALUE"""),"")</f>
        <v/>
      </c>
      <c r="L189" s="2" t="str">
        <f>IFERROR(__xludf.DUMMYFUNCTION("""COMPUTED_VALUE"""),"")</f>
        <v/>
      </c>
      <c r="M189" s="27" t="str">
        <f>IFERROR(__xludf.DUMMYFUNCTION("""COMPUTED_VALUE"""),"")</f>
        <v/>
      </c>
      <c r="N189" s="23" t="str">
        <f>IFERROR(__xludf.DUMMYFUNCTION("""COMPUTED_VALUE"""),"")</f>
        <v/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2" t="str">
        <f>IFERROR(__xludf.DUMMYFUNCTION("""COMPUTED_VALUE"""),"551-90003")</f>
        <v>551-90003</v>
      </c>
      <c r="B190" s="22" t="str">
        <f>IFERROR(__xludf.DUMMYFUNCTION("""COMPUTED_VALUE"""),"Transformer Output 1:1 3275 Reference")</f>
        <v>Transformer Output 1:1 3275 Reference</v>
      </c>
      <c r="C190" s="23">
        <f>IFERROR(__xludf.DUMMYFUNCTION("""COMPUTED_VALUE"""),0.0)</f>
        <v>0</v>
      </c>
      <c r="D190" s="2" t="str">
        <f>IFERROR(__xludf.DUMMYFUNCTION("""COMPUTED_VALUE"""),"")</f>
        <v/>
      </c>
      <c r="E190" s="25" t="str">
        <f>IFERROR(__xludf.DUMMYFUNCTION("""COMPUTED_VALUE"""),"")</f>
        <v/>
      </c>
      <c r="F190" s="2" t="str">
        <f>IFERROR(__xludf.DUMMYFUNCTION("""COMPUTED_VALUE"""),"")</f>
        <v/>
      </c>
      <c r="G190" s="27" t="str">
        <f>IFERROR(__xludf.DUMMYFUNCTION("""COMPUTED_VALUE"""),"")</f>
        <v/>
      </c>
      <c r="H190" s="23" t="str">
        <f>IFERROR(__xludf.DUMMYFUNCTION("""COMPUTED_VALUE"""),"")</f>
        <v/>
      </c>
      <c r="I190" s="2" t="str">
        <f>IFERROR(__xludf.DUMMYFUNCTION("""COMPUTED_VALUE"""),"")</f>
        <v/>
      </c>
      <c r="J190" s="27" t="str">
        <f>IFERROR(__xludf.DUMMYFUNCTION("""COMPUTED_VALUE"""),"")</f>
        <v/>
      </c>
      <c r="K190" s="23" t="str">
        <f>IFERROR(__xludf.DUMMYFUNCTION("""COMPUTED_VALUE"""),"")</f>
        <v/>
      </c>
      <c r="L190" s="2" t="str">
        <f>IFERROR(__xludf.DUMMYFUNCTION("""COMPUTED_VALUE"""),"")</f>
        <v/>
      </c>
      <c r="M190" s="27" t="str">
        <f>IFERROR(__xludf.DUMMYFUNCTION("""COMPUTED_VALUE"""),"")</f>
        <v/>
      </c>
      <c r="N190" s="23" t="str">
        <f>IFERROR(__xludf.DUMMYFUNCTION("""COMPUTED_VALUE"""),"")</f>
        <v/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2" t="str">
        <f>IFERROR(__xludf.DUMMYFUNCTION("""COMPUTED_VALUE"""),"551-90004")</f>
        <v>551-90004</v>
      </c>
      <c r="B191" s="22" t="str">
        <f>IFERROR(__xludf.DUMMYFUNCTION("""COMPUTED_VALUE"""),"Xformer Power Supply - Cards ")</f>
        <v>Xformer Power Supply - Cards </v>
      </c>
      <c r="C191" s="23">
        <f>IFERROR(__xludf.DUMMYFUNCTION("""COMPUTED_VALUE"""),0.0)</f>
        <v>0</v>
      </c>
      <c r="D191" s="2" t="str">
        <f>IFERROR(__xludf.DUMMYFUNCTION("""COMPUTED_VALUE"""),"")</f>
        <v/>
      </c>
      <c r="E191" s="25" t="str">
        <f>IFERROR(__xludf.DUMMYFUNCTION("""COMPUTED_VALUE"""),"")</f>
        <v/>
      </c>
      <c r="F191" s="2" t="str">
        <f>IFERROR(__xludf.DUMMYFUNCTION("""COMPUTED_VALUE"""),"")</f>
        <v/>
      </c>
      <c r="G191" s="27" t="str">
        <f>IFERROR(__xludf.DUMMYFUNCTION("""COMPUTED_VALUE"""),"")</f>
        <v/>
      </c>
      <c r="H191" s="23" t="str">
        <f>IFERROR(__xludf.DUMMYFUNCTION("""COMPUTED_VALUE"""),"")</f>
        <v/>
      </c>
      <c r="I191" s="2" t="str">
        <f>IFERROR(__xludf.DUMMYFUNCTION("""COMPUTED_VALUE"""),"")</f>
        <v/>
      </c>
      <c r="J191" s="27" t="str">
        <f>IFERROR(__xludf.DUMMYFUNCTION("""COMPUTED_VALUE"""),"")</f>
        <v/>
      </c>
      <c r="K191" s="23" t="str">
        <f>IFERROR(__xludf.DUMMYFUNCTION("""COMPUTED_VALUE"""),"")</f>
        <v/>
      </c>
      <c r="L191" s="2" t="str">
        <f>IFERROR(__xludf.DUMMYFUNCTION("""COMPUTED_VALUE"""),"")</f>
        <v/>
      </c>
      <c r="M191" s="27" t="str">
        <f>IFERROR(__xludf.DUMMYFUNCTION("""COMPUTED_VALUE"""),"")</f>
        <v/>
      </c>
      <c r="N191" s="23" t="str">
        <f>IFERROR(__xludf.DUMMYFUNCTION("""COMPUTED_VALUE"""),"")</f>
        <v/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2" t="str">
        <f>IFERROR(__xludf.DUMMYFUNCTION("""COMPUTED_VALUE"""),"575-01900-704")</f>
        <v>575-01900-704</v>
      </c>
      <c r="B192" s="22" t="str">
        <f>IFERROR(__xludf.DUMMYFUNCTION("""COMPUTED_VALUE"""),"Transmitt., 10KHz, TR=0.5 0.12"" shaft, 7min, 7Vrms")</f>
        <v>Transmitt., 10KHz, TR=0.5 0.12" shaft, 7min, 7Vrms</v>
      </c>
      <c r="C192" s="23">
        <f>IFERROR(__xludf.DUMMYFUNCTION("""COMPUTED_VALUE"""),0.0)</f>
        <v>0</v>
      </c>
      <c r="D192" s="2" t="str">
        <f>IFERROR(__xludf.DUMMYFUNCTION("""COMPUTED_VALUE"""),"")</f>
        <v/>
      </c>
      <c r="E192" s="25" t="str">
        <f>IFERROR(__xludf.DUMMYFUNCTION("""COMPUTED_VALUE"""),"")</f>
        <v/>
      </c>
      <c r="F192" s="2" t="str">
        <f>IFERROR(__xludf.DUMMYFUNCTION("""COMPUTED_VALUE"""),"Ф28 S303")</f>
        <v>Ф28 S303</v>
      </c>
      <c r="G192" s="2" t="str">
        <f>IFERROR(__xludf.DUMMYFUNCTION("""COMPUTED_VALUE"""),"")</f>
        <v/>
      </c>
      <c r="H192" s="23" t="str">
        <f>IFERROR(__xludf.DUMMYFUNCTION("""COMPUTED_VALUE"""),"")</f>
        <v/>
      </c>
      <c r="I192" s="2" t="str">
        <f>IFERROR(__xludf.DUMMYFUNCTION("""COMPUTED_VALUE"""),"")</f>
        <v/>
      </c>
      <c r="J192" s="27" t="str">
        <f>IFERROR(__xludf.DUMMYFUNCTION("""COMPUTED_VALUE"""),"")</f>
        <v/>
      </c>
      <c r="K192" s="23" t="str">
        <f>IFERROR(__xludf.DUMMYFUNCTION("""COMPUTED_VALUE"""),"")</f>
        <v/>
      </c>
      <c r="L192" s="2" t="str">
        <f>IFERROR(__xludf.DUMMYFUNCTION("""COMPUTED_VALUE"""),"")</f>
        <v/>
      </c>
      <c r="M192" s="27" t="str">
        <f>IFERROR(__xludf.DUMMYFUNCTION("""COMPUTED_VALUE"""),"")</f>
        <v/>
      </c>
      <c r="N192" s="23" t="str">
        <f>IFERROR(__xludf.DUMMYFUNCTION("""COMPUTED_VALUE"""),"")</f>
        <v/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0" t="str">
        <f>IFERROR(__xludf.DUMMYFUNCTION("""COMPUTED_VALUE"""),"575-01901-7B2")</f>
        <v>575-01901-7B2</v>
      </c>
      <c r="B193" s="22" t="str">
        <f>IFERROR(__xludf.DUMMYFUNCTION("""COMPUTED_VALUE"""),"Transmitt. 26V,TR=1.0, 400Hz .12"" shaft w/ length=0.375""")</f>
        <v>Transmitt. 26V,TR=1.0, 400Hz .12" shaft w/ length=0.375"</v>
      </c>
      <c r="C193" s="23">
        <f>IFERROR(__xludf.DUMMYFUNCTION("""COMPUTED_VALUE"""),0.0)</f>
        <v>0</v>
      </c>
      <c r="D193" s="2" t="str">
        <f>IFERROR(__xludf.DUMMYFUNCTION("""COMPUTED_VALUE"""),"")</f>
        <v/>
      </c>
      <c r="E193" s="25" t="str">
        <f>IFERROR(__xludf.DUMMYFUNCTION("""COMPUTED_VALUE"""),"")</f>
        <v/>
      </c>
      <c r="F193" s="2" t="str">
        <f>IFERROR(__xludf.DUMMYFUNCTION("""COMPUTED_VALUE"""),"")</f>
        <v/>
      </c>
      <c r="G193" s="27" t="str">
        <f>IFERROR(__xludf.DUMMYFUNCTION("""COMPUTED_VALUE"""),"")</f>
        <v/>
      </c>
      <c r="H193" s="23" t="str">
        <f>IFERROR(__xludf.DUMMYFUNCTION("""COMPUTED_VALUE"""),"")</f>
        <v/>
      </c>
      <c r="I193" s="2" t="str">
        <f>IFERROR(__xludf.DUMMYFUNCTION("""COMPUTED_VALUE"""),"")</f>
        <v/>
      </c>
      <c r="J193" s="27" t="str">
        <f>IFERROR(__xludf.DUMMYFUNCTION("""COMPUTED_VALUE"""),"")</f>
        <v/>
      </c>
      <c r="K193" s="23" t="str">
        <f>IFERROR(__xludf.DUMMYFUNCTION("""COMPUTED_VALUE"""),"")</f>
        <v/>
      </c>
      <c r="L193" s="2" t="str">
        <f>IFERROR(__xludf.DUMMYFUNCTION("""COMPUTED_VALUE"""),"")</f>
        <v/>
      </c>
      <c r="M193" s="27" t="str">
        <f>IFERROR(__xludf.DUMMYFUNCTION("""COMPUTED_VALUE"""),"")</f>
        <v/>
      </c>
      <c r="N193" s="23" t="str">
        <f>IFERROR(__xludf.DUMMYFUNCTION("""COMPUTED_VALUE"""),"")</f>
        <v/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2" t="str">
        <f>IFERROR(__xludf.DUMMYFUNCTION("""COMPUTED_VALUE"""),"575-01902-1")</f>
        <v>575-01902-1</v>
      </c>
      <c r="B194" s="22" t="str">
        <f>IFERROR(__xludf.DUMMYFUNCTION("""COMPUTED_VALUE"""),"Resolver Size 11 (3.5-5min) Transmitter 5KHz TR-0.95")</f>
        <v>Resolver Size 11 (3.5-5min) Transmitter 5KHz TR-0.95</v>
      </c>
      <c r="C194" s="23">
        <f>IFERROR(__xludf.DUMMYFUNCTION("""COMPUTED_VALUE"""),0.0)</f>
        <v>0</v>
      </c>
      <c r="D194" s="2" t="str">
        <f>IFERROR(__xludf.DUMMYFUNCTION("""COMPUTED_VALUE"""),"")</f>
        <v/>
      </c>
      <c r="E194" s="25" t="str">
        <f>IFERROR(__xludf.DUMMYFUNCTION("""COMPUTED_VALUE"""),"")</f>
        <v/>
      </c>
      <c r="F194" s="2"/>
      <c r="G194" s="2" t="str">
        <f>IFERROR(__xludf.DUMMYFUNCTION("""COMPUTED_VALUE"""),"")</f>
        <v/>
      </c>
      <c r="H194" s="23" t="str">
        <f>IFERROR(__xludf.DUMMYFUNCTION("""COMPUTED_VALUE"""),"")</f>
        <v/>
      </c>
      <c r="I194" s="2" t="str">
        <f>IFERROR(__xludf.DUMMYFUNCTION("""COMPUTED_VALUE"""),"")</f>
        <v/>
      </c>
      <c r="J194" s="27" t="str">
        <f>IFERROR(__xludf.DUMMYFUNCTION("""COMPUTED_VALUE"""),"")</f>
        <v/>
      </c>
      <c r="K194" s="23" t="str">
        <f>IFERROR(__xludf.DUMMYFUNCTION("""COMPUTED_VALUE"""),"")</f>
        <v/>
      </c>
      <c r="L194" s="2" t="str">
        <f>IFERROR(__xludf.DUMMYFUNCTION("""COMPUTED_VALUE"""),"")</f>
        <v/>
      </c>
      <c r="M194" s="27" t="str">
        <f>IFERROR(__xludf.DUMMYFUNCTION("""COMPUTED_VALUE"""),"")</f>
        <v/>
      </c>
      <c r="N194" s="23" t="str">
        <f>IFERROR(__xludf.DUMMYFUNCTION("""COMPUTED_VALUE"""),"")</f>
        <v/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2" t="str">
        <f>IFERROR(__xludf.DUMMYFUNCTION("""COMPUTED_VALUE"""),"575-01902-10")</f>
        <v>575-01902-10</v>
      </c>
      <c r="B195" s="22" t="str">
        <f>IFERROR(__xludf.DUMMYFUNCTION("""COMPUTED_VALUE"""),"Resolver Size 11 Tested(1-3) Trasmitter 5KHz TR-0.95")</f>
        <v>Resolver Size 11 Tested(1-3) Trasmitter 5KHz TR-0.95</v>
      </c>
      <c r="C195" s="23">
        <f>IFERROR(__xludf.DUMMYFUNCTION("""COMPUTED_VALUE"""),0.0)</f>
        <v>0</v>
      </c>
      <c r="D195" s="2" t="str">
        <f>IFERROR(__xludf.DUMMYFUNCTION("""COMPUTED_VALUE"""),"")</f>
        <v/>
      </c>
      <c r="E195" s="25" t="str">
        <f>IFERROR(__xludf.DUMMYFUNCTION("""COMPUTED_VALUE"""),"")</f>
        <v/>
      </c>
      <c r="F195" s="2"/>
      <c r="G195" s="2" t="str">
        <f>IFERROR(__xludf.DUMMYFUNCTION("""COMPUTED_VALUE"""),"")</f>
        <v/>
      </c>
      <c r="H195" s="23" t="str">
        <f>IFERROR(__xludf.DUMMYFUNCTION("""COMPUTED_VALUE"""),"")</f>
        <v/>
      </c>
      <c r="I195" s="2" t="str">
        <f>IFERROR(__xludf.DUMMYFUNCTION("""COMPUTED_VALUE"""),"")</f>
        <v/>
      </c>
      <c r="J195" s="27" t="str">
        <f>IFERROR(__xludf.DUMMYFUNCTION("""COMPUTED_VALUE"""),"")</f>
        <v/>
      </c>
      <c r="K195" s="23" t="str">
        <f>IFERROR(__xludf.DUMMYFUNCTION("""COMPUTED_VALUE"""),"")</f>
        <v/>
      </c>
      <c r="L195" s="2" t="str">
        <f>IFERROR(__xludf.DUMMYFUNCTION("""COMPUTED_VALUE"""),"")</f>
        <v/>
      </c>
      <c r="M195" s="27" t="str">
        <f>IFERROR(__xludf.DUMMYFUNCTION("""COMPUTED_VALUE"""),"")</f>
        <v/>
      </c>
      <c r="N195" s="23" t="str">
        <f>IFERROR(__xludf.DUMMYFUNCTION("""COMPUTED_VALUE"""),"")</f>
        <v/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2" t="str">
        <f>IFERROR(__xludf.DUMMYFUNCTION("""COMPUTED_VALUE"""),"575-01902-100")</f>
        <v>575-01902-100</v>
      </c>
      <c r="B196" s="22" t="str">
        <f>IFERROR(__xludf.DUMMYFUNCTION("""COMPUTED_VALUE"""),"Resolver Size 11 Tested 1.5' Trasmitter 5KHz TR-0.95")</f>
        <v>Resolver Size 11 Tested 1.5' Trasmitter 5KHz TR-0.95</v>
      </c>
      <c r="C196" s="23">
        <f>IFERROR(__xludf.DUMMYFUNCTION("""COMPUTED_VALUE"""),0.0)</f>
        <v>0</v>
      </c>
      <c r="D196" s="2" t="str">
        <f>IFERROR(__xludf.DUMMYFUNCTION("""COMPUTED_VALUE"""),"")</f>
        <v/>
      </c>
      <c r="E196" s="25" t="str">
        <f>IFERROR(__xludf.DUMMYFUNCTION("""COMPUTED_VALUE"""),"")</f>
        <v/>
      </c>
      <c r="F196" s="2"/>
      <c r="G196" s="2" t="str">
        <f>IFERROR(__xludf.DUMMYFUNCTION("""COMPUTED_VALUE"""),"")</f>
        <v/>
      </c>
      <c r="H196" s="23" t="str">
        <f>IFERROR(__xludf.DUMMYFUNCTION("""COMPUTED_VALUE"""),"")</f>
        <v/>
      </c>
      <c r="I196" s="2" t="str">
        <f>IFERROR(__xludf.DUMMYFUNCTION("""COMPUTED_VALUE"""),"")</f>
        <v/>
      </c>
      <c r="J196" s="27" t="str">
        <f>IFERROR(__xludf.DUMMYFUNCTION("""COMPUTED_VALUE"""),"")</f>
        <v/>
      </c>
      <c r="K196" s="23" t="str">
        <f>IFERROR(__xludf.DUMMYFUNCTION("""COMPUTED_VALUE"""),"")</f>
        <v/>
      </c>
      <c r="L196" s="2" t="str">
        <f>IFERROR(__xludf.DUMMYFUNCTION("""COMPUTED_VALUE"""),"")</f>
        <v/>
      </c>
      <c r="M196" s="27" t="str">
        <f>IFERROR(__xludf.DUMMYFUNCTION("""COMPUTED_VALUE"""),"")</f>
        <v/>
      </c>
      <c r="N196" s="23" t="str">
        <f>IFERROR(__xludf.DUMMYFUNCTION("""COMPUTED_VALUE"""),"")</f>
        <v/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2" t="str">
        <f>IFERROR(__xludf.DUMMYFUNCTION("""COMPUTED_VALUE"""),"575-01902-11")</f>
        <v>575-01902-11</v>
      </c>
      <c r="B197" s="22" t="str">
        <f>IFERROR(__xludf.DUMMYFUNCTION("""COMPUTED_VALUE"""),"Resolver Size 11 Ameritek .95 TR Control Transmitter")</f>
        <v>Resolver Size 11 Ameritek .95 TR Control Transmitter</v>
      </c>
      <c r="C197" s="23">
        <f>IFERROR(__xludf.DUMMYFUNCTION("""COMPUTED_VALUE"""),0.0)</f>
        <v>0</v>
      </c>
      <c r="D197" s="2" t="str">
        <f>IFERROR(__xludf.DUMMYFUNCTION("""COMPUTED_VALUE"""),"")</f>
        <v/>
      </c>
      <c r="E197" s="25" t="str">
        <f>IFERROR(__xludf.DUMMYFUNCTION("""COMPUTED_VALUE"""),"")</f>
        <v/>
      </c>
      <c r="F197" s="2" t="str">
        <f>IFERROR(__xludf.DUMMYFUNCTION("""COMPUTED_VALUE"""),"")</f>
        <v/>
      </c>
      <c r="G197" s="27" t="str">
        <f>IFERROR(__xludf.DUMMYFUNCTION("""COMPUTED_VALUE"""),"")</f>
        <v/>
      </c>
      <c r="H197" s="23" t="str">
        <f>IFERROR(__xludf.DUMMYFUNCTION("""COMPUTED_VALUE"""),"")</f>
        <v/>
      </c>
      <c r="I197" s="2" t="str">
        <f>IFERROR(__xludf.DUMMYFUNCTION("""COMPUTED_VALUE"""),"")</f>
        <v/>
      </c>
      <c r="J197" s="27" t="str">
        <f>IFERROR(__xludf.DUMMYFUNCTION("""COMPUTED_VALUE"""),"")</f>
        <v/>
      </c>
      <c r="K197" s="23" t="str">
        <f>IFERROR(__xludf.DUMMYFUNCTION("""COMPUTED_VALUE"""),"")</f>
        <v/>
      </c>
      <c r="L197" s="2" t="str">
        <f>IFERROR(__xludf.DUMMYFUNCTION("""COMPUTED_VALUE"""),"")</f>
        <v/>
      </c>
      <c r="M197" s="27" t="str">
        <f>IFERROR(__xludf.DUMMYFUNCTION("""COMPUTED_VALUE"""),"")</f>
        <v/>
      </c>
      <c r="N197" s="23" t="str">
        <f>IFERROR(__xludf.DUMMYFUNCTION("""COMPUTED_VALUE"""),"")</f>
        <v/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2" t="str">
        <f>IFERROR(__xludf.DUMMYFUNCTION("""COMPUTED_VALUE"""),"575-01902-310-1")</f>
        <v>575-01902-310-1</v>
      </c>
      <c r="B198" s="22" t="str">
        <f>IFERROR(__xludf.DUMMYFUNCTION("""COMPUTED_VALUE"""),"Size11, J type, +/-3min 0.12'' shaft with flat")</f>
        <v>Size11, J type, +/-3min 0.12'' shaft with flat</v>
      </c>
      <c r="C198" s="23">
        <f>IFERROR(__xludf.DUMMYFUNCTION("""COMPUTED_VALUE"""),0.0)</f>
        <v>0</v>
      </c>
      <c r="D198" s="2" t="str">
        <f>IFERROR(__xludf.DUMMYFUNCTION("""COMPUTED_VALUE"""),"")</f>
        <v/>
      </c>
      <c r="E198" s="25" t="str">
        <f>IFERROR(__xludf.DUMMYFUNCTION("""COMPUTED_VALUE"""),"")</f>
        <v/>
      </c>
      <c r="F198" s="2" t="str">
        <f>IFERROR(__xludf.DUMMYFUNCTION("""COMPUTED_VALUE"""),"")</f>
        <v/>
      </c>
      <c r="G198" s="27" t="str">
        <f>IFERROR(__xludf.DUMMYFUNCTION("""COMPUTED_VALUE"""),"")</f>
        <v/>
      </c>
      <c r="H198" s="23" t="str">
        <f>IFERROR(__xludf.DUMMYFUNCTION("""COMPUTED_VALUE"""),"")</f>
        <v/>
      </c>
      <c r="I198" s="2" t="str">
        <f>IFERROR(__xludf.DUMMYFUNCTION("""COMPUTED_VALUE"""),"")</f>
        <v/>
      </c>
      <c r="J198" s="27" t="str">
        <f>IFERROR(__xludf.DUMMYFUNCTION("""COMPUTED_VALUE"""),"")</f>
        <v/>
      </c>
      <c r="K198" s="23" t="str">
        <f>IFERROR(__xludf.DUMMYFUNCTION("""COMPUTED_VALUE"""),"")</f>
        <v/>
      </c>
      <c r="L198" s="2" t="str">
        <f>IFERROR(__xludf.DUMMYFUNCTION("""COMPUTED_VALUE"""),"")</f>
        <v/>
      </c>
      <c r="M198" s="27" t="str">
        <f>IFERROR(__xludf.DUMMYFUNCTION("""COMPUTED_VALUE"""),"")</f>
        <v/>
      </c>
      <c r="N198" s="23" t="str">
        <f>IFERROR(__xludf.DUMMYFUNCTION("""COMPUTED_VALUE"""),"")</f>
        <v/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0" t="str">
        <f>IFERROR(__xludf.DUMMYFUNCTION("""COMPUTED_VALUE"""),"575-01902-4")</f>
        <v>575-01902-4</v>
      </c>
      <c r="B199" s="22" t="str">
        <f>IFERROR(__xludf.DUMMYFUNCTION("""COMPUTED_VALUE"""),"Reslover Size 11 (5.5-8.0) Brushless")</f>
        <v>Reslover Size 11 (5.5-8.0) Brushless</v>
      </c>
      <c r="C199" s="23">
        <f>IFERROR(__xludf.DUMMYFUNCTION("""COMPUTED_VALUE"""),0.0)</f>
        <v>0</v>
      </c>
      <c r="D199" s="2" t="str">
        <f>IFERROR(__xludf.DUMMYFUNCTION("""COMPUTED_VALUE"""),"")</f>
        <v/>
      </c>
      <c r="E199" s="25" t="str">
        <f>IFERROR(__xludf.DUMMYFUNCTION("""COMPUTED_VALUE"""),"")</f>
        <v/>
      </c>
      <c r="F199" s="2"/>
      <c r="G199" s="2" t="str">
        <f>IFERROR(__xludf.DUMMYFUNCTION("""COMPUTED_VALUE"""),"")</f>
        <v/>
      </c>
      <c r="H199" s="23" t="str">
        <f>IFERROR(__xludf.DUMMYFUNCTION("""COMPUTED_VALUE"""),"")</f>
        <v/>
      </c>
      <c r="I199" s="2" t="str">
        <f>IFERROR(__xludf.DUMMYFUNCTION("""COMPUTED_VALUE"""),"")</f>
        <v/>
      </c>
      <c r="J199" s="27" t="str">
        <f>IFERROR(__xludf.DUMMYFUNCTION("""COMPUTED_VALUE"""),"")</f>
        <v/>
      </c>
      <c r="K199" s="23" t="str">
        <f>IFERROR(__xludf.DUMMYFUNCTION("""COMPUTED_VALUE"""),"")</f>
        <v/>
      </c>
      <c r="L199" s="2" t="str">
        <f>IFERROR(__xludf.DUMMYFUNCTION("""COMPUTED_VALUE"""),"")</f>
        <v/>
      </c>
      <c r="M199" s="27" t="str">
        <f>IFERROR(__xludf.DUMMYFUNCTION("""COMPUTED_VALUE"""),"")</f>
        <v/>
      </c>
      <c r="N199" s="23" t="str">
        <f>IFERROR(__xludf.DUMMYFUNCTION("""COMPUTED_VALUE"""),"")</f>
        <v/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2" t="str">
        <f>IFERROR(__xludf.DUMMYFUNCTION("""COMPUTED_VALUE"""),"575-01902-701")</f>
        <v>575-01902-701</v>
      </c>
      <c r="B200" s="22" t="str">
        <f>IFERROR(__xludf.DUMMYFUNCTION("""COMPUTED_VALUE"""),"0.12"" shaft w/seal 5KHz, 7min acc, 0.95TR")</f>
        <v>0.12" shaft w/seal 5KHz, 7min acc, 0.95TR</v>
      </c>
      <c r="C200" s="23">
        <f>IFERROR(__xludf.DUMMYFUNCTION("""COMPUTED_VALUE"""),0.0)</f>
        <v>0</v>
      </c>
      <c r="D200" s="2" t="str">
        <f>IFERROR(__xludf.DUMMYFUNCTION("""COMPUTED_VALUE"""),"")</f>
        <v/>
      </c>
      <c r="E200" s="25" t="str">
        <f>IFERROR(__xludf.DUMMYFUNCTION("""COMPUTED_VALUE"""),"")</f>
        <v/>
      </c>
      <c r="F200" s="2"/>
      <c r="G200" s="2" t="str">
        <f>IFERROR(__xludf.DUMMYFUNCTION("""COMPUTED_VALUE"""),"")</f>
        <v/>
      </c>
      <c r="H200" s="23" t="str">
        <f>IFERROR(__xludf.DUMMYFUNCTION("""COMPUTED_VALUE"""),"")</f>
        <v/>
      </c>
      <c r="I200" s="2" t="str">
        <f>IFERROR(__xludf.DUMMYFUNCTION("""COMPUTED_VALUE"""),"")</f>
        <v/>
      </c>
      <c r="J200" s="27" t="str">
        <f>IFERROR(__xludf.DUMMYFUNCTION("""COMPUTED_VALUE"""),"")</f>
        <v/>
      </c>
      <c r="K200" s="23" t="str">
        <f>IFERROR(__xludf.DUMMYFUNCTION("""COMPUTED_VALUE"""),"")</f>
        <v/>
      </c>
      <c r="L200" s="2" t="str">
        <f>IFERROR(__xludf.DUMMYFUNCTION("""COMPUTED_VALUE"""),"")</f>
        <v/>
      </c>
      <c r="M200" s="27" t="str">
        <f>IFERROR(__xludf.DUMMYFUNCTION("""COMPUTED_VALUE"""),"")</f>
        <v/>
      </c>
      <c r="N200" s="23" t="str">
        <f>IFERROR(__xludf.DUMMYFUNCTION("""COMPUTED_VALUE"""),"")</f>
        <v/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0" t="str">
        <f>IFERROR(__xludf.DUMMYFUNCTION("""COMPUTED_VALUE"""),"575-01902-702")</f>
        <v>575-01902-702</v>
      </c>
      <c r="B201" s="22" t="str">
        <f>IFERROR(__xludf.DUMMYFUNCTION("""COMPUTED_VALUE"""),"R11X-J10/7 resolver with front mounting holes")</f>
        <v>R11X-J10/7 resolver with front mounting holes</v>
      </c>
      <c r="C201" s="23">
        <f>IFERROR(__xludf.DUMMYFUNCTION("""COMPUTED_VALUE"""),0.0)</f>
        <v>0</v>
      </c>
      <c r="D201" s="2" t="str">
        <f>IFERROR(__xludf.DUMMYFUNCTION("""COMPUTED_VALUE"""),"")</f>
        <v/>
      </c>
      <c r="E201" s="25" t="str">
        <f>IFERROR(__xludf.DUMMYFUNCTION("""COMPUTED_VALUE"""),"")</f>
        <v/>
      </c>
      <c r="F201" s="2"/>
      <c r="G201" s="2" t="str">
        <f>IFERROR(__xludf.DUMMYFUNCTION("""COMPUTED_VALUE"""),"")</f>
        <v/>
      </c>
      <c r="H201" s="23" t="str">
        <f>IFERROR(__xludf.DUMMYFUNCTION("""COMPUTED_VALUE"""),"")</f>
        <v/>
      </c>
      <c r="I201" s="2" t="str">
        <f>IFERROR(__xludf.DUMMYFUNCTION("""COMPUTED_VALUE"""),"")</f>
        <v/>
      </c>
      <c r="J201" s="27" t="str">
        <f>IFERROR(__xludf.DUMMYFUNCTION("""COMPUTED_VALUE"""),"")</f>
        <v/>
      </c>
      <c r="K201" s="23" t="str">
        <f>IFERROR(__xludf.DUMMYFUNCTION("""COMPUTED_VALUE"""),"")</f>
        <v/>
      </c>
      <c r="L201" s="2" t="str">
        <f>IFERROR(__xludf.DUMMYFUNCTION("""COMPUTED_VALUE"""),"")</f>
        <v/>
      </c>
      <c r="M201" s="27" t="str">
        <f>IFERROR(__xludf.DUMMYFUNCTION("""COMPUTED_VALUE"""),"")</f>
        <v/>
      </c>
      <c r="N201" s="23" t="str">
        <f>IFERROR(__xludf.DUMMYFUNCTION("""COMPUTED_VALUE"""),"")</f>
        <v/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2" t="str">
        <f>IFERROR(__xludf.DUMMYFUNCTION("""COMPUTED_VALUE"""),"575-01902-704")</f>
        <v>575-01902-704</v>
      </c>
      <c r="B202" s="22" t="str">
        <f>IFERROR(__xludf.DUMMYFUNCTION("""COMPUTED_VALUE"""),"R11X-J10/7 resolver with side wires")</f>
        <v>R11X-J10/7 resolver with side wires</v>
      </c>
      <c r="C202" s="23">
        <f>IFERROR(__xludf.DUMMYFUNCTION("""COMPUTED_VALUE"""),0.0)</f>
        <v>0</v>
      </c>
      <c r="D202" s="2" t="str">
        <f>IFERROR(__xludf.DUMMYFUNCTION("""COMPUTED_VALUE"""),"")</f>
        <v/>
      </c>
      <c r="E202" s="25" t="str">
        <f>IFERROR(__xludf.DUMMYFUNCTION("""COMPUTED_VALUE"""),"")</f>
        <v/>
      </c>
      <c r="F202" s="2"/>
      <c r="G202" s="2" t="str">
        <f>IFERROR(__xludf.DUMMYFUNCTION("""COMPUTED_VALUE"""),"")</f>
        <v/>
      </c>
      <c r="H202" s="23" t="str">
        <f>IFERROR(__xludf.DUMMYFUNCTION("""COMPUTED_VALUE"""),"")</f>
        <v/>
      </c>
      <c r="I202" s="2" t="str">
        <f>IFERROR(__xludf.DUMMYFUNCTION("""COMPUTED_VALUE"""),"")</f>
        <v/>
      </c>
      <c r="J202" s="27" t="str">
        <f>IFERROR(__xludf.DUMMYFUNCTION("""COMPUTED_VALUE"""),"")</f>
        <v/>
      </c>
      <c r="K202" s="23" t="str">
        <f>IFERROR(__xludf.DUMMYFUNCTION("""COMPUTED_VALUE"""),"")</f>
        <v/>
      </c>
      <c r="L202" s="2" t="str">
        <f>IFERROR(__xludf.DUMMYFUNCTION("""COMPUTED_VALUE"""),"")</f>
        <v/>
      </c>
      <c r="M202" s="27" t="str">
        <f>IFERROR(__xludf.DUMMYFUNCTION("""COMPUTED_VALUE"""),"")</f>
        <v/>
      </c>
      <c r="N202" s="23" t="str">
        <f>IFERROR(__xludf.DUMMYFUNCTION("""COMPUTED_VALUE"""),"")</f>
        <v/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2" t="str">
        <f>IFERROR(__xludf.DUMMYFUNCTION("""COMPUTED_VALUE"""),"575-01902-710")</f>
        <v>575-01902-710</v>
      </c>
      <c r="B203" s="22" t="str">
        <f>IFERROR(__xludf.DUMMYFUNCTION("""COMPUTED_VALUE"""),"Resolver Size 11 Ameritek R11X-J10/7 w/ flat on shaft")</f>
        <v>Resolver Size 11 Ameritek R11X-J10/7 w/ flat on shaft</v>
      </c>
      <c r="C203" s="23">
        <f>IFERROR(__xludf.DUMMYFUNCTION("""COMPUTED_VALUE"""),0.0)</f>
        <v>0</v>
      </c>
      <c r="D203" s="2" t="str">
        <f>IFERROR(__xludf.DUMMYFUNCTION("""COMPUTED_VALUE"""),"")</f>
        <v/>
      </c>
      <c r="E203" s="25" t="str">
        <f>IFERROR(__xludf.DUMMYFUNCTION("""COMPUTED_VALUE"""),"")</f>
        <v/>
      </c>
      <c r="F203" s="2"/>
      <c r="G203" s="2" t="str">
        <f>IFERROR(__xludf.DUMMYFUNCTION("""COMPUTED_VALUE"""),"")</f>
        <v/>
      </c>
      <c r="H203" s="23" t="str">
        <f>IFERROR(__xludf.DUMMYFUNCTION("""COMPUTED_VALUE"""),"")</f>
        <v/>
      </c>
      <c r="I203" s="2" t="str">
        <f>IFERROR(__xludf.DUMMYFUNCTION("""COMPUTED_VALUE"""),"")</f>
        <v/>
      </c>
      <c r="J203" s="27" t="str">
        <f>IFERROR(__xludf.DUMMYFUNCTION("""COMPUTED_VALUE"""),"")</f>
        <v/>
      </c>
      <c r="K203" s="23" t="str">
        <f>IFERROR(__xludf.DUMMYFUNCTION("""COMPUTED_VALUE"""),"")</f>
        <v/>
      </c>
      <c r="L203" s="2" t="str">
        <f>IFERROR(__xludf.DUMMYFUNCTION("""COMPUTED_VALUE"""),"")</f>
        <v/>
      </c>
      <c r="M203" s="27" t="str">
        <f>IFERROR(__xludf.DUMMYFUNCTION("""COMPUTED_VALUE"""),"")</f>
        <v/>
      </c>
      <c r="N203" s="23" t="str">
        <f>IFERROR(__xludf.DUMMYFUNCTION("""COMPUTED_VALUE"""),"")</f>
        <v/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0" t="str">
        <f>IFERROR(__xludf.DUMMYFUNCTION("""COMPUTED_VALUE"""),"575-01902-721")</f>
        <v>575-01902-721</v>
      </c>
      <c r="B204" s="22" t="str">
        <f>IFERROR(__xludf.DUMMYFUNCTION("""COMPUTED_VALUE"""),"3/16"" shaft w/seal 5KHz, 7min acc, 0.95TR")</f>
        <v>3/16" shaft w/seal 5KHz, 7min acc, 0.95TR</v>
      </c>
      <c r="C204" s="23">
        <f>IFERROR(__xludf.DUMMYFUNCTION("""COMPUTED_VALUE"""),0.0)</f>
        <v>0</v>
      </c>
      <c r="D204" s="2" t="str">
        <f>IFERROR(__xludf.DUMMYFUNCTION("""COMPUTED_VALUE"""),"")</f>
        <v/>
      </c>
      <c r="E204" s="25" t="str">
        <f>IFERROR(__xludf.DUMMYFUNCTION("""COMPUTED_VALUE"""),"")</f>
        <v/>
      </c>
      <c r="F204" s="2" t="str">
        <f>IFERROR(__xludf.DUMMYFUNCTION("""COMPUTED_VALUE"""),"Ф28 S303")</f>
        <v>Ф28 S303</v>
      </c>
      <c r="G204" s="2" t="str">
        <f>IFERROR(__xludf.DUMMYFUNCTION("""COMPUTED_VALUE"""),"")</f>
        <v/>
      </c>
      <c r="H204" s="23" t="str">
        <f>IFERROR(__xludf.DUMMYFUNCTION("""COMPUTED_VALUE"""),"")</f>
        <v/>
      </c>
      <c r="I204" s="2" t="str">
        <f>IFERROR(__xludf.DUMMYFUNCTION("""COMPUTED_VALUE"""),"")</f>
        <v/>
      </c>
      <c r="J204" s="27" t="str">
        <f>IFERROR(__xludf.DUMMYFUNCTION("""COMPUTED_VALUE"""),"")</f>
        <v/>
      </c>
      <c r="K204" s="23" t="str">
        <f>IFERROR(__xludf.DUMMYFUNCTION("""COMPUTED_VALUE"""),"")</f>
        <v/>
      </c>
      <c r="L204" s="2" t="str">
        <f>IFERROR(__xludf.DUMMYFUNCTION("""COMPUTED_VALUE"""),"")</f>
        <v/>
      </c>
      <c r="M204" s="27" t="str">
        <f>IFERROR(__xludf.DUMMYFUNCTION("""COMPUTED_VALUE"""),"")</f>
        <v/>
      </c>
      <c r="N204" s="23" t="str">
        <f>IFERROR(__xludf.DUMMYFUNCTION("""COMPUTED_VALUE"""),"")</f>
        <v/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2" t="str">
        <f>IFERROR(__xludf.DUMMYFUNCTION("""COMPUTED_VALUE"""),"575-01902-750")</f>
        <v>575-01902-750</v>
      </c>
      <c r="B205" s="22" t="str">
        <f>IFERROR(__xludf.DUMMYFUNCTION("""COMPUTED_VALUE"""),"Size11 Transmitter; 7min acc 5KHz, TR=0.95, 0.1200 shaft")</f>
        <v>Size11 Transmitter; 7min acc 5KHz, TR=0.95, 0.1200 shaft</v>
      </c>
      <c r="C205" s="23">
        <f>IFERROR(__xludf.DUMMYFUNCTION("""COMPUTED_VALUE"""),0.0)</f>
        <v>0</v>
      </c>
      <c r="D205" s="2" t="str">
        <f>IFERROR(__xludf.DUMMYFUNCTION("""COMPUTED_VALUE"""),"")</f>
        <v/>
      </c>
      <c r="E205" s="25" t="str">
        <f>IFERROR(__xludf.DUMMYFUNCTION("""COMPUTED_VALUE"""),"")</f>
        <v/>
      </c>
      <c r="F205" s="2"/>
      <c r="G205" s="2" t="str">
        <f>IFERROR(__xludf.DUMMYFUNCTION("""COMPUTED_VALUE"""),"")</f>
        <v/>
      </c>
      <c r="H205" s="23" t="str">
        <f>IFERROR(__xludf.DUMMYFUNCTION("""COMPUTED_VALUE"""),"")</f>
        <v/>
      </c>
      <c r="I205" s="2" t="str">
        <f>IFERROR(__xludf.DUMMYFUNCTION("""COMPUTED_VALUE"""),"")</f>
        <v/>
      </c>
      <c r="J205" s="27" t="str">
        <f>IFERROR(__xludf.DUMMYFUNCTION("""COMPUTED_VALUE"""),"")</f>
        <v/>
      </c>
      <c r="K205" s="23" t="str">
        <f>IFERROR(__xludf.DUMMYFUNCTION("""COMPUTED_VALUE"""),"")</f>
        <v/>
      </c>
      <c r="L205" s="2" t="str">
        <f>IFERROR(__xludf.DUMMYFUNCTION("""COMPUTED_VALUE"""),"")</f>
        <v/>
      </c>
      <c r="M205" s="27" t="str">
        <f>IFERROR(__xludf.DUMMYFUNCTION("""COMPUTED_VALUE"""),"")</f>
        <v/>
      </c>
      <c r="N205" s="23" t="str">
        <f>IFERROR(__xludf.DUMMYFUNCTION("""COMPUTED_VALUE"""),"")</f>
        <v/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2" t="str">
        <f>IFERROR(__xludf.DUMMYFUNCTION("""COMPUTED_VALUE"""),"575-01902-781")</f>
        <v>575-01902-781</v>
      </c>
      <c r="B206" s="22" t="str">
        <f>IFERROR(__xludf.DUMMYFUNCTION("""COMPUTED_VALUE"""),"1/4"" shaft w/ flat  and seal 5KHz, 7min acc, 0.95TR")</f>
        <v>1/4" shaft w/ flat  and seal 5KHz, 7min acc, 0.95TR</v>
      </c>
      <c r="C206" s="23">
        <f>IFERROR(__xludf.DUMMYFUNCTION("""COMPUTED_VALUE"""),0.0)</f>
        <v>0</v>
      </c>
      <c r="D206" s="2" t="str">
        <f>IFERROR(__xludf.DUMMYFUNCTION("""COMPUTED_VALUE"""),"")</f>
        <v/>
      </c>
      <c r="E206" s="25" t="str">
        <f>IFERROR(__xludf.DUMMYFUNCTION("""COMPUTED_VALUE"""),"")</f>
        <v/>
      </c>
      <c r="F206" s="2" t="str">
        <f>IFERROR(__xludf.DUMMYFUNCTION("""COMPUTED_VALUE"""),"")</f>
        <v/>
      </c>
      <c r="G206" s="27" t="str">
        <f>IFERROR(__xludf.DUMMYFUNCTION("""COMPUTED_VALUE"""),"")</f>
        <v/>
      </c>
      <c r="H206" s="23" t="str">
        <f>IFERROR(__xludf.DUMMYFUNCTION("""COMPUTED_VALUE"""),"")</f>
        <v/>
      </c>
      <c r="I206" s="2" t="str">
        <f>IFERROR(__xludf.DUMMYFUNCTION("""COMPUTED_VALUE"""),"")</f>
        <v/>
      </c>
      <c r="J206" s="27" t="str">
        <f>IFERROR(__xludf.DUMMYFUNCTION("""COMPUTED_VALUE"""),"")</f>
        <v/>
      </c>
      <c r="K206" s="23" t="str">
        <f>IFERROR(__xludf.DUMMYFUNCTION("""COMPUTED_VALUE"""),"")</f>
        <v/>
      </c>
      <c r="L206" s="2" t="str">
        <f>IFERROR(__xludf.DUMMYFUNCTION("""COMPUTED_VALUE"""),"")</f>
        <v/>
      </c>
      <c r="M206" s="27" t="str">
        <f>IFERROR(__xludf.DUMMYFUNCTION("""COMPUTED_VALUE"""),"")</f>
        <v/>
      </c>
      <c r="N206" s="23" t="str">
        <f>IFERROR(__xludf.DUMMYFUNCTION("""COMPUTED_VALUE"""),"")</f>
        <v/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2" t="str">
        <f>IFERROR(__xludf.DUMMYFUNCTION("""COMPUTED_VALUE"""),"575-01902-785")</f>
        <v>575-01902-785</v>
      </c>
      <c r="B207" s="22" t="str">
        <f>IFERROR(__xludf.DUMMYFUNCTION("""COMPUTED_VALUE"""),"1/4"" shaft w/ flat  and seal 5KHz, 7min acc, 0.95TR")</f>
        <v>1/4" shaft w/ flat  and seal 5KHz, 7min acc, 0.95TR</v>
      </c>
      <c r="C207" s="23">
        <f>IFERROR(__xludf.DUMMYFUNCTION("""COMPUTED_VALUE"""),0.0)</f>
        <v>0</v>
      </c>
      <c r="D207" s="2" t="str">
        <f>IFERROR(__xludf.DUMMYFUNCTION("""COMPUTED_VALUE"""),"")</f>
        <v/>
      </c>
      <c r="E207" s="25" t="str">
        <f>IFERROR(__xludf.DUMMYFUNCTION("""COMPUTED_VALUE"""),"")</f>
        <v/>
      </c>
      <c r="F207" s="2" t="str">
        <f>IFERROR(__xludf.DUMMYFUNCTION("""COMPUTED_VALUE"""),"")</f>
        <v/>
      </c>
      <c r="G207" s="27" t="str">
        <f>IFERROR(__xludf.DUMMYFUNCTION("""COMPUTED_VALUE"""),"")</f>
        <v/>
      </c>
      <c r="H207" s="23" t="str">
        <f>IFERROR(__xludf.DUMMYFUNCTION("""COMPUTED_VALUE"""),"")</f>
        <v/>
      </c>
      <c r="I207" s="2" t="str">
        <f>IFERROR(__xludf.DUMMYFUNCTION("""COMPUTED_VALUE"""),"")</f>
        <v/>
      </c>
      <c r="J207" s="27" t="str">
        <f>IFERROR(__xludf.DUMMYFUNCTION("""COMPUTED_VALUE"""),"")</f>
        <v/>
      </c>
      <c r="K207" s="23" t="str">
        <f>IFERROR(__xludf.DUMMYFUNCTION("""COMPUTED_VALUE"""),"")</f>
        <v/>
      </c>
      <c r="L207" s="2" t="str">
        <f>IFERROR(__xludf.DUMMYFUNCTION("""COMPUTED_VALUE"""),"")</f>
        <v/>
      </c>
      <c r="M207" s="27" t="str">
        <f>IFERROR(__xludf.DUMMYFUNCTION("""COMPUTED_VALUE"""),"")</f>
        <v/>
      </c>
      <c r="N207" s="23" t="str">
        <f>IFERROR(__xludf.DUMMYFUNCTION("""COMPUTED_VALUE"""),"")</f>
        <v/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2" t="str">
        <f>IFERROR(__xludf.DUMMYFUNCTION("""COMPUTED_VALUE"""),"575-01902-8")</f>
        <v>575-01902-8</v>
      </c>
      <c r="B208" s="22" t="str">
        <f>IFERROR(__xludf.DUMMYFUNCTION("""COMPUTED_VALUE"""),"Resolver Size 11 tested(8.5&gt; 575-01902 sorted @ AMCI")</f>
        <v>Resolver Size 11 tested(8.5&gt; 575-01902 sorted @ AMCI</v>
      </c>
      <c r="C208" s="23">
        <f>IFERROR(__xludf.DUMMYFUNCTION("""COMPUTED_VALUE"""),0.0)</f>
        <v>0</v>
      </c>
      <c r="D208" s="2" t="str">
        <f>IFERROR(__xludf.DUMMYFUNCTION("""COMPUTED_VALUE"""),"")</f>
        <v/>
      </c>
      <c r="E208" s="25" t="str">
        <f>IFERROR(__xludf.DUMMYFUNCTION("""COMPUTED_VALUE"""),"")</f>
        <v/>
      </c>
      <c r="F208" s="2" t="str">
        <f>IFERROR(__xludf.DUMMYFUNCTION("""COMPUTED_VALUE"""),"")</f>
        <v/>
      </c>
      <c r="G208" s="27" t="str">
        <f>IFERROR(__xludf.DUMMYFUNCTION("""COMPUTED_VALUE"""),"")</f>
        <v/>
      </c>
      <c r="H208" s="23" t="str">
        <f>IFERROR(__xludf.DUMMYFUNCTION("""COMPUTED_VALUE"""),"")</f>
        <v/>
      </c>
      <c r="I208" s="2" t="str">
        <f>IFERROR(__xludf.DUMMYFUNCTION("""COMPUTED_VALUE"""),"")</f>
        <v/>
      </c>
      <c r="J208" s="27" t="str">
        <f>IFERROR(__xludf.DUMMYFUNCTION("""COMPUTED_VALUE"""),"")</f>
        <v/>
      </c>
      <c r="K208" s="23" t="str">
        <f>IFERROR(__xludf.DUMMYFUNCTION("""COMPUTED_VALUE"""),"")</f>
        <v/>
      </c>
      <c r="L208" s="2" t="str">
        <f>IFERROR(__xludf.DUMMYFUNCTION("""COMPUTED_VALUE"""),"")</f>
        <v/>
      </c>
      <c r="M208" s="27" t="str">
        <f>IFERROR(__xludf.DUMMYFUNCTION("""COMPUTED_VALUE"""),"")</f>
        <v/>
      </c>
      <c r="N208" s="23" t="str">
        <f>IFERROR(__xludf.DUMMYFUNCTION("""COMPUTED_VALUE"""),"")</f>
        <v/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2" t="str">
        <f>IFERROR(__xludf.DUMMYFUNCTION("""COMPUTED_VALUE"""),"575-01903-1")</f>
        <v>575-01903-1</v>
      </c>
      <c r="B209" s="22" t="str">
        <f>IFERROR(__xludf.DUMMYFUNCTION("""COMPUTED_VALUE"""),"Size11 Ctrl Transformer for  R11W-M10/7-1")</f>
        <v>Size11 Ctrl Transformer for  R11W-M10/7-1</v>
      </c>
      <c r="C209" s="23">
        <f>IFERROR(__xludf.DUMMYFUNCTION("""COMPUTED_VALUE"""),0.0)</f>
        <v>0</v>
      </c>
      <c r="D209" s="2" t="str">
        <f>IFERROR(__xludf.DUMMYFUNCTION("""COMPUTED_VALUE"""),"")</f>
        <v/>
      </c>
      <c r="E209" s="25" t="str">
        <f>IFERROR(__xludf.DUMMYFUNCTION("""COMPUTED_VALUE"""),"")</f>
        <v/>
      </c>
      <c r="F209" s="2" t="str">
        <f>IFERROR(__xludf.DUMMYFUNCTION("""COMPUTED_VALUE"""),"")</f>
        <v/>
      </c>
      <c r="G209" s="27" t="str">
        <f>IFERROR(__xludf.DUMMYFUNCTION("""COMPUTED_VALUE"""),"")</f>
        <v/>
      </c>
      <c r="H209" s="23" t="str">
        <f>IFERROR(__xludf.DUMMYFUNCTION("""COMPUTED_VALUE"""),"")</f>
        <v/>
      </c>
      <c r="I209" s="2" t="str">
        <f>IFERROR(__xludf.DUMMYFUNCTION("""COMPUTED_VALUE"""),"")</f>
        <v/>
      </c>
      <c r="J209" s="27" t="str">
        <f>IFERROR(__xludf.DUMMYFUNCTION("""COMPUTED_VALUE"""),"")</f>
        <v/>
      </c>
      <c r="K209" s="23" t="str">
        <f>IFERROR(__xludf.DUMMYFUNCTION("""COMPUTED_VALUE"""),"")</f>
        <v/>
      </c>
      <c r="L209" s="2" t="str">
        <f>IFERROR(__xludf.DUMMYFUNCTION("""COMPUTED_VALUE"""),"")</f>
        <v/>
      </c>
      <c r="M209" s="27" t="str">
        <f>IFERROR(__xludf.DUMMYFUNCTION("""COMPUTED_VALUE"""),"")</f>
        <v/>
      </c>
      <c r="N209" s="23" t="str">
        <f>IFERROR(__xludf.DUMMYFUNCTION("""COMPUTED_VALUE"""),"")</f>
        <v/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2" t="str">
        <f>IFERROR(__xludf.DUMMYFUNCTION("""COMPUTED_VALUE"""),"575-01904")</f>
        <v>575-01904</v>
      </c>
      <c r="B210" s="22" t="str">
        <f>IFERROR(__xludf.DUMMYFUNCTION("""COMPUTED_VALUE"""),"Resolver Size 11, 3/16 Shaft Ameritek Brushless")</f>
        <v>Resolver Size 11, 3/16 Shaft Ameritek Brushless</v>
      </c>
      <c r="C210" s="23">
        <f>IFERROR(__xludf.DUMMYFUNCTION("""COMPUTED_VALUE"""),0.0)</f>
        <v>0</v>
      </c>
      <c r="D210" s="2" t="str">
        <f>IFERROR(__xludf.DUMMYFUNCTION("""COMPUTED_VALUE"""),"")</f>
        <v/>
      </c>
      <c r="E210" s="25" t="str">
        <f>IFERROR(__xludf.DUMMYFUNCTION("""COMPUTED_VALUE"""),"")</f>
        <v/>
      </c>
      <c r="F210" s="2"/>
      <c r="G210" s="2" t="str">
        <f>IFERROR(__xludf.DUMMYFUNCTION("""COMPUTED_VALUE"""),"")</f>
        <v/>
      </c>
      <c r="H210" s="23" t="str">
        <f>IFERROR(__xludf.DUMMYFUNCTION("""COMPUTED_VALUE"""),"")</f>
        <v/>
      </c>
      <c r="I210" s="2" t="str">
        <f>IFERROR(__xludf.DUMMYFUNCTION("""COMPUTED_VALUE"""),"")</f>
        <v/>
      </c>
      <c r="J210" s="27" t="str">
        <f>IFERROR(__xludf.DUMMYFUNCTION("""COMPUTED_VALUE"""),"")</f>
        <v/>
      </c>
      <c r="K210" s="23" t="str">
        <f>IFERROR(__xludf.DUMMYFUNCTION("""COMPUTED_VALUE"""),"")</f>
        <v/>
      </c>
      <c r="L210" s="2" t="str">
        <f>IFERROR(__xludf.DUMMYFUNCTION("""COMPUTED_VALUE"""),"")</f>
        <v/>
      </c>
      <c r="M210" s="27" t="str">
        <f>IFERROR(__xludf.DUMMYFUNCTION("""COMPUTED_VALUE"""),"")</f>
        <v/>
      </c>
      <c r="N210" s="23" t="str">
        <f>IFERROR(__xludf.DUMMYFUNCTION("""COMPUTED_VALUE"""),"")</f>
        <v/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2" t="str">
        <f>IFERROR(__xludf.DUMMYFUNCTION("""COMPUTED_VALUE"""),"575-01904-3")</f>
        <v>575-01904-3</v>
      </c>
      <c r="B211" s="22" t="str">
        <f>IFERROR(__xludf.DUMMYFUNCTION("""COMPUTED_VALUE"""),"Resolver Size 11, 3/16 Shaft Ameritek Brushless")</f>
        <v>Resolver Size 11, 3/16 Shaft Ameritek Brushless</v>
      </c>
      <c r="C211" s="23">
        <f>IFERROR(__xludf.DUMMYFUNCTION("""COMPUTED_VALUE"""),0.0)</f>
        <v>0</v>
      </c>
      <c r="D211" s="2" t="str">
        <f>IFERROR(__xludf.DUMMYFUNCTION("""COMPUTED_VALUE"""),"")</f>
        <v/>
      </c>
      <c r="E211" s="25" t="str">
        <f>IFERROR(__xludf.DUMMYFUNCTION("""COMPUTED_VALUE"""),"")</f>
        <v/>
      </c>
      <c r="F211" s="2"/>
      <c r="G211" s="2" t="str">
        <f>IFERROR(__xludf.DUMMYFUNCTION("""COMPUTED_VALUE"""),"")</f>
        <v/>
      </c>
      <c r="H211" s="23" t="str">
        <f>IFERROR(__xludf.DUMMYFUNCTION("""COMPUTED_VALUE"""),"")</f>
        <v/>
      </c>
      <c r="I211" s="2" t="str">
        <f>IFERROR(__xludf.DUMMYFUNCTION("""COMPUTED_VALUE"""),"")</f>
        <v/>
      </c>
      <c r="J211" s="27" t="str">
        <f>IFERROR(__xludf.DUMMYFUNCTION("""COMPUTED_VALUE"""),"")</f>
        <v/>
      </c>
      <c r="K211" s="23" t="str">
        <f>IFERROR(__xludf.DUMMYFUNCTION("""COMPUTED_VALUE"""),"")</f>
        <v/>
      </c>
      <c r="L211" s="2" t="str">
        <f>IFERROR(__xludf.DUMMYFUNCTION("""COMPUTED_VALUE"""),"")</f>
        <v/>
      </c>
      <c r="M211" s="27" t="str">
        <f>IFERROR(__xludf.DUMMYFUNCTION("""COMPUTED_VALUE"""),"")</f>
        <v/>
      </c>
      <c r="N211" s="23" t="str">
        <f>IFERROR(__xludf.DUMMYFUNCTION("""COMPUTED_VALUE"""),"")</f>
        <v/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2" t="str">
        <f>IFERROR(__xludf.DUMMYFUNCTION("""COMPUTED_VALUE"""),"575-01905")</f>
        <v>575-01905</v>
      </c>
      <c r="B212" s="22" t="str">
        <f>IFERROR(__xludf.DUMMYFUNCTION("""COMPUTED_VALUE"""),"Resolver Size 11 4 Speed ")</f>
        <v>Resolver Size 11 4 Speed </v>
      </c>
      <c r="C212" s="23">
        <f>IFERROR(__xludf.DUMMYFUNCTION("""COMPUTED_VALUE"""),0.0)</f>
        <v>0</v>
      </c>
      <c r="D212" s="2" t="str">
        <f>IFERROR(__xludf.DUMMYFUNCTION("""COMPUTED_VALUE"""),"")</f>
        <v/>
      </c>
      <c r="E212" s="25" t="str">
        <f>IFERROR(__xludf.DUMMYFUNCTION("""COMPUTED_VALUE"""),"")</f>
        <v/>
      </c>
      <c r="F212" s="2" t="str">
        <f>IFERROR(__xludf.DUMMYFUNCTION("""COMPUTED_VALUE"""),"")</f>
        <v/>
      </c>
      <c r="G212" s="27" t="str">
        <f>IFERROR(__xludf.DUMMYFUNCTION("""COMPUTED_VALUE"""),"")</f>
        <v/>
      </c>
      <c r="H212" s="23" t="str">
        <f>IFERROR(__xludf.DUMMYFUNCTION("""COMPUTED_VALUE"""),"")</f>
        <v/>
      </c>
      <c r="I212" s="2" t="str">
        <f>IFERROR(__xludf.DUMMYFUNCTION("""COMPUTED_VALUE"""),"")</f>
        <v/>
      </c>
      <c r="J212" s="27" t="str">
        <f>IFERROR(__xludf.DUMMYFUNCTION("""COMPUTED_VALUE"""),"")</f>
        <v/>
      </c>
      <c r="K212" s="23" t="str">
        <f>IFERROR(__xludf.DUMMYFUNCTION("""COMPUTED_VALUE"""),"")</f>
        <v/>
      </c>
      <c r="L212" s="2" t="str">
        <f>IFERROR(__xludf.DUMMYFUNCTION("""COMPUTED_VALUE"""),"")</f>
        <v/>
      </c>
      <c r="M212" s="27" t="str">
        <f>IFERROR(__xludf.DUMMYFUNCTION("""COMPUTED_VALUE"""),"")</f>
        <v/>
      </c>
      <c r="N212" s="23" t="str">
        <f>IFERROR(__xludf.DUMMYFUNCTION("""COMPUTED_VALUE"""),"")</f>
        <v/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2" t="str">
        <f>IFERROR(__xludf.DUMMYFUNCTION("""COMPUTED_VALUE"""),"575-01909-700")</f>
        <v>575-01909-700</v>
      </c>
      <c r="B213" s="22" t="str">
        <f>IFERROR(__xludf.DUMMYFUNCTION("""COMPUTED_VALUE"""),"Resolver Size 11, &lt;,= 7Min 2 Speed T.R.=.95 Freq.=5K")</f>
        <v>Resolver Size 11, &lt;,= 7Min 2 Speed T.R.=.95 Freq.=5K</v>
      </c>
      <c r="C213" s="23">
        <f>IFERROR(__xludf.DUMMYFUNCTION("""COMPUTED_VALUE"""),0.0)</f>
        <v>0</v>
      </c>
      <c r="D213" s="2" t="str">
        <f>IFERROR(__xludf.DUMMYFUNCTION("""COMPUTED_VALUE"""),"")</f>
        <v/>
      </c>
      <c r="E213" s="25" t="str">
        <f>IFERROR(__xludf.DUMMYFUNCTION("""COMPUTED_VALUE"""),"")</f>
        <v/>
      </c>
      <c r="F213" s="2" t="str">
        <f>IFERROR(__xludf.DUMMYFUNCTION("""COMPUTED_VALUE"""),"")</f>
        <v/>
      </c>
      <c r="G213" s="27" t="str">
        <f>IFERROR(__xludf.DUMMYFUNCTION("""COMPUTED_VALUE"""),"")</f>
        <v/>
      </c>
      <c r="H213" s="23" t="str">
        <f>IFERROR(__xludf.DUMMYFUNCTION("""COMPUTED_VALUE"""),"")</f>
        <v/>
      </c>
      <c r="I213" s="2" t="str">
        <f>IFERROR(__xludf.DUMMYFUNCTION("""COMPUTED_VALUE"""),"")</f>
        <v/>
      </c>
      <c r="J213" s="27" t="str">
        <f>IFERROR(__xludf.DUMMYFUNCTION("""COMPUTED_VALUE"""),"")</f>
        <v/>
      </c>
      <c r="K213" s="23" t="str">
        <f>IFERROR(__xludf.DUMMYFUNCTION("""COMPUTED_VALUE"""),"")</f>
        <v/>
      </c>
      <c r="L213" s="2" t="str">
        <f>IFERROR(__xludf.DUMMYFUNCTION("""COMPUTED_VALUE"""),"")</f>
        <v/>
      </c>
      <c r="M213" s="27" t="str">
        <f>IFERROR(__xludf.DUMMYFUNCTION("""COMPUTED_VALUE"""),"")</f>
        <v/>
      </c>
      <c r="N213" s="23" t="str">
        <f>IFERROR(__xludf.DUMMYFUNCTION("""COMPUTED_VALUE"""),"")</f>
        <v/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2" t="str">
        <f>IFERROR(__xludf.DUMMYFUNCTION("""COMPUTED_VALUE"""),"575-01911-1")</f>
        <v>575-01911-1</v>
      </c>
      <c r="B214" s="22" t="str">
        <f>IFERROR(__xludf.DUMMYFUNCTION("""COMPUTED_VALUE"""),"Resolver Size 11, T.R. = .50 FREQ.= 2500, ACCUR. = &lt;7")</f>
        <v>Resolver Size 11, T.R. = .50 FREQ.= 2500, ACCUR. = &lt;7</v>
      </c>
      <c r="C214" s="23">
        <f>IFERROR(__xludf.DUMMYFUNCTION("""COMPUTED_VALUE"""),0.0)</f>
        <v>0</v>
      </c>
      <c r="D214" s="2" t="str">
        <f>IFERROR(__xludf.DUMMYFUNCTION("""COMPUTED_VALUE"""),"")</f>
        <v/>
      </c>
      <c r="E214" s="25" t="str">
        <f>IFERROR(__xludf.DUMMYFUNCTION("""COMPUTED_VALUE"""),"")</f>
        <v/>
      </c>
      <c r="F214" s="2" t="str">
        <f>IFERROR(__xludf.DUMMYFUNCTION("""COMPUTED_VALUE"""),"")</f>
        <v/>
      </c>
      <c r="G214" s="27" t="str">
        <f>IFERROR(__xludf.DUMMYFUNCTION("""COMPUTED_VALUE"""),"")</f>
        <v/>
      </c>
      <c r="H214" s="23" t="str">
        <f>IFERROR(__xludf.DUMMYFUNCTION("""COMPUTED_VALUE"""),"")</f>
        <v/>
      </c>
      <c r="I214" s="2" t="str">
        <f>IFERROR(__xludf.DUMMYFUNCTION("""COMPUTED_VALUE"""),"")</f>
        <v/>
      </c>
      <c r="J214" s="27" t="str">
        <f>IFERROR(__xludf.DUMMYFUNCTION("""COMPUTED_VALUE"""),"")</f>
        <v/>
      </c>
      <c r="K214" s="23" t="str">
        <f>IFERROR(__xludf.DUMMYFUNCTION("""COMPUTED_VALUE"""),"")</f>
        <v/>
      </c>
      <c r="L214" s="2" t="str">
        <f>IFERROR(__xludf.DUMMYFUNCTION("""COMPUTED_VALUE"""),"")</f>
        <v/>
      </c>
      <c r="M214" s="27" t="str">
        <f>IFERROR(__xludf.DUMMYFUNCTION("""COMPUTED_VALUE"""),"")</f>
        <v/>
      </c>
      <c r="N214" s="23" t="str">
        <f>IFERROR(__xludf.DUMMYFUNCTION("""COMPUTED_VALUE"""),"")</f>
        <v/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2" t="str">
        <f>IFERROR(__xludf.DUMMYFUNCTION("""COMPUTED_VALUE"""),"575-01911-10")</f>
        <v>575-01911-10</v>
      </c>
      <c r="B215" s="22" t="str">
        <f>IFERROR(__xludf.DUMMYFUNCTION("""COMPUTED_VALUE"""),"Resolver Size 11, T.R. = .50 FREQ.= 2500, ACCUR. = &lt;3")</f>
        <v>Resolver Size 11, T.R. = .50 FREQ.= 2500, ACCUR. = &lt;3</v>
      </c>
      <c r="C215" s="23">
        <f>IFERROR(__xludf.DUMMYFUNCTION("""COMPUTED_VALUE"""),0.0)</f>
        <v>0</v>
      </c>
      <c r="D215" s="2" t="str">
        <f>IFERROR(__xludf.DUMMYFUNCTION("""COMPUTED_VALUE"""),"")</f>
        <v/>
      </c>
      <c r="E215" s="25" t="str">
        <f>IFERROR(__xludf.DUMMYFUNCTION("""COMPUTED_VALUE"""),"")</f>
        <v/>
      </c>
      <c r="F215" s="2" t="str">
        <f>IFERROR(__xludf.DUMMYFUNCTION("""COMPUTED_VALUE"""),"")</f>
        <v/>
      </c>
      <c r="G215" s="27" t="str">
        <f>IFERROR(__xludf.DUMMYFUNCTION("""COMPUTED_VALUE"""),"")</f>
        <v/>
      </c>
      <c r="H215" s="23" t="str">
        <f>IFERROR(__xludf.DUMMYFUNCTION("""COMPUTED_VALUE"""),"")</f>
        <v/>
      </c>
      <c r="I215" s="2" t="str">
        <f>IFERROR(__xludf.DUMMYFUNCTION("""COMPUTED_VALUE"""),"")</f>
        <v/>
      </c>
      <c r="J215" s="27" t="str">
        <f>IFERROR(__xludf.DUMMYFUNCTION("""COMPUTED_VALUE"""),"")</f>
        <v/>
      </c>
      <c r="K215" s="23" t="str">
        <f>IFERROR(__xludf.DUMMYFUNCTION("""COMPUTED_VALUE"""),"")</f>
        <v/>
      </c>
      <c r="L215" s="2" t="str">
        <f>IFERROR(__xludf.DUMMYFUNCTION("""COMPUTED_VALUE"""),"")</f>
        <v/>
      </c>
      <c r="M215" s="27" t="str">
        <f>IFERROR(__xludf.DUMMYFUNCTION("""COMPUTED_VALUE"""),"")</f>
        <v/>
      </c>
      <c r="N215" s="23" t="str">
        <f>IFERROR(__xludf.DUMMYFUNCTION("""COMPUTED_VALUE"""),"")</f>
        <v/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2" t="str">
        <f>IFERROR(__xludf.DUMMYFUNCTION("""COMPUTED_VALUE"""),"575-01911-3")</f>
        <v>575-01911-3</v>
      </c>
      <c r="B216" s="22" t="str">
        <f>IFERROR(__xludf.DUMMYFUNCTION("""COMPUTED_VALUE"""),"Ctrl. Xformer Size11; TR=0.5 FREQ.= 2500, ACCUR. = &lt;3")</f>
        <v>Ctrl. Xformer Size11; TR=0.5 FREQ.= 2500, ACCUR. = &lt;3</v>
      </c>
      <c r="C216" s="23">
        <f>IFERROR(__xludf.DUMMYFUNCTION("""COMPUTED_VALUE"""),0.0)</f>
        <v>0</v>
      </c>
      <c r="D216" s="2" t="str">
        <f>IFERROR(__xludf.DUMMYFUNCTION("""COMPUTED_VALUE"""),"")</f>
        <v/>
      </c>
      <c r="E216" s="25" t="str">
        <f>IFERROR(__xludf.DUMMYFUNCTION("""COMPUTED_VALUE"""),"")</f>
        <v/>
      </c>
      <c r="F216" s="2" t="str">
        <f>IFERROR(__xludf.DUMMYFUNCTION("""COMPUTED_VALUE"""),"")</f>
        <v/>
      </c>
      <c r="G216" s="27" t="str">
        <f>IFERROR(__xludf.DUMMYFUNCTION("""COMPUTED_VALUE"""),"")</f>
        <v/>
      </c>
      <c r="H216" s="23" t="str">
        <f>IFERROR(__xludf.DUMMYFUNCTION("""COMPUTED_VALUE"""),"")</f>
        <v/>
      </c>
      <c r="I216" s="2" t="str">
        <f>IFERROR(__xludf.DUMMYFUNCTION("""COMPUTED_VALUE"""),"")</f>
        <v/>
      </c>
      <c r="J216" s="27" t="str">
        <f>IFERROR(__xludf.DUMMYFUNCTION("""COMPUTED_VALUE"""),"")</f>
        <v/>
      </c>
      <c r="K216" s="23" t="str">
        <f>IFERROR(__xludf.DUMMYFUNCTION("""COMPUTED_VALUE"""),"")</f>
        <v/>
      </c>
      <c r="L216" s="2" t="str">
        <f>IFERROR(__xludf.DUMMYFUNCTION("""COMPUTED_VALUE"""),"")</f>
        <v/>
      </c>
      <c r="M216" s="27" t="str">
        <f>IFERROR(__xludf.DUMMYFUNCTION("""COMPUTED_VALUE"""),"")</f>
        <v/>
      </c>
      <c r="N216" s="23" t="str">
        <f>IFERROR(__xludf.DUMMYFUNCTION("""COMPUTED_VALUE"""),"")</f>
        <v/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2" t="str">
        <f>IFERROR(__xludf.DUMMYFUNCTION("""COMPUTED_VALUE"""),"575-01912-1")</f>
        <v>575-01912-1</v>
      </c>
      <c r="B217" s="22" t="str">
        <f>IFERROR(__xludf.DUMMYFUNCTION("""COMPUTED_VALUE"""),"Resolver Size 11, T.R. = .45 FREQ.= 1000, ACCUR. = &lt;5,")</f>
        <v>Resolver Size 11, T.R. = .45 FREQ.= 1000, ACCUR. = &lt;5,</v>
      </c>
      <c r="C217" s="23">
        <f>IFERROR(__xludf.DUMMYFUNCTION("""COMPUTED_VALUE"""),0.0)</f>
        <v>0</v>
      </c>
      <c r="D217" s="2" t="str">
        <f>IFERROR(__xludf.DUMMYFUNCTION("""COMPUTED_VALUE"""),"")</f>
        <v/>
      </c>
      <c r="E217" s="25" t="str">
        <f>IFERROR(__xludf.DUMMYFUNCTION("""COMPUTED_VALUE"""),"")</f>
        <v/>
      </c>
      <c r="F217" s="2" t="str">
        <f>IFERROR(__xludf.DUMMYFUNCTION("""COMPUTED_VALUE"""),"")</f>
        <v/>
      </c>
      <c r="G217" s="27" t="str">
        <f>IFERROR(__xludf.DUMMYFUNCTION("""COMPUTED_VALUE"""),"")</f>
        <v/>
      </c>
      <c r="H217" s="23" t="str">
        <f>IFERROR(__xludf.DUMMYFUNCTION("""COMPUTED_VALUE"""),"")</f>
        <v/>
      </c>
      <c r="I217" s="2" t="str">
        <f>IFERROR(__xludf.DUMMYFUNCTION("""COMPUTED_VALUE"""),"")</f>
        <v/>
      </c>
      <c r="J217" s="27" t="str">
        <f>IFERROR(__xludf.DUMMYFUNCTION("""COMPUTED_VALUE"""),"")</f>
        <v/>
      </c>
      <c r="K217" s="23" t="str">
        <f>IFERROR(__xludf.DUMMYFUNCTION("""COMPUTED_VALUE"""),"")</f>
        <v/>
      </c>
      <c r="L217" s="2" t="str">
        <f>IFERROR(__xludf.DUMMYFUNCTION("""COMPUTED_VALUE"""),"")</f>
        <v/>
      </c>
      <c r="M217" s="27" t="str">
        <f>IFERROR(__xludf.DUMMYFUNCTION("""COMPUTED_VALUE"""),"")</f>
        <v/>
      </c>
      <c r="N217" s="23" t="str">
        <f>IFERROR(__xludf.DUMMYFUNCTION("""COMPUTED_VALUE"""),"")</f>
        <v/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2" t="str">
        <f>IFERROR(__xludf.DUMMYFUNCTION("""COMPUTED_VALUE"""),"575-01912-10")</f>
        <v>575-01912-10</v>
      </c>
      <c r="B218" s="22" t="str">
        <f>IFERROR(__xludf.DUMMYFUNCTION("""COMPUTED_VALUE"""),"Resolver Size 11, T.R. = .45 FREQ.= 1000, ACCUR. = &lt;3,")</f>
        <v>Resolver Size 11, T.R. = .45 FREQ.= 1000, ACCUR. = &lt;3,</v>
      </c>
      <c r="C218" s="23">
        <f>IFERROR(__xludf.DUMMYFUNCTION("""COMPUTED_VALUE"""),0.0)</f>
        <v>0</v>
      </c>
      <c r="D218" s="2" t="str">
        <f>IFERROR(__xludf.DUMMYFUNCTION("""COMPUTED_VALUE"""),"")</f>
        <v/>
      </c>
      <c r="E218" s="25" t="str">
        <f>IFERROR(__xludf.DUMMYFUNCTION("""COMPUTED_VALUE"""),"")</f>
        <v/>
      </c>
      <c r="F218" s="2" t="str">
        <f>IFERROR(__xludf.DUMMYFUNCTION("""COMPUTED_VALUE"""),"")</f>
        <v/>
      </c>
      <c r="G218" s="27" t="str">
        <f>IFERROR(__xludf.DUMMYFUNCTION("""COMPUTED_VALUE"""),"")</f>
        <v/>
      </c>
      <c r="H218" s="23" t="str">
        <f>IFERROR(__xludf.DUMMYFUNCTION("""COMPUTED_VALUE"""),"")</f>
        <v/>
      </c>
      <c r="I218" s="2" t="str">
        <f>IFERROR(__xludf.DUMMYFUNCTION("""COMPUTED_VALUE"""),"")</f>
        <v/>
      </c>
      <c r="J218" s="27" t="str">
        <f>IFERROR(__xludf.DUMMYFUNCTION("""COMPUTED_VALUE"""),"")</f>
        <v/>
      </c>
      <c r="K218" s="23" t="str">
        <f>IFERROR(__xludf.DUMMYFUNCTION("""COMPUTED_VALUE"""),"")</f>
        <v/>
      </c>
      <c r="L218" s="2" t="str">
        <f>IFERROR(__xludf.DUMMYFUNCTION("""COMPUTED_VALUE"""),"")</f>
        <v/>
      </c>
      <c r="M218" s="27" t="str">
        <f>IFERROR(__xludf.DUMMYFUNCTION("""COMPUTED_VALUE"""),"")</f>
        <v/>
      </c>
      <c r="N218" s="23" t="str">
        <f>IFERROR(__xludf.DUMMYFUNCTION("""COMPUTED_VALUE"""),"")</f>
        <v/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2" t="str">
        <f>IFERROR(__xludf.DUMMYFUNCTION("""COMPUTED_VALUE"""),"575-01912-11")</f>
        <v>575-01912-11</v>
      </c>
      <c r="B219" s="22" t="str">
        <f>IFERROR(__xludf.DUMMYFUNCTION("""COMPUTED_VALUE"""),"Resolver Size 11, T.R. = .45 FREQ.= 1000, ACCUR. = &lt;7,")</f>
        <v>Resolver Size 11, T.R. = .45 FREQ.= 1000, ACCUR. = &lt;7,</v>
      </c>
      <c r="C219" s="23">
        <f>IFERROR(__xludf.DUMMYFUNCTION("""COMPUTED_VALUE"""),0.0)</f>
        <v>0</v>
      </c>
      <c r="D219" s="2" t="str">
        <f>IFERROR(__xludf.DUMMYFUNCTION("""COMPUTED_VALUE"""),"")</f>
        <v/>
      </c>
      <c r="E219" s="25" t="str">
        <f>IFERROR(__xludf.DUMMYFUNCTION("""COMPUTED_VALUE"""),"")</f>
        <v/>
      </c>
      <c r="F219" s="2"/>
      <c r="G219" s="2" t="str">
        <f>IFERROR(__xludf.DUMMYFUNCTION("""COMPUTED_VALUE"""),"")</f>
        <v/>
      </c>
      <c r="H219" s="23" t="str">
        <f>IFERROR(__xludf.DUMMYFUNCTION("""COMPUTED_VALUE"""),"")</f>
        <v/>
      </c>
      <c r="I219" s="2" t="str">
        <f>IFERROR(__xludf.DUMMYFUNCTION("""COMPUTED_VALUE"""),"")</f>
        <v/>
      </c>
      <c r="J219" s="27" t="str">
        <f>IFERROR(__xludf.DUMMYFUNCTION("""COMPUTED_VALUE"""),"")</f>
        <v/>
      </c>
      <c r="K219" s="23" t="str">
        <f>IFERROR(__xludf.DUMMYFUNCTION("""COMPUTED_VALUE"""),"")</f>
        <v/>
      </c>
      <c r="L219" s="2" t="str">
        <f>IFERROR(__xludf.DUMMYFUNCTION("""COMPUTED_VALUE"""),"")</f>
        <v/>
      </c>
      <c r="M219" s="27" t="str">
        <f>IFERROR(__xludf.DUMMYFUNCTION("""COMPUTED_VALUE"""),"")</f>
        <v/>
      </c>
      <c r="N219" s="23" t="str">
        <f>IFERROR(__xludf.DUMMYFUNCTION("""COMPUTED_VALUE"""),"")</f>
        <v/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2" t="str">
        <f>IFERROR(__xludf.DUMMYFUNCTION("""COMPUTED_VALUE"""),"575-01912-12")</f>
        <v>575-01912-12</v>
      </c>
      <c r="B220" s="22" t="str">
        <f>IFERROR(__xludf.DUMMYFUNCTION("""COMPUTED_VALUE"""),"Resolver Size 11,T.R.=.45 FREQ.=1000,ACCUR.= 3.5 to 5")</f>
        <v>Resolver Size 11,T.R.=.45 FREQ.=1000,ACCUR.= 3.5 to 5</v>
      </c>
      <c r="C220" s="23">
        <f>IFERROR(__xludf.DUMMYFUNCTION("""COMPUTED_VALUE"""),0.0)</f>
        <v>0</v>
      </c>
      <c r="D220" s="2" t="str">
        <f>IFERROR(__xludf.DUMMYFUNCTION("""COMPUTED_VALUE"""),"")</f>
        <v/>
      </c>
      <c r="E220" s="25" t="str">
        <f>IFERROR(__xludf.DUMMYFUNCTION("""COMPUTED_VALUE"""),"")</f>
        <v/>
      </c>
      <c r="F220" s="2" t="str">
        <f>IFERROR(__xludf.DUMMYFUNCTION("""COMPUTED_VALUE"""),"")</f>
        <v/>
      </c>
      <c r="G220" s="27" t="str">
        <f>IFERROR(__xludf.DUMMYFUNCTION("""COMPUTED_VALUE"""),"")</f>
        <v/>
      </c>
      <c r="H220" s="23" t="str">
        <f>IFERROR(__xludf.DUMMYFUNCTION("""COMPUTED_VALUE"""),"")</f>
        <v/>
      </c>
      <c r="I220" s="2" t="str">
        <f>IFERROR(__xludf.DUMMYFUNCTION("""COMPUTED_VALUE"""),"")</f>
        <v/>
      </c>
      <c r="J220" s="27" t="str">
        <f>IFERROR(__xludf.DUMMYFUNCTION("""COMPUTED_VALUE"""),"")</f>
        <v/>
      </c>
      <c r="K220" s="23" t="str">
        <f>IFERROR(__xludf.DUMMYFUNCTION("""COMPUTED_VALUE"""),"")</f>
        <v/>
      </c>
      <c r="L220" s="2" t="str">
        <f>IFERROR(__xludf.DUMMYFUNCTION("""COMPUTED_VALUE"""),"")</f>
        <v/>
      </c>
      <c r="M220" s="27" t="str">
        <f>IFERROR(__xludf.DUMMYFUNCTION("""COMPUTED_VALUE"""),"")</f>
        <v/>
      </c>
      <c r="N220" s="23" t="str">
        <f>IFERROR(__xludf.DUMMYFUNCTION("""COMPUTED_VALUE"""),"")</f>
        <v/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2" t="str">
        <f>IFERROR(__xludf.DUMMYFUNCTION("""COMPUTED_VALUE"""),"575-01912-2")</f>
        <v>575-01912-2</v>
      </c>
      <c r="B221" s="22" t="str">
        <f>IFERROR(__xludf.DUMMYFUNCTION("""COMPUTED_VALUE"""),"Resolver Size 11, T.R. = .45 FREQ.= 1000, ACCUR. = &lt;5,")</f>
        <v>Resolver Size 11, T.R. = .45 FREQ.= 1000, ACCUR. = &lt;5,</v>
      </c>
      <c r="C221" s="23">
        <f>IFERROR(__xludf.DUMMYFUNCTION("""COMPUTED_VALUE"""),0.0)</f>
        <v>0</v>
      </c>
      <c r="D221" s="2" t="str">
        <f>IFERROR(__xludf.DUMMYFUNCTION("""COMPUTED_VALUE"""),"")</f>
        <v/>
      </c>
      <c r="E221" s="25" t="str">
        <f>IFERROR(__xludf.DUMMYFUNCTION("""COMPUTED_VALUE"""),"")</f>
        <v/>
      </c>
      <c r="F221" s="2" t="str">
        <f>IFERROR(__xludf.DUMMYFUNCTION("""COMPUTED_VALUE"""),"")</f>
        <v/>
      </c>
      <c r="G221" s="27" t="str">
        <f>IFERROR(__xludf.DUMMYFUNCTION("""COMPUTED_VALUE"""),"")</f>
        <v/>
      </c>
      <c r="H221" s="23" t="str">
        <f>IFERROR(__xludf.DUMMYFUNCTION("""COMPUTED_VALUE"""),"")</f>
        <v/>
      </c>
      <c r="I221" s="2" t="str">
        <f>IFERROR(__xludf.DUMMYFUNCTION("""COMPUTED_VALUE"""),"")</f>
        <v/>
      </c>
      <c r="J221" s="27" t="str">
        <f>IFERROR(__xludf.DUMMYFUNCTION("""COMPUTED_VALUE"""),"")</f>
        <v/>
      </c>
      <c r="K221" s="23" t="str">
        <f>IFERROR(__xludf.DUMMYFUNCTION("""COMPUTED_VALUE"""),"")</f>
        <v/>
      </c>
      <c r="L221" s="2" t="str">
        <f>IFERROR(__xludf.DUMMYFUNCTION("""COMPUTED_VALUE"""),"")</f>
        <v/>
      </c>
      <c r="M221" s="27" t="str">
        <f>IFERROR(__xludf.DUMMYFUNCTION("""COMPUTED_VALUE"""),"")</f>
        <v/>
      </c>
      <c r="N221" s="23" t="str">
        <f>IFERROR(__xludf.DUMMYFUNCTION("""COMPUTED_VALUE"""),"")</f>
        <v/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2" t="str">
        <f>IFERROR(__xludf.DUMMYFUNCTION("""COMPUTED_VALUE"""),"575-01912-703-01")</f>
        <v>575-01912-703-01</v>
      </c>
      <c r="B222" s="22" t="str">
        <f>IFERROR(__xludf.DUMMYFUNCTION("""COMPUTED_VALUE"""),"SIZE 11 RESOLVER .45 TR @1000Hz, .120"" SHAFT")</f>
        <v>SIZE 11 RESOLVER .45 TR @1000Hz, .120" SHAFT</v>
      </c>
      <c r="C222" s="23">
        <f>IFERROR(__xludf.DUMMYFUNCTION("""COMPUTED_VALUE"""),0.0)</f>
        <v>0</v>
      </c>
      <c r="D222" s="2" t="str">
        <f>IFERROR(__xludf.DUMMYFUNCTION("""COMPUTED_VALUE"""),"")</f>
        <v/>
      </c>
      <c r="E222" s="25" t="str">
        <f>IFERROR(__xludf.DUMMYFUNCTION("""COMPUTED_VALUE"""),"")</f>
        <v/>
      </c>
      <c r="F222" s="2" t="str">
        <f>IFERROR(__xludf.DUMMYFUNCTION("""COMPUTED_VALUE"""),"")</f>
        <v/>
      </c>
      <c r="G222" s="27" t="str">
        <f>IFERROR(__xludf.DUMMYFUNCTION("""COMPUTED_VALUE"""),"")</f>
        <v/>
      </c>
      <c r="H222" s="23" t="str">
        <f>IFERROR(__xludf.DUMMYFUNCTION("""COMPUTED_VALUE"""),"")</f>
        <v/>
      </c>
      <c r="I222" s="2" t="str">
        <f>IFERROR(__xludf.DUMMYFUNCTION("""COMPUTED_VALUE"""),"")</f>
        <v/>
      </c>
      <c r="J222" s="27" t="str">
        <f>IFERROR(__xludf.DUMMYFUNCTION("""COMPUTED_VALUE"""),"")</f>
        <v/>
      </c>
      <c r="K222" s="23" t="str">
        <f>IFERROR(__xludf.DUMMYFUNCTION("""COMPUTED_VALUE"""),"")</f>
        <v/>
      </c>
      <c r="L222" s="2" t="str">
        <f>IFERROR(__xludf.DUMMYFUNCTION("""COMPUTED_VALUE"""),"")</f>
        <v/>
      </c>
      <c r="M222" s="27" t="str">
        <f>IFERROR(__xludf.DUMMYFUNCTION("""COMPUTED_VALUE"""),"")</f>
        <v/>
      </c>
      <c r="N222" s="23" t="str">
        <f>IFERROR(__xludf.DUMMYFUNCTION("""COMPUTED_VALUE"""),"")</f>
        <v/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2" t="str">
        <f>IFERROR(__xludf.DUMMYFUNCTION("""COMPUTED_VALUE"""),"575-01913-1")</f>
        <v>575-01913-1</v>
      </c>
      <c r="B223" s="22" t="str">
        <f>IFERROR(__xludf.DUMMYFUNCTION("""COMPUTED_VALUE"""),"Resolver Size 11, T.R. = .98 FREQ.= 2500, ACCUR. = &lt;7,")</f>
        <v>Resolver Size 11, T.R. = .98 FREQ.= 2500, ACCUR. = &lt;7,</v>
      </c>
      <c r="C223" s="23">
        <f>IFERROR(__xludf.DUMMYFUNCTION("""COMPUTED_VALUE"""),0.0)</f>
        <v>0</v>
      </c>
      <c r="D223" s="2" t="str">
        <f>IFERROR(__xludf.DUMMYFUNCTION("""COMPUTED_VALUE"""),"")</f>
        <v/>
      </c>
      <c r="E223" s="25" t="str">
        <f>IFERROR(__xludf.DUMMYFUNCTION("""COMPUTED_VALUE"""),"")</f>
        <v/>
      </c>
      <c r="F223" s="2" t="str">
        <f>IFERROR(__xludf.DUMMYFUNCTION("""COMPUTED_VALUE"""),"")</f>
        <v/>
      </c>
      <c r="G223" s="27" t="str">
        <f>IFERROR(__xludf.DUMMYFUNCTION("""COMPUTED_VALUE"""),"")</f>
        <v/>
      </c>
      <c r="H223" s="23" t="str">
        <f>IFERROR(__xludf.DUMMYFUNCTION("""COMPUTED_VALUE"""),"")</f>
        <v/>
      </c>
      <c r="I223" s="2" t="str">
        <f>IFERROR(__xludf.DUMMYFUNCTION("""COMPUTED_VALUE"""),"")</f>
        <v/>
      </c>
      <c r="J223" s="27" t="str">
        <f>IFERROR(__xludf.DUMMYFUNCTION("""COMPUTED_VALUE"""),"")</f>
        <v/>
      </c>
      <c r="K223" s="23" t="str">
        <f>IFERROR(__xludf.DUMMYFUNCTION("""COMPUTED_VALUE"""),"")</f>
        <v/>
      </c>
      <c r="L223" s="2" t="str">
        <f>IFERROR(__xludf.DUMMYFUNCTION("""COMPUTED_VALUE"""),"")</f>
        <v/>
      </c>
      <c r="M223" s="27" t="str">
        <f>IFERROR(__xludf.DUMMYFUNCTION("""COMPUTED_VALUE"""),"")</f>
        <v/>
      </c>
      <c r="N223" s="23" t="str">
        <f>IFERROR(__xludf.DUMMYFUNCTION("""COMPUTED_VALUE"""),"")</f>
        <v/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2" t="str">
        <f>IFERROR(__xludf.DUMMYFUNCTION("""COMPUTED_VALUE"""),"575-01914")</f>
        <v>575-01914</v>
      </c>
      <c r="B224" s="22" t="str">
        <f>IFERROR(__xludf.DUMMYFUNCTION("""COMPUTED_VALUE"""),"Resolver Size 11, T.R. = .50 FREQ.= 2500, ACCUR. = &lt;5,")</f>
        <v>Resolver Size 11, T.R. = .50 FREQ.= 2500, ACCUR. = &lt;5,</v>
      </c>
      <c r="C224" s="23">
        <f>IFERROR(__xludf.DUMMYFUNCTION("""COMPUTED_VALUE"""),0.0)</f>
        <v>0</v>
      </c>
      <c r="D224" s="2" t="str">
        <f>IFERROR(__xludf.DUMMYFUNCTION("""COMPUTED_VALUE"""),"")</f>
        <v/>
      </c>
      <c r="E224" s="25" t="str">
        <f>IFERROR(__xludf.DUMMYFUNCTION("""COMPUTED_VALUE"""),"")</f>
        <v/>
      </c>
      <c r="F224" s="2" t="str">
        <f>IFERROR(__xludf.DUMMYFUNCTION("""COMPUTED_VALUE"""),"")</f>
        <v/>
      </c>
      <c r="G224" s="27" t="str">
        <f>IFERROR(__xludf.DUMMYFUNCTION("""COMPUTED_VALUE"""),"")</f>
        <v/>
      </c>
      <c r="H224" s="23" t="str">
        <f>IFERROR(__xludf.DUMMYFUNCTION("""COMPUTED_VALUE"""),"")</f>
        <v/>
      </c>
      <c r="I224" s="2" t="str">
        <f>IFERROR(__xludf.DUMMYFUNCTION("""COMPUTED_VALUE"""),"")</f>
        <v/>
      </c>
      <c r="J224" s="27" t="str">
        <f>IFERROR(__xludf.DUMMYFUNCTION("""COMPUTED_VALUE"""),"")</f>
        <v/>
      </c>
      <c r="K224" s="23" t="str">
        <f>IFERROR(__xludf.DUMMYFUNCTION("""COMPUTED_VALUE"""),"")</f>
        <v/>
      </c>
      <c r="L224" s="2" t="str">
        <f>IFERROR(__xludf.DUMMYFUNCTION("""COMPUTED_VALUE"""),"")</f>
        <v/>
      </c>
      <c r="M224" s="27" t="str">
        <f>IFERROR(__xludf.DUMMYFUNCTION("""COMPUTED_VALUE"""),"")</f>
        <v/>
      </c>
      <c r="N224" s="23" t="str">
        <f>IFERROR(__xludf.DUMMYFUNCTION("""COMPUTED_VALUE"""),"")</f>
        <v/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2" t="str">
        <f>IFERROR(__xludf.DUMMYFUNCTION("""COMPUTED_VALUE"""),"575-01914-1")</f>
        <v>575-01914-1</v>
      </c>
      <c r="B225" s="22" t="str">
        <f>IFERROR(__xludf.DUMMYFUNCTION("""COMPUTED_VALUE"""),"Resolver Size 11, T.R. = .50 FREQ.= 2500, ACCUR. = &lt;5,")</f>
        <v>Resolver Size 11, T.R. = .50 FREQ.= 2500, ACCUR. = &lt;5,</v>
      </c>
      <c r="C225" s="23">
        <f>IFERROR(__xludf.DUMMYFUNCTION("""COMPUTED_VALUE"""),0.0)</f>
        <v>0</v>
      </c>
      <c r="D225" s="2" t="str">
        <f>IFERROR(__xludf.DUMMYFUNCTION("""COMPUTED_VALUE"""),"")</f>
        <v/>
      </c>
      <c r="E225" s="25" t="str">
        <f>IFERROR(__xludf.DUMMYFUNCTION("""COMPUTED_VALUE"""),"")</f>
        <v/>
      </c>
      <c r="F225" s="2" t="str">
        <f>IFERROR(__xludf.DUMMYFUNCTION("""COMPUTED_VALUE"""),"")</f>
        <v/>
      </c>
      <c r="G225" s="27" t="str">
        <f>IFERROR(__xludf.DUMMYFUNCTION("""COMPUTED_VALUE"""),"")</f>
        <v/>
      </c>
      <c r="H225" s="23" t="str">
        <f>IFERROR(__xludf.DUMMYFUNCTION("""COMPUTED_VALUE"""),"")</f>
        <v/>
      </c>
      <c r="I225" s="2" t="str">
        <f>IFERROR(__xludf.DUMMYFUNCTION("""COMPUTED_VALUE"""),"")</f>
        <v/>
      </c>
      <c r="J225" s="27" t="str">
        <f>IFERROR(__xludf.DUMMYFUNCTION("""COMPUTED_VALUE"""),"")</f>
        <v/>
      </c>
      <c r="K225" s="23" t="str">
        <f>IFERROR(__xludf.DUMMYFUNCTION("""COMPUTED_VALUE"""),"")</f>
        <v/>
      </c>
      <c r="L225" s="2" t="str">
        <f>IFERROR(__xludf.DUMMYFUNCTION("""COMPUTED_VALUE"""),"")</f>
        <v/>
      </c>
      <c r="M225" s="27" t="str">
        <f>IFERROR(__xludf.DUMMYFUNCTION("""COMPUTED_VALUE"""),"")</f>
        <v/>
      </c>
      <c r="N225" s="23" t="str">
        <f>IFERROR(__xludf.DUMMYFUNCTION("""COMPUTED_VALUE"""),"")</f>
        <v/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2" t="str">
        <f>IFERROR(__xludf.DUMMYFUNCTION("""COMPUTED_VALUE"""),"575-01916-1")</f>
        <v>575-01916-1</v>
      </c>
      <c r="B226" s="22" t="str">
        <f>IFERROR(__xludf.DUMMYFUNCTION("""COMPUTED_VALUE"""),"Resolver Size 11, T.R. = .45 FREQ.= 1000, ACCUR. = &lt;6,")</f>
        <v>Resolver Size 11, T.R. = .45 FREQ.= 1000, ACCUR. = &lt;6,</v>
      </c>
      <c r="C226" s="23">
        <f>IFERROR(__xludf.DUMMYFUNCTION("""COMPUTED_VALUE"""),0.0)</f>
        <v>0</v>
      </c>
      <c r="D226" s="2" t="str">
        <f>IFERROR(__xludf.DUMMYFUNCTION("""COMPUTED_VALUE"""),"")</f>
        <v/>
      </c>
      <c r="E226" s="25" t="str">
        <f>IFERROR(__xludf.DUMMYFUNCTION("""COMPUTED_VALUE"""),"")</f>
        <v/>
      </c>
      <c r="F226" s="2" t="str">
        <f>IFERROR(__xludf.DUMMYFUNCTION("""COMPUTED_VALUE"""),"")</f>
        <v/>
      </c>
      <c r="G226" s="27" t="str">
        <f>IFERROR(__xludf.DUMMYFUNCTION("""COMPUTED_VALUE"""),"")</f>
        <v/>
      </c>
      <c r="H226" s="23" t="str">
        <f>IFERROR(__xludf.DUMMYFUNCTION("""COMPUTED_VALUE"""),"")</f>
        <v/>
      </c>
      <c r="I226" s="2" t="str">
        <f>IFERROR(__xludf.DUMMYFUNCTION("""COMPUTED_VALUE"""),"")</f>
        <v/>
      </c>
      <c r="J226" s="27" t="str">
        <f>IFERROR(__xludf.DUMMYFUNCTION("""COMPUTED_VALUE"""),"")</f>
        <v/>
      </c>
      <c r="K226" s="23" t="str">
        <f>IFERROR(__xludf.DUMMYFUNCTION("""COMPUTED_VALUE"""),"")</f>
        <v/>
      </c>
      <c r="L226" s="2" t="str">
        <f>IFERROR(__xludf.DUMMYFUNCTION("""COMPUTED_VALUE"""),"")</f>
        <v/>
      </c>
      <c r="M226" s="27" t="str">
        <f>IFERROR(__xludf.DUMMYFUNCTION("""COMPUTED_VALUE"""),"")</f>
        <v/>
      </c>
      <c r="N226" s="23" t="str">
        <f>IFERROR(__xludf.DUMMYFUNCTION("""COMPUTED_VALUE"""),"")</f>
        <v/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2" t="str">
        <f>IFERROR(__xludf.DUMMYFUNCTION("""COMPUTED_VALUE"""),"575-01918-750")</f>
        <v>575-01918-750</v>
      </c>
      <c r="B227" s="22" t="str">
        <f>IFERROR(__xludf.DUMMYFUNCTION("""COMPUTED_VALUE"""),"Resolver Size11 Transmitter TR=0.54, 4KHz, Acc&lt;=7'")</f>
        <v>Resolver Size11 Transmitter TR=0.54, 4KHz, Acc&lt;=7'</v>
      </c>
      <c r="C227" s="23">
        <f>IFERROR(__xludf.DUMMYFUNCTION("""COMPUTED_VALUE"""),0.0)</f>
        <v>0</v>
      </c>
      <c r="D227" s="2" t="str">
        <f>IFERROR(__xludf.DUMMYFUNCTION("""COMPUTED_VALUE"""),"")</f>
        <v/>
      </c>
      <c r="E227" s="25" t="str">
        <f>IFERROR(__xludf.DUMMYFUNCTION("""COMPUTED_VALUE"""),"")</f>
        <v/>
      </c>
      <c r="F227" s="2" t="str">
        <f>IFERROR(__xludf.DUMMYFUNCTION("""COMPUTED_VALUE"""),"")</f>
        <v/>
      </c>
      <c r="G227" s="27" t="str">
        <f>IFERROR(__xludf.DUMMYFUNCTION("""COMPUTED_VALUE"""),"")</f>
        <v/>
      </c>
      <c r="H227" s="23" t="str">
        <f>IFERROR(__xludf.DUMMYFUNCTION("""COMPUTED_VALUE"""),"")</f>
        <v/>
      </c>
      <c r="I227" s="2" t="str">
        <f>IFERROR(__xludf.DUMMYFUNCTION("""COMPUTED_VALUE"""),"")</f>
        <v/>
      </c>
      <c r="J227" s="27" t="str">
        <f>IFERROR(__xludf.DUMMYFUNCTION("""COMPUTED_VALUE"""),"")</f>
        <v/>
      </c>
      <c r="K227" s="23" t="str">
        <f>IFERROR(__xludf.DUMMYFUNCTION("""COMPUTED_VALUE"""),"")</f>
        <v/>
      </c>
      <c r="L227" s="2" t="str">
        <f>IFERROR(__xludf.DUMMYFUNCTION("""COMPUTED_VALUE"""),"")</f>
        <v/>
      </c>
      <c r="M227" s="27" t="str">
        <f>IFERROR(__xludf.DUMMYFUNCTION("""COMPUTED_VALUE"""),"")</f>
        <v/>
      </c>
      <c r="N227" s="23" t="str">
        <f>IFERROR(__xludf.DUMMYFUNCTION("""COMPUTED_VALUE"""),"")</f>
        <v/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0" t="str">
        <f>IFERROR(__xludf.DUMMYFUNCTION("""COMPUTED_VALUE"""),"575-01919")</f>
        <v>575-01919</v>
      </c>
      <c r="B228" s="22" t="str">
        <f>IFERROR(__xludf.DUMMYFUNCTION("""COMPUTED_VALUE"""),"Resolver Size 11, T.R. = .95 FREQ.= 5k, 4 Speed")</f>
        <v>Resolver Size 11, T.R. = .95 FREQ.= 5k, 4 Speed</v>
      </c>
      <c r="C228" s="23">
        <f>IFERROR(__xludf.DUMMYFUNCTION("""COMPUTED_VALUE"""),0.0)</f>
        <v>0</v>
      </c>
      <c r="D228" s="2" t="str">
        <f>IFERROR(__xludf.DUMMYFUNCTION("""COMPUTED_VALUE"""),"")</f>
        <v/>
      </c>
      <c r="E228" s="25" t="str">
        <f>IFERROR(__xludf.DUMMYFUNCTION("""COMPUTED_VALUE"""),"")</f>
        <v/>
      </c>
      <c r="F228" s="2" t="str">
        <f>IFERROR(__xludf.DUMMYFUNCTION("""COMPUTED_VALUE"""),"Ф40 AL2017")</f>
        <v>Ф40 AL2017</v>
      </c>
      <c r="G228" s="2" t="str">
        <f>IFERROR(__xludf.DUMMYFUNCTION("""COMPUTED_VALUE"""),"")</f>
        <v/>
      </c>
      <c r="H228" s="23" t="str">
        <f>IFERROR(__xludf.DUMMYFUNCTION("""COMPUTED_VALUE"""),"")</f>
        <v/>
      </c>
      <c r="I228" s="2" t="str">
        <f>IFERROR(__xludf.DUMMYFUNCTION("""COMPUTED_VALUE"""),"")</f>
        <v/>
      </c>
      <c r="J228" s="27" t="str">
        <f>IFERROR(__xludf.DUMMYFUNCTION("""COMPUTED_VALUE"""),"")</f>
        <v/>
      </c>
      <c r="K228" s="23" t="str">
        <f>IFERROR(__xludf.DUMMYFUNCTION("""COMPUTED_VALUE"""),"")</f>
        <v/>
      </c>
      <c r="L228" s="2" t="str">
        <f>IFERROR(__xludf.DUMMYFUNCTION("""COMPUTED_VALUE"""),"")</f>
        <v/>
      </c>
      <c r="M228" s="27" t="str">
        <f>IFERROR(__xludf.DUMMYFUNCTION("""COMPUTED_VALUE"""),"")</f>
        <v/>
      </c>
      <c r="N228" s="23" t="str">
        <f>IFERROR(__xludf.DUMMYFUNCTION("""COMPUTED_VALUE"""),"")</f>
        <v/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2" t="str">
        <f>IFERROR(__xludf.DUMMYFUNCTION("""COMPUTED_VALUE"""),"575-01920-760-101")</f>
        <v>575-01920-760-101</v>
      </c>
      <c r="B229" s="22" t="str">
        <f>IFERROR(__xludf.DUMMYFUNCTION("""COMPUTED_VALUE"""),"Resolver Size 11, T.R. = .45 400Hz, Acc. = &lt;5, 1/4"" shaft")</f>
        <v>Resolver Size 11, T.R. = .45 400Hz, Acc. = &lt;5, 1/4" shaft</v>
      </c>
      <c r="C229" s="23">
        <f>IFERROR(__xludf.DUMMYFUNCTION("""COMPUTED_VALUE"""),0.0)</f>
        <v>0</v>
      </c>
      <c r="D229" s="2" t="str">
        <f>IFERROR(__xludf.DUMMYFUNCTION("""COMPUTED_VALUE"""),"")</f>
        <v/>
      </c>
      <c r="E229" s="25" t="str">
        <f>IFERROR(__xludf.DUMMYFUNCTION("""COMPUTED_VALUE"""),"")</f>
        <v/>
      </c>
      <c r="F229" s="2" t="str">
        <f>IFERROR(__xludf.DUMMYFUNCTION("""COMPUTED_VALUE"""),"")</f>
        <v/>
      </c>
      <c r="G229" s="27" t="str">
        <f>IFERROR(__xludf.DUMMYFUNCTION("""COMPUTED_VALUE"""),"")</f>
        <v/>
      </c>
      <c r="H229" s="23" t="str">
        <f>IFERROR(__xludf.DUMMYFUNCTION("""COMPUTED_VALUE"""),"")</f>
        <v/>
      </c>
      <c r="I229" s="2" t="str">
        <f>IFERROR(__xludf.DUMMYFUNCTION("""COMPUTED_VALUE"""),"")</f>
        <v/>
      </c>
      <c r="J229" s="27" t="str">
        <f>IFERROR(__xludf.DUMMYFUNCTION("""COMPUTED_VALUE"""),"")</f>
        <v/>
      </c>
      <c r="K229" s="23" t="str">
        <f>IFERROR(__xludf.DUMMYFUNCTION("""COMPUTED_VALUE"""),"")</f>
        <v/>
      </c>
      <c r="L229" s="2" t="str">
        <f>IFERROR(__xludf.DUMMYFUNCTION("""COMPUTED_VALUE"""),"")</f>
        <v/>
      </c>
      <c r="M229" s="27" t="str">
        <f>IFERROR(__xludf.DUMMYFUNCTION("""COMPUTED_VALUE"""),"")</f>
        <v/>
      </c>
      <c r="N229" s="23" t="str">
        <f>IFERROR(__xludf.DUMMYFUNCTION("""COMPUTED_VALUE"""),"")</f>
        <v/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2" t="str">
        <f>IFERROR(__xludf.DUMMYFUNCTION("""COMPUTED_VALUE"""),"575-01921-710")</f>
        <v>575-01921-710</v>
      </c>
      <c r="B230" s="22" t="str">
        <f>IFERROR(__xludf.DUMMYFUNCTION("""COMPUTED_VALUE"""),"Resolver Size 11 , Transmit. 2.5KHz 0.5 TR, 0.1200"" shaft")</f>
        <v>Resolver Size 11 , Transmit. 2.5KHz 0.5 TR, 0.1200" shaft</v>
      </c>
      <c r="C230" s="23">
        <f>IFERROR(__xludf.DUMMYFUNCTION("""COMPUTED_VALUE"""),0.0)</f>
        <v>0</v>
      </c>
      <c r="D230" s="2" t="str">
        <f>IFERROR(__xludf.DUMMYFUNCTION("""COMPUTED_VALUE"""),"")</f>
        <v/>
      </c>
      <c r="E230" s="25" t="str">
        <f>IFERROR(__xludf.DUMMYFUNCTION("""COMPUTED_VALUE"""),"")</f>
        <v/>
      </c>
      <c r="F230" s="2" t="str">
        <f>IFERROR(__xludf.DUMMYFUNCTION("""COMPUTED_VALUE"""),"")</f>
        <v/>
      </c>
      <c r="G230" s="27" t="str">
        <f>IFERROR(__xludf.DUMMYFUNCTION("""COMPUTED_VALUE"""),"")</f>
        <v/>
      </c>
      <c r="H230" s="23" t="str">
        <f>IFERROR(__xludf.DUMMYFUNCTION("""COMPUTED_VALUE"""),"")</f>
        <v/>
      </c>
      <c r="I230" s="2" t="str">
        <f>IFERROR(__xludf.DUMMYFUNCTION("""COMPUTED_VALUE"""),"")</f>
        <v/>
      </c>
      <c r="J230" s="27" t="str">
        <f>IFERROR(__xludf.DUMMYFUNCTION("""COMPUTED_VALUE"""),"")</f>
        <v/>
      </c>
      <c r="K230" s="23" t="str">
        <f>IFERROR(__xludf.DUMMYFUNCTION("""COMPUTED_VALUE"""),"")</f>
        <v/>
      </c>
      <c r="L230" s="2" t="str">
        <f>IFERROR(__xludf.DUMMYFUNCTION("""COMPUTED_VALUE"""),"")</f>
        <v/>
      </c>
      <c r="M230" s="27" t="str">
        <f>IFERROR(__xludf.DUMMYFUNCTION("""COMPUTED_VALUE"""),"")</f>
        <v/>
      </c>
      <c r="N230" s="23" t="str">
        <f>IFERROR(__xludf.DUMMYFUNCTION("""COMPUTED_VALUE"""),"")</f>
        <v/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2" t="str">
        <f>IFERROR(__xludf.DUMMYFUNCTION("""COMPUTED_VALUE"""),"В575-01921-721")</f>
        <v>В575-01921-721</v>
      </c>
      <c r="B231" s="22" t="str">
        <f>IFERROR(__xludf.DUMMYFUNCTION("""COMPUTED_VALUE"""),"3/16"" shaft w/seal 2.5KHz, 7min acc, 0.5TR")</f>
        <v>3/16" shaft w/seal 2.5KHz, 7min acc, 0.5TR</v>
      </c>
      <c r="C231" s="23">
        <f>IFERROR(__xludf.DUMMYFUNCTION("""COMPUTED_VALUE"""),0.0)</f>
        <v>0</v>
      </c>
      <c r="D231" s="2" t="str">
        <f>IFERROR(__xludf.DUMMYFUNCTION("""COMPUTED_VALUE"""),"")</f>
        <v/>
      </c>
      <c r="E231" s="25" t="str">
        <f>IFERROR(__xludf.DUMMYFUNCTION("""COMPUTED_VALUE"""),"")</f>
        <v/>
      </c>
      <c r="F231" s="2" t="str">
        <f>IFERROR(__xludf.DUMMYFUNCTION("""COMPUTED_VALUE"""),"")</f>
        <v/>
      </c>
      <c r="G231" s="27" t="str">
        <f>IFERROR(__xludf.DUMMYFUNCTION("""COMPUTED_VALUE"""),"")</f>
        <v/>
      </c>
      <c r="H231" s="23" t="str">
        <f>IFERROR(__xludf.DUMMYFUNCTION("""COMPUTED_VALUE"""),"")</f>
        <v/>
      </c>
      <c r="I231" s="2" t="str">
        <f>IFERROR(__xludf.DUMMYFUNCTION("""COMPUTED_VALUE"""),"")</f>
        <v/>
      </c>
      <c r="J231" s="27" t="str">
        <f>IFERROR(__xludf.DUMMYFUNCTION("""COMPUTED_VALUE"""),"")</f>
        <v/>
      </c>
      <c r="K231" s="23" t="str">
        <f>IFERROR(__xludf.DUMMYFUNCTION("""COMPUTED_VALUE"""),"")</f>
        <v/>
      </c>
      <c r="L231" s="2" t="str">
        <f>IFERROR(__xludf.DUMMYFUNCTION("""COMPUTED_VALUE"""),"")</f>
        <v/>
      </c>
      <c r="M231" s="27" t="str">
        <f>IFERROR(__xludf.DUMMYFUNCTION("""COMPUTED_VALUE"""),"")</f>
        <v/>
      </c>
      <c r="N231" s="23" t="str">
        <f>IFERROR(__xludf.DUMMYFUNCTION("""COMPUTED_VALUE"""),"")</f>
        <v/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2" t="str">
        <f>IFERROR(__xludf.DUMMYFUNCTION("""COMPUTED_VALUE"""),"575-01921-791")</f>
        <v>575-01921-791</v>
      </c>
      <c r="B232" s="22" t="str">
        <f>IFERROR(__xludf.DUMMYFUNCTION("""COMPUTED_VALUE"""),"Xmitter, Size11, 2.5KHz/0.5 0.1200"" shaft, 0.562"" long")</f>
        <v>Xmitter, Size11, 2.5KHz/0.5 0.1200" shaft, 0.562" long</v>
      </c>
      <c r="C232" s="23">
        <f>IFERROR(__xludf.DUMMYFUNCTION("""COMPUTED_VALUE"""),0.0)</f>
        <v>0</v>
      </c>
      <c r="D232" s="2" t="str">
        <f>IFERROR(__xludf.DUMMYFUNCTION("""COMPUTED_VALUE"""),"")</f>
        <v/>
      </c>
      <c r="E232" s="25" t="str">
        <f>IFERROR(__xludf.DUMMYFUNCTION("""COMPUTED_VALUE"""),"")</f>
        <v/>
      </c>
      <c r="F232" s="2" t="str">
        <f>IFERROR(__xludf.DUMMYFUNCTION("""COMPUTED_VALUE"""),"")</f>
        <v/>
      </c>
      <c r="G232" s="27" t="str">
        <f>IFERROR(__xludf.DUMMYFUNCTION("""COMPUTED_VALUE"""),"")</f>
        <v/>
      </c>
      <c r="H232" s="23" t="str">
        <f>IFERROR(__xludf.DUMMYFUNCTION("""COMPUTED_VALUE"""),"")</f>
        <v/>
      </c>
      <c r="I232" s="2" t="str">
        <f>IFERROR(__xludf.DUMMYFUNCTION("""COMPUTED_VALUE"""),"")</f>
        <v/>
      </c>
      <c r="J232" s="27" t="str">
        <f>IFERROR(__xludf.DUMMYFUNCTION("""COMPUTED_VALUE"""),"")</f>
        <v/>
      </c>
      <c r="K232" s="23" t="str">
        <f>IFERROR(__xludf.DUMMYFUNCTION("""COMPUTED_VALUE"""),"")</f>
        <v/>
      </c>
      <c r="L232" s="2" t="str">
        <f>IFERROR(__xludf.DUMMYFUNCTION("""COMPUTED_VALUE"""),"")</f>
        <v/>
      </c>
      <c r="M232" s="27" t="str">
        <f>IFERROR(__xludf.DUMMYFUNCTION("""COMPUTED_VALUE"""),"")</f>
        <v/>
      </c>
      <c r="N232" s="23" t="str">
        <f>IFERROR(__xludf.DUMMYFUNCTION("""COMPUTED_VALUE"""),"")</f>
        <v/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2" t="str">
        <f>IFERROR(__xludf.DUMMYFUNCTION("""COMPUTED_VALUE"""),"575-01921-791-0122")</f>
        <v>575-01921-791-0122</v>
      </c>
      <c r="B233" s="22" t="str">
        <f>IFERROR(__xludf.DUMMYFUNCTION("""COMPUTED_VALUE"""),"Xmitter, 2.5KHz/0.5  +/-7min 0.1200"" shaft, 0.562"" long")</f>
        <v>Xmitter, 2.5KHz/0.5  +/-7min 0.1200" shaft, 0.562" long</v>
      </c>
      <c r="C233" s="23">
        <f>IFERROR(__xludf.DUMMYFUNCTION("""COMPUTED_VALUE"""),0.0)</f>
        <v>0</v>
      </c>
      <c r="D233" s="2" t="str">
        <f>IFERROR(__xludf.DUMMYFUNCTION("""COMPUTED_VALUE"""),"")</f>
        <v/>
      </c>
      <c r="E233" s="25" t="str">
        <f>IFERROR(__xludf.DUMMYFUNCTION("""COMPUTED_VALUE"""),"")</f>
        <v/>
      </c>
      <c r="F233" s="2" t="str">
        <f>IFERROR(__xludf.DUMMYFUNCTION("""COMPUTED_VALUE"""),"Ф28 S303")</f>
        <v>Ф28 S303</v>
      </c>
      <c r="G233" s="2" t="str">
        <f>IFERROR(__xludf.DUMMYFUNCTION("""COMPUTED_VALUE"""),"")</f>
        <v/>
      </c>
      <c r="H233" s="23" t="str">
        <f>IFERROR(__xludf.DUMMYFUNCTION("""COMPUTED_VALUE"""),"")</f>
        <v/>
      </c>
      <c r="I233" s="2" t="str">
        <f>IFERROR(__xludf.DUMMYFUNCTION("""COMPUTED_VALUE"""),"")</f>
        <v/>
      </c>
      <c r="J233" s="27" t="str">
        <f>IFERROR(__xludf.DUMMYFUNCTION("""COMPUTED_VALUE"""),"")</f>
        <v/>
      </c>
      <c r="K233" s="23" t="str">
        <f>IFERROR(__xludf.DUMMYFUNCTION("""COMPUTED_VALUE"""),"")</f>
        <v/>
      </c>
      <c r="L233" s="2" t="str">
        <f>IFERROR(__xludf.DUMMYFUNCTION("""COMPUTED_VALUE"""),"")</f>
        <v/>
      </c>
      <c r="M233" s="27" t="str">
        <f>IFERROR(__xludf.DUMMYFUNCTION("""COMPUTED_VALUE"""),"")</f>
        <v/>
      </c>
      <c r="N233" s="23" t="str">
        <f>IFERROR(__xludf.DUMMYFUNCTION("""COMPUTED_VALUE"""),"")</f>
        <v/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2" t="str">
        <f>IFERROR(__xludf.DUMMYFUNCTION("""COMPUTED_VALUE"""),"575-01922-1")</f>
        <v>575-01922-1</v>
      </c>
      <c r="B234" s="22" t="str">
        <f>IFERROR(__xludf.DUMMYFUNCTION("""COMPUTED_VALUE"""),"Resolver Size 11 ,  1.75 TR 400 Hz, control transformer")</f>
        <v>Resolver Size 11 ,  1.75 TR 400 Hz, control transformer</v>
      </c>
      <c r="C234" s="23">
        <f>IFERROR(__xludf.DUMMYFUNCTION("""COMPUTED_VALUE"""),0.0)</f>
        <v>0</v>
      </c>
      <c r="D234" s="2" t="str">
        <f>IFERROR(__xludf.DUMMYFUNCTION("""COMPUTED_VALUE"""),"")</f>
        <v/>
      </c>
      <c r="E234" s="25" t="str">
        <f>IFERROR(__xludf.DUMMYFUNCTION("""COMPUTED_VALUE"""),"")</f>
        <v/>
      </c>
      <c r="F234" s="2" t="str">
        <f>IFERROR(__xludf.DUMMYFUNCTION("""COMPUTED_VALUE"""),"")</f>
        <v/>
      </c>
      <c r="G234" s="27" t="str">
        <f>IFERROR(__xludf.DUMMYFUNCTION("""COMPUTED_VALUE"""),"")</f>
        <v/>
      </c>
      <c r="H234" s="23" t="str">
        <f>IFERROR(__xludf.DUMMYFUNCTION("""COMPUTED_VALUE"""),"")</f>
        <v/>
      </c>
      <c r="I234" s="2" t="str">
        <f>IFERROR(__xludf.DUMMYFUNCTION("""COMPUTED_VALUE"""),"")</f>
        <v/>
      </c>
      <c r="J234" s="27" t="str">
        <f>IFERROR(__xludf.DUMMYFUNCTION("""COMPUTED_VALUE"""),"")</f>
        <v/>
      </c>
      <c r="K234" s="23" t="str">
        <f>IFERROR(__xludf.DUMMYFUNCTION("""COMPUTED_VALUE"""),"")</f>
        <v/>
      </c>
      <c r="L234" s="2" t="str">
        <f>IFERROR(__xludf.DUMMYFUNCTION("""COMPUTED_VALUE"""),"")</f>
        <v/>
      </c>
      <c r="M234" s="27" t="str">
        <f>IFERROR(__xludf.DUMMYFUNCTION("""COMPUTED_VALUE"""),"")</f>
        <v/>
      </c>
      <c r="N234" s="23" t="str">
        <f>IFERROR(__xludf.DUMMYFUNCTION("""COMPUTED_VALUE"""),"")</f>
        <v/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2" t="str">
        <f>IFERROR(__xludf.DUMMYFUNCTION("""COMPUTED_VALUE"""),"575-01923-500")</f>
        <v>575-01923-500</v>
      </c>
      <c r="B235" s="22" t="str">
        <f>IFERROR(__xludf.DUMMYFUNCTION("""COMPUTED_VALUE"""),"Resolver Size 11 ,  1.93 TR 400 Hz, control transformer")</f>
        <v>Resolver Size 11 ,  1.93 TR 400 Hz, control transformer</v>
      </c>
      <c r="C235" s="23">
        <f>IFERROR(__xludf.DUMMYFUNCTION("""COMPUTED_VALUE"""),0.0)</f>
        <v>0</v>
      </c>
      <c r="D235" s="2" t="str">
        <f>IFERROR(__xludf.DUMMYFUNCTION("""COMPUTED_VALUE"""),"")</f>
        <v/>
      </c>
      <c r="E235" s="25" t="str">
        <f>IFERROR(__xludf.DUMMYFUNCTION("""COMPUTED_VALUE"""),"")</f>
        <v/>
      </c>
      <c r="F235" s="2" t="str">
        <f>IFERROR(__xludf.DUMMYFUNCTION("""COMPUTED_VALUE"""),"")</f>
        <v/>
      </c>
      <c r="G235" s="27" t="str">
        <f>IFERROR(__xludf.DUMMYFUNCTION("""COMPUTED_VALUE"""),"")</f>
        <v/>
      </c>
      <c r="H235" s="23" t="str">
        <f>IFERROR(__xludf.DUMMYFUNCTION("""COMPUTED_VALUE"""),"")</f>
        <v/>
      </c>
      <c r="I235" s="2" t="str">
        <f>IFERROR(__xludf.DUMMYFUNCTION("""COMPUTED_VALUE"""),"")</f>
        <v/>
      </c>
      <c r="J235" s="27" t="str">
        <f>IFERROR(__xludf.DUMMYFUNCTION("""COMPUTED_VALUE"""),"")</f>
        <v/>
      </c>
      <c r="K235" s="23" t="str">
        <f>IFERROR(__xludf.DUMMYFUNCTION("""COMPUTED_VALUE"""),"")</f>
        <v/>
      </c>
      <c r="L235" s="2" t="str">
        <f>IFERROR(__xludf.DUMMYFUNCTION("""COMPUTED_VALUE"""),"")</f>
        <v/>
      </c>
      <c r="M235" s="27" t="str">
        <f>IFERROR(__xludf.DUMMYFUNCTION("""COMPUTED_VALUE"""),"")</f>
        <v/>
      </c>
      <c r="N235" s="23" t="str">
        <f>IFERROR(__xludf.DUMMYFUNCTION("""COMPUTED_VALUE"""),"")</f>
        <v/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2" t="str">
        <f>IFERROR(__xludf.DUMMYFUNCTION("""COMPUTED_VALUE"""),"575-01923-706-1")</f>
        <v>575-01923-706-1</v>
      </c>
      <c r="B236" s="22" t="str">
        <f>IFERROR(__xludf.DUMMYFUNCTION("""COMPUTED_VALUE"""),"Size11 CTRL Xformer; TR=1.93 0.12"" shaft; 400 Hz; Uin=12V")</f>
        <v>Size11 CTRL Xformer; TR=1.93 0.12" shaft; 400 Hz; Uin=12V</v>
      </c>
      <c r="C236" s="23">
        <f>IFERROR(__xludf.DUMMYFUNCTION("""COMPUTED_VALUE"""),0.0)</f>
        <v>0</v>
      </c>
      <c r="D236" s="2" t="str">
        <f>IFERROR(__xludf.DUMMYFUNCTION("""COMPUTED_VALUE"""),"")</f>
        <v/>
      </c>
      <c r="E236" s="25" t="str">
        <f>IFERROR(__xludf.DUMMYFUNCTION("""COMPUTED_VALUE"""),"")</f>
        <v/>
      </c>
      <c r="F236" s="2" t="str">
        <f>IFERROR(__xludf.DUMMYFUNCTION("""COMPUTED_VALUE"""),"Ф28 S303")</f>
        <v>Ф28 S303</v>
      </c>
      <c r="G236" s="2" t="str">
        <f>IFERROR(__xludf.DUMMYFUNCTION("""COMPUTED_VALUE"""),"")</f>
        <v/>
      </c>
      <c r="H236" s="23" t="str">
        <f>IFERROR(__xludf.DUMMYFUNCTION("""COMPUTED_VALUE"""),"")</f>
        <v/>
      </c>
      <c r="I236" s="2" t="str">
        <f>IFERROR(__xludf.DUMMYFUNCTION("""COMPUTED_VALUE"""),"")</f>
        <v/>
      </c>
      <c r="J236" s="27" t="str">
        <f>IFERROR(__xludf.DUMMYFUNCTION("""COMPUTED_VALUE"""),"")</f>
        <v/>
      </c>
      <c r="K236" s="23" t="str">
        <f>IFERROR(__xludf.DUMMYFUNCTION("""COMPUTED_VALUE"""),"")</f>
        <v/>
      </c>
      <c r="L236" s="2" t="str">
        <f>IFERROR(__xludf.DUMMYFUNCTION("""COMPUTED_VALUE"""),"")</f>
        <v/>
      </c>
      <c r="M236" s="27" t="str">
        <f>IFERROR(__xludf.DUMMYFUNCTION("""COMPUTED_VALUE"""),"")</f>
        <v/>
      </c>
      <c r="N236" s="23" t="str">
        <f>IFERROR(__xludf.DUMMYFUNCTION("""COMPUTED_VALUE"""),"")</f>
        <v/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2" t="str">
        <f>IFERROR(__xludf.DUMMYFUNCTION("""COMPUTED_VALUE"""),"575-01924-300-002")</f>
        <v>575-01924-300-002</v>
      </c>
      <c r="B237" s="22" t="str">
        <f>IFERROR(__xludf.DUMMYFUNCTION("""COMPUTED_VALUE"""),"Resolver Size11,  TR=1.0 1000 Hz, control transmitter")</f>
        <v>Resolver Size11,  TR=1.0 1000 Hz, control transmitter</v>
      </c>
      <c r="C237" s="23">
        <f>IFERROR(__xludf.DUMMYFUNCTION("""COMPUTED_VALUE"""),0.0)</f>
        <v>0</v>
      </c>
      <c r="D237" s="2" t="str">
        <f>IFERROR(__xludf.DUMMYFUNCTION("""COMPUTED_VALUE"""),"")</f>
        <v/>
      </c>
      <c r="E237" s="25" t="str">
        <f>IFERROR(__xludf.DUMMYFUNCTION("""COMPUTED_VALUE"""),"")</f>
        <v/>
      </c>
      <c r="F237" s="2" t="str">
        <f>IFERROR(__xludf.DUMMYFUNCTION("""COMPUTED_VALUE"""),"")</f>
        <v/>
      </c>
      <c r="G237" s="27" t="str">
        <f>IFERROR(__xludf.DUMMYFUNCTION("""COMPUTED_VALUE"""),"")</f>
        <v/>
      </c>
      <c r="H237" s="23" t="str">
        <f>IFERROR(__xludf.DUMMYFUNCTION("""COMPUTED_VALUE"""),"")</f>
        <v/>
      </c>
      <c r="I237" s="2" t="str">
        <f>IFERROR(__xludf.DUMMYFUNCTION("""COMPUTED_VALUE"""),"")</f>
        <v/>
      </c>
      <c r="J237" s="27" t="str">
        <f>IFERROR(__xludf.DUMMYFUNCTION("""COMPUTED_VALUE"""),"")</f>
        <v/>
      </c>
      <c r="K237" s="23" t="str">
        <f>IFERROR(__xludf.DUMMYFUNCTION("""COMPUTED_VALUE"""),"")</f>
        <v/>
      </c>
      <c r="L237" s="2" t="str">
        <f>IFERROR(__xludf.DUMMYFUNCTION("""COMPUTED_VALUE"""),"")</f>
        <v/>
      </c>
      <c r="M237" s="27" t="str">
        <f>IFERROR(__xludf.DUMMYFUNCTION("""COMPUTED_VALUE"""),"")</f>
        <v/>
      </c>
      <c r="N237" s="23" t="str">
        <f>IFERROR(__xludf.DUMMYFUNCTION("""COMPUTED_VALUE"""),"")</f>
        <v/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2" t="str">
        <f>IFERROR(__xludf.DUMMYFUNCTION("""COMPUTED_VALUE"""),"575-01925-710")</f>
        <v>575-01925-710</v>
      </c>
      <c r="B238" s="22" t="str">
        <f>IFERROR(__xludf.DUMMYFUNCTION("""COMPUTED_VALUE"""),"Resolver Size 11, T.R. = .95 FREQ.= 5k, ACCUR. = &lt;5,")</f>
        <v>Resolver Size 11, T.R. = .95 FREQ.= 5k, ACCUR. = &lt;5,</v>
      </c>
      <c r="C238" s="23">
        <f>IFERROR(__xludf.DUMMYFUNCTION("""COMPUTED_VALUE"""),0.0)</f>
        <v>0</v>
      </c>
      <c r="D238" s="2" t="str">
        <f>IFERROR(__xludf.DUMMYFUNCTION("""COMPUTED_VALUE"""),"")</f>
        <v/>
      </c>
      <c r="E238" s="25" t="str">
        <f>IFERROR(__xludf.DUMMYFUNCTION("""COMPUTED_VALUE"""),"")</f>
        <v/>
      </c>
      <c r="F238" s="2" t="str">
        <f>IFERROR(__xludf.DUMMYFUNCTION("""COMPUTED_VALUE"""),"")</f>
        <v/>
      </c>
      <c r="G238" s="27" t="str">
        <f>IFERROR(__xludf.DUMMYFUNCTION("""COMPUTED_VALUE"""),"")</f>
        <v/>
      </c>
      <c r="H238" s="23" t="str">
        <f>IFERROR(__xludf.DUMMYFUNCTION("""COMPUTED_VALUE"""),"")</f>
        <v/>
      </c>
      <c r="I238" s="2" t="str">
        <f>IFERROR(__xludf.DUMMYFUNCTION("""COMPUTED_VALUE"""),"")</f>
        <v/>
      </c>
      <c r="J238" s="27" t="str">
        <f>IFERROR(__xludf.DUMMYFUNCTION("""COMPUTED_VALUE"""),"")</f>
        <v/>
      </c>
      <c r="K238" s="23" t="str">
        <f>IFERROR(__xludf.DUMMYFUNCTION("""COMPUTED_VALUE"""),"")</f>
        <v/>
      </c>
      <c r="L238" s="2" t="str">
        <f>IFERROR(__xludf.DUMMYFUNCTION("""COMPUTED_VALUE"""),"")</f>
        <v/>
      </c>
      <c r="M238" s="27" t="str">
        <f>IFERROR(__xludf.DUMMYFUNCTION("""COMPUTED_VALUE"""),"")</f>
        <v/>
      </c>
      <c r="N238" s="23" t="str">
        <f>IFERROR(__xludf.DUMMYFUNCTION("""COMPUTED_VALUE"""),"")</f>
        <v/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2" t="str">
        <f>IFERROR(__xludf.DUMMYFUNCTION("""COMPUTED_VALUE"""),"575-02902-740-1")</f>
        <v>575-02902-740-1</v>
      </c>
      <c r="B239" s="22" t="str">
        <f>IFERROR(__xludf.DUMMYFUNCTION("""COMPUTED_VALUE"""),"Size 15 resolver xmitter 3/16 splined shaft 21 teeth")</f>
        <v>Size 15 resolver xmitter 3/16 splined shaft 21 teeth</v>
      </c>
      <c r="C239" s="23">
        <f>IFERROR(__xludf.DUMMYFUNCTION("""COMPUTED_VALUE"""),0.0)</f>
        <v>0</v>
      </c>
      <c r="D239" s="2" t="str">
        <f>IFERROR(__xludf.DUMMYFUNCTION("""COMPUTED_VALUE"""),"")</f>
        <v/>
      </c>
      <c r="E239" s="25" t="str">
        <f>IFERROR(__xludf.DUMMYFUNCTION("""COMPUTED_VALUE"""),"")</f>
        <v/>
      </c>
      <c r="F239" s="2" t="str">
        <f>IFERROR(__xludf.DUMMYFUNCTION("""COMPUTED_VALUE"""),"")</f>
        <v/>
      </c>
      <c r="G239" s="27" t="str">
        <f>IFERROR(__xludf.DUMMYFUNCTION("""COMPUTED_VALUE"""),"")</f>
        <v/>
      </c>
      <c r="H239" s="23" t="str">
        <f>IFERROR(__xludf.DUMMYFUNCTION("""COMPUTED_VALUE"""),"")</f>
        <v/>
      </c>
      <c r="I239" s="2" t="str">
        <f>IFERROR(__xludf.DUMMYFUNCTION("""COMPUTED_VALUE"""),"")</f>
        <v/>
      </c>
      <c r="J239" s="27" t="str">
        <f>IFERROR(__xludf.DUMMYFUNCTION("""COMPUTED_VALUE"""),"")</f>
        <v/>
      </c>
      <c r="K239" s="23" t="str">
        <f>IFERROR(__xludf.DUMMYFUNCTION("""COMPUTED_VALUE"""),"")</f>
        <v/>
      </c>
      <c r="L239" s="2" t="str">
        <f>IFERROR(__xludf.DUMMYFUNCTION("""COMPUTED_VALUE"""),"")</f>
        <v/>
      </c>
      <c r="M239" s="27" t="str">
        <f>IFERROR(__xludf.DUMMYFUNCTION("""COMPUTED_VALUE"""),"")</f>
        <v/>
      </c>
      <c r="N239" s="23" t="str">
        <f>IFERROR(__xludf.DUMMYFUNCTION("""COMPUTED_VALUE"""),"")</f>
        <v/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2" t="str">
        <f>IFERROR(__xludf.DUMMYFUNCTION("""COMPUTED_VALUE"""),"575-02924-740-7")</f>
        <v>575-02924-740-7</v>
      </c>
      <c r="B240" s="22" t="str">
        <f>IFERROR(__xludf.DUMMYFUNCTION("""COMPUTED_VALUE"""),"Size15 Resolver Xmitter Splined shaft w/ thread")</f>
        <v>Size15 Resolver Xmitter Splined shaft w/ thread</v>
      </c>
      <c r="C240" s="23">
        <f>IFERROR(__xludf.DUMMYFUNCTION("""COMPUTED_VALUE"""),0.0)</f>
        <v>0</v>
      </c>
      <c r="D240" s="2" t="str">
        <f>IFERROR(__xludf.DUMMYFUNCTION("""COMPUTED_VALUE"""),"")</f>
        <v/>
      </c>
      <c r="E240" s="25" t="str">
        <f>IFERROR(__xludf.DUMMYFUNCTION("""COMPUTED_VALUE"""),"")</f>
        <v/>
      </c>
      <c r="F240" s="2" t="str">
        <f>IFERROR(__xludf.DUMMYFUNCTION("""COMPUTED_VALUE"""),"")</f>
        <v/>
      </c>
      <c r="G240" s="27" t="str">
        <f>IFERROR(__xludf.DUMMYFUNCTION("""COMPUTED_VALUE"""),"")</f>
        <v/>
      </c>
      <c r="H240" s="23" t="str">
        <f>IFERROR(__xludf.DUMMYFUNCTION("""COMPUTED_VALUE"""),"")</f>
        <v/>
      </c>
      <c r="I240" s="2" t="str">
        <f>IFERROR(__xludf.DUMMYFUNCTION("""COMPUTED_VALUE"""),"")</f>
        <v/>
      </c>
      <c r="J240" s="27" t="str">
        <f>IFERROR(__xludf.DUMMYFUNCTION("""COMPUTED_VALUE"""),"")</f>
        <v/>
      </c>
      <c r="K240" s="23" t="str">
        <f>IFERROR(__xludf.DUMMYFUNCTION("""COMPUTED_VALUE"""),"")</f>
        <v/>
      </c>
      <c r="L240" s="2" t="str">
        <f>IFERROR(__xludf.DUMMYFUNCTION("""COMPUTED_VALUE"""),"")</f>
        <v/>
      </c>
      <c r="M240" s="27" t="str">
        <f>IFERROR(__xludf.DUMMYFUNCTION("""COMPUTED_VALUE"""),"")</f>
        <v/>
      </c>
      <c r="N240" s="23" t="str">
        <f>IFERROR(__xludf.DUMMYFUNCTION("""COMPUTED_VALUE"""),"")</f>
        <v/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2" t="str">
        <f>IFERROR(__xludf.DUMMYFUNCTION("""COMPUTED_VALUE"""),"575-15902-300")</f>
        <v>575-15902-300</v>
      </c>
      <c r="B241" s="22" t="str">
        <f>IFERROR(__xludf.DUMMYFUNCTION("""COMPUTED_VALUE"""),"Size11, Xmitter, 0.12"" shaft TR=0.95; F=5KHz, &lt;3min")</f>
        <v>Size11, Xmitter, 0.12" shaft TR=0.95; F=5KHz, &lt;3min</v>
      </c>
      <c r="C241" s="23">
        <f>IFERROR(__xludf.DUMMYFUNCTION("""COMPUTED_VALUE"""),0.0)</f>
        <v>0</v>
      </c>
      <c r="D241" s="2" t="str">
        <f>IFERROR(__xludf.DUMMYFUNCTION("""COMPUTED_VALUE"""),"")</f>
        <v/>
      </c>
      <c r="E241" s="25" t="str">
        <f>IFERROR(__xludf.DUMMYFUNCTION("""COMPUTED_VALUE"""),"")</f>
        <v/>
      </c>
      <c r="F241" s="2" t="str">
        <f>IFERROR(__xludf.DUMMYFUNCTION("""COMPUTED_VALUE"""),"")</f>
        <v/>
      </c>
      <c r="G241" s="27" t="str">
        <f>IFERROR(__xludf.DUMMYFUNCTION("""COMPUTED_VALUE"""),"")</f>
        <v/>
      </c>
      <c r="H241" s="23" t="str">
        <f>IFERROR(__xludf.DUMMYFUNCTION("""COMPUTED_VALUE"""),"")</f>
        <v/>
      </c>
      <c r="I241" s="2" t="str">
        <f>IFERROR(__xludf.DUMMYFUNCTION("""COMPUTED_VALUE"""),"")</f>
        <v/>
      </c>
      <c r="J241" s="27" t="str">
        <f>IFERROR(__xludf.DUMMYFUNCTION("""COMPUTED_VALUE"""),"")</f>
        <v/>
      </c>
      <c r="K241" s="23" t="str">
        <f>IFERROR(__xludf.DUMMYFUNCTION("""COMPUTED_VALUE"""),"")</f>
        <v/>
      </c>
      <c r="L241" s="2" t="str">
        <f>IFERROR(__xludf.DUMMYFUNCTION("""COMPUTED_VALUE"""),"")</f>
        <v/>
      </c>
      <c r="M241" s="27" t="str">
        <f>IFERROR(__xludf.DUMMYFUNCTION("""COMPUTED_VALUE"""),"")</f>
        <v/>
      </c>
      <c r="N241" s="23" t="str">
        <f>IFERROR(__xludf.DUMMYFUNCTION("""COMPUTED_VALUE"""),"")</f>
        <v/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2" t="str">
        <f>IFERROR(__xludf.DUMMYFUNCTION("""COMPUTED_VALUE"""),"575-15902-3A5-01")</f>
        <v>575-15902-3A5-01</v>
      </c>
      <c r="B242" s="22" t="str">
        <f>IFERROR(__xludf.DUMMYFUNCTION("""COMPUTED_VALUE"""),"Size11, 5KHz/0.95, 3min acc 1/4"" shaft, w/ flat+seal")</f>
        <v>Size11, 5KHz/0.95, 3min acc 1/4" shaft, w/ flat+seal</v>
      </c>
      <c r="C242" s="23">
        <f>IFERROR(__xludf.DUMMYFUNCTION("""COMPUTED_VALUE"""),0.0)</f>
        <v>0</v>
      </c>
      <c r="D242" s="2" t="str">
        <f>IFERROR(__xludf.DUMMYFUNCTION("""COMPUTED_VALUE"""),"")</f>
        <v/>
      </c>
      <c r="E242" s="25" t="str">
        <f>IFERROR(__xludf.DUMMYFUNCTION("""COMPUTED_VALUE"""),"")</f>
        <v/>
      </c>
      <c r="F242" s="2" t="str">
        <f>IFERROR(__xludf.DUMMYFUNCTION("""COMPUTED_VALUE"""),"")</f>
        <v/>
      </c>
      <c r="G242" s="27" t="str">
        <f>IFERROR(__xludf.DUMMYFUNCTION("""COMPUTED_VALUE"""),"")</f>
        <v/>
      </c>
      <c r="H242" s="23" t="str">
        <f>IFERROR(__xludf.DUMMYFUNCTION("""COMPUTED_VALUE"""),"")</f>
        <v/>
      </c>
      <c r="I242" s="2" t="str">
        <f>IFERROR(__xludf.DUMMYFUNCTION("""COMPUTED_VALUE"""),"")</f>
        <v/>
      </c>
      <c r="J242" s="27" t="str">
        <f>IFERROR(__xludf.DUMMYFUNCTION("""COMPUTED_VALUE"""),"")</f>
        <v/>
      </c>
      <c r="K242" s="23" t="str">
        <f>IFERROR(__xludf.DUMMYFUNCTION("""COMPUTED_VALUE"""),"")</f>
        <v/>
      </c>
      <c r="L242" s="2" t="str">
        <f>IFERROR(__xludf.DUMMYFUNCTION("""COMPUTED_VALUE"""),"")</f>
        <v/>
      </c>
      <c r="M242" s="27" t="str">
        <f>IFERROR(__xludf.DUMMYFUNCTION("""COMPUTED_VALUE"""),"")</f>
        <v/>
      </c>
      <c r="N242" s="23" t="str">
        <f>IFERROR(__xludf.DUMMYFUNCTION("""COMPUTED_VALUE"""),"")</f>
        <v/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2" t="str">
        <f>IFERROR(__xludf.DUMMYFUNCTION("""COMPUTED_VALUE"""),"Т575-15902-721")</f>
        <v>Т575-15902-721</v>
      </c>
      <c r="B243" s="22" t="str">
        <f>IFERROR(__xludf.DUMMYFUNCTION("""COMPUTED_VALUE"""),"Size11, Xmitter, 3/16"" shaft TR=0.95; F=5KHz, &lt;7min")</f>
        <v>Size11, Xmitter, 3/16" shaft TR=0.95; F=5KHz, &lt;7min</v>
      </c>
      <c r="C243" s="23">
        <f>IFERROR(__xludf.DUMMYFUNCTION("""COMPUTED_VALUE"""),0.0)</f>
        <v>0</v>
      </c>
      <c r="D243" s="2" t="str">
        <f>IFERROR(__xludf.DUMMYFUNCTION("""COMPUTED_VALUE"""),"")</f>
        <v/>
      </c>
      <c r="E243" s="25" t="str">
        <f>IFERROR(__xludf.DUMMYFUNCTION("""COMPUTED_VALUE"""),"")</f>
        <v/>
      </c>
      <c r="F243" s="2" t="str">
        <f>IFERROR(__xludf.DUMMYFUNCTION("""COMPUTED_VALUE"""),"Ф28 S303")</f>
        <v>Ф28 S303</v>
      </c>
      <c r="G243" s="2" t="str">
        <f>IFERROR(__xludf.DUMMYFUNCTION("""COMPUTED_VALUE"""),"")</f>
        <v/>
      </c>
      <c r="H243" s="23" t="str">
        <f>IFERROR(__xludf.DUMMYFUNCTION("""COMPUTED_VALUE"""),"")</f>
        <v/>
      </c>
      <c r="I243" s="2" t="str">
        <f>IFERROR(__xludf.DUMMYFUNCTION("""COMPUTED_VALUE"""),"")</f>
        <v/>
      </c>
      <c r="J243" s="27" t="str">
        <f>IFERROR(__xludf.DUMMYFUNCTION("""COMPUTED_VALUE"""),"")</f>
        <v/>
      </c>
      <c r="K243" s="23" t="str">
        <f>IFERROR(__xludf.DUMMYFUNCTION("""COMPUTED_VALUE"""),"")</f>
        <v/>
      </c>
      <c r="L243" s="2" t="str">
        <f>IFERROR(__xludf.DUMMYFUNCTION("""COMPUTED_VALUE"""),"")</f>
        <v/>
      </c>
      <c r="M243" s="27" t="str">
        <f>IFERROR(__xludf.DUMMYFUNCTION("""COMPUTED_VALUE"""),"")</f>
        <v/>
      </c>
      <c r="N243" s="23" t="str">
        <f>IFERROR(__xludf.DUMMYFUNCTION("""COMPUTED_VALUE"""),"")</f>
        <v/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2" t="str">
        <f>IFERROR(__xludf.DUMMYFUNCTION("""COMPUTED_VALUE"""),"575-15903-5")</f>
        <v>575-15903-5</v>
      </c>
      <c r="B244" s="22" t="str">
        <f>IFERROR(__xludf.DUMMYFUNCTION("""COMPUTED_VALUE"""),"Resolver Size 11, T.R. = .95 FREQ.= 2.5k, ACCUR. = &lt;7")</f>
        <v>Resolver Size 11, T.R. = .95 FREQ.= 2.5k, ACCUR. = &lt;7</v>
      </c>
      <c r="C244" s="23">
        <f>IFERROR(__xludf.DUMMYFUNCTION("""COMPUTED_VALUE"""),0.0)</f>
        <v>0</v>
      </c>
      <c r="D244" s="2" t="str">
        <f>IFERROR(__xludf.DUMMYFUNCTION("""COMPUTED_VALUE"""),"")</f>
        <v/>
      </c>
      <c r="E244" s="25" t="str">
        <f>IFERROR(__xludf.DUMMYFUNCTION("""COMPUTED_VALUE"""),"")</f>
        <v/>
      </c>
      <c r="F244" s="2" t="str">
        <f>IFERROR(__xludf.DUMMYFUNCTION("""COMPUTED_VALUE"""),"")</f>
        <v/>
      </c>
      <c r="G244" s="27" t="str">
        <f>IFERROR(__xludf.DUMMYFUNCTION("""COMPUTED_VALUE"""),"")</f>
        <v/>
      </c>
      <c r="H244" s="23" t="str">
        <f>IFERROR(__xludf.DUMMYFUNCTION("""COMPUTED_VALUE"""),"")</f>
        <v/>
      </c>
      <c r="I244" s="2" t="str">
        <f>IFERROR(__xludf.DUMMYFUNCTION("""COMPUTED_VALUE"""),"")</f>
        <v/>
      </c>
      <c r="J244" s="27" t="str">
        <f>IFERROR(__xludf.DUMMYFUNCTION("""COMPUTED_VALUE"""),"")</f>
        <v/>
      </c>
      <c r="K244" s="23" t="str">
        <f>IFERROR(__xludf.DUMMYFUNCTION("""COMPUTED_VALUE"""),"")</f>
        <v/>
      </c>
      <c r="L244" s="2" t="str">
        <f>IFERROR(__xludf.DUMMYFUNCTION("""COMPUTED_VALUE"""),"")</f>
        <v/>
      </c>
      <c r="M244" s="27" t="str">
        <f>IFERROR(__xludf.DUMMYFUNCTION("""COMPUTED_VALUE"""),"")</f>
        <v/>
      </c>
      <c r="N244" s="23" t="str">
        <f>IFERROR(__xludf.DUMMYFUNCTION("""COMPUTED_VALUE"""),"")</f>
        <v/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2" t="str">
        <f>IFERROR(__xludf.DUMMYFUNCTION("""COMPUTED_VALUE"""),"575-15904")</f>
        <v>575-15904</v>
      </c>
      <c r="B245" s="22" t="str">
        <f>IFERROR(__xludf.DUMMYFUNCTION("""COMPUTED_VALUE"""),"Size11, TR= 0.45, f=1000Hz Transmitter, Nuclear Harden")</f>
        <v>Size11, TR= 0.45, f=1000Hz Transmitter, Nuclear Harden</v>
      </c>
      <c r="C245" s="23">
        <f>IFERROR(__xludf.DUMMYFUNCTION("""COMPUTED_VALUE"""),0.0)</f>
        <v>0</v>
      </c>
      <c r="D245" s="2" t="str">
        <f>IFERROR(__xludf.DUMMYFUNCTION("""COMPUTED_VALUE"""),"")</f>
        <v/>
      </c>
      <c r="E245" s="25" t="str">
        <f>IFERROR(__xludf.DUMMYFUNCTION("""COMPUTED_VALUE"""),"")</f>
        <v/>
      </c>
      <c r="F245" s="2" t="str">
        <f>IFERROR(__xludf.DUMMYFUNCTION("""COMPUTED_VALUE"""),"")</f>
        <v/>
      </c>
      <c r="G245" s="27" t="str">
        <f>IFERROR(__xludf.DUMMYFUNCTION("""COMPUTED_VALUE"""),"")</f>
        <v/>
      </c>
      <c r="H245" s="23" t="str">
        <f>IFERROR(__xludf.DUMMYFUNCTION("""COMPUTED_VALUE"""),"")</f>
        <v/>
      </c>
      <c r="I245" s="2" t="str">
        <f>IFERROR(__xludf.DUMMYFUNCTION("""COMPUTED_VALUE"""),"")</f>
        <v/>
      </c>
      <c r="J245" s="27" t="str">
        <f>IFERROR(__xludf.DUMMYFUNCTION("""COMPUTED_VALUE"""),"")</f>
        <v/>
      </c>
      <c r="K245" s="23" t="str">
        <f>IFERROR(__xludf.DUMMYFUNCTION("""COMPUTED_VALUE"""),"")</f>
        <v/>
      </c>
      <c r="L245" s="2" t="str">
        <f>IFERROR(__xludf.DUMMYFUNCTION("""COMPUTED_VALUE"""),"")</f>
        <v/>
      </c>
      <c r="M245" s="27" t="str">
        <f>IFERROR(__xludf.DUMMYFUNCTION("""COMPUTED_VALUE"""),"")</f>
        <v/>
      </c>
      <c r="N245" s="23" t="str">
        <f>IFERROR(__xludf.DUMMYFUNCTION("""COMPUTED_VALUE"""),"")</f>
        <v/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2" t="str">
        <f>IFERROR(__xludf.DUMMYFUNCTION("""COMPUTED_VALUE"""),"575-15913-700")</f>
        <v>575-15913-700</v>
      </c>
      <c r="B246" s="22" t="str">
        <f>IFERROR(__xludf.DUMMYFUNCTION("""COMPUTED_VALUE"""),"Resolver Size 11, T.R. = .98 FREQ.= 2500, ACCUR. = &lt;7,")</f>
        <v>Resolver Size 11, T.R. = .98 FREQ.= 2500, ACCUR. = &lt;7,</v>
      </c>
      <c r="C246" s="23">
        <f>IFERROR(__xludf.DUMMYFUNCTION("""COMPUTED_VALUE"""),0.0)</f>
        <v>0</v>
      </c>
      <c r="D246" s="2" t="str">
        <f>IFERROR(__xludf.DUMMYFUNCTION("""COMPUTED_VALUE"""),"")</f>
        <v/>
      </c>
      <c r="E246" s="25" t="str">
        <f>IFERROR(__xludf.DUMMYFUNCTION("""COMPUTED_VALUE"""),"")</f>
        <v/>
      </c>
      <c r="F246" s="2" t="str">
        <f>IFERROR(__xludf.DUMMYFUNCTION("""COMPUTED_VALUE"""),"")</f>
        <v/>
      </c>
      <c r="G246" s="27" t="str">
        <f>IFERROR(__xludf.DUMMYFUNCTION("""COMPUTED_VALUE"""),"")</f>
        <v/>
      </c>
      <c r="H246" s="23" t="str">
        <f>IFERROR(__xludf.DUMMYFUNCTION("""COMPUTED_VALUE"""),"")</f>
        <v/>
      </c>
      <c r="I246" s="2" t="str">
        <f>IFERROR(__xludf.DUMMYFUNCTION("""COMPUTED_VALUE"""),"")</f>
        <v/>
      </c>
      <c r="J246" s="27" t="str">
        <f>IFERROR(__xludf.DUMMYFUNCTION("""COMPUTED_VALUE"""),"")</f>
        <v/>
      </c>
      <c r="K246" s="23" t="str">
        <f>IFERROR(__xludf.DUMMYFUNCTION("""COMPUTED_VALUE"""),"")</f>
        <v/>
      </c>
      <c r="L246" s="2" t="str">
        <f>IFERROR(__xludf.DUMMYFUNCTION("""COMPUTED_VALUE"""),"")</f>
        <v/>
      </c>
      <c r="M246" s="27" t="str">
        <f>IFERROR(__xludf.DUMMYFUNCTION("""COMPUTED_VALUE"""),"")</f>
        <v/>
      </c>
      <c r="N246" s="23" t="str">
        <f>IFERROR(__xludf.DUMMYFUNCTION("""COMPUTED_VALUE"""),"")</f>
        <v/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2" t="str">
        <f>IFERROR(__xludf.DUMMYFUNCTION("""COMPUTED_VALUE"""),"575-90000")</f>
        <v>575-90000</v>
      </c>
      <c r="B247" s="22" t="str">
        <f>IFERROR(__xludf.DUMMYFUNCTION("""COMPUTED_VALUE"""),"For H25-FE TR=0.95,   5KHz")</f>
        <v>For H25-FE TR=0.95,   5KHz</v>
      </c>
      <c r="C247" s="23">
        <f>IFERROR(__xludf.DUMMYFUNCTION("""COMPUTED_VALUE"""),0.0)</f>
        <v>0</v>
      </c>
      <c r="D247" s="2" t="str">
        <f>IFERROR(__xludf.DUMMYFUNCTION("""COMPUTED_VALUE"""),"")</f>
        <v/>
      </c>
      <c r="E247" s="25" t="str">
        <f>IFERROR(__xludf.DUMMYFUNCTION("""COMPUTED_VALUE"""),"")</f>
        <v/>
      </c>
      <c r="F247" s="2" t="str">
        <f>IFERROR(__xludf.DUMMYFUNCTION("""COMPUTED_VALUE"""),"")</f>
        <v/>
      </c>
      <c r="G247" s="27" t="str">
        <f>IFERROR(__xludf.DUMMYFUNCTION("""COMPUTED_VALUE"""),"")</f>
        <v/>
      </c>
      <c r="H247" s="23" t="str">
        <f>IFERROR(__xludf.DUMMYFUNCTION("""COMPUTED_VALUE"""),"")</f>
        <v/>
      </c>
      <c r="I247" s="2" t="str">
        <f>IFERROR(__xludf.DUMMYFUNCTION("""COMPUTED_VALUE"""),"")</f>
        <v/>
      </c>
      <c r="J247" s="27" t="str">
        <f>IFERROR(__xludf.DUMMYFUNCTION("""COMPUTED_VALUE"""),"")</f>
        <v/>
      </c>
      <c r="K247" s="23" t="str">
        <f>IFERROR(__xludf.DUMMYFUNCTION("""COMPUTED_VALUE"""),"")</f>
        <v/>
      </c>
      <c r="L247" s="2" t="str">
        <f>IFERROR(__xludf.DUMMYFUNCTION("""COMPUTED_VALUE"""),"")</f>
        <v/>
      </c>
      <c r="M247" s="27" t="str">
        <f>IFERROR(__xludf.DUMMYFUNCTION("""COMPUTED_VALUE"""),"")</f>
        <v/>
      </c>
      <c r="N247" s="23" t="str">
        <f>IFERROR(__xludf.DUMMYFUNCTION("""COMPUTED_VALUE"""),"")</f>
        <v/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2" t="str">
        <f>IFERROR(__xludf.DUMMYFUNCTION("""COMPUTED_VALUE"""),"575-90000-2")</f>
        <v>575-90000-2</v>
      </c>
      <c r="B248" s="22" t="str">
        <f>IFERROR(__xludf.DUMMYFUNCTION("""COMPUTED_VALUE"""),"H25FE WITH 10mm Shaft ")</f>
        <v>H25FE WITH 10mm Shaft </v>
      </c>
      <c r="C248" s="23">
        <f>IFERROR(__xludf.DUMMYFUNCTION("""COMPUTED_VALUE"""),0.0)</f>
        <v>0</v>
      </c>
      <c r="D248" s="2" t="str">
        <f>IFERROR(__xludf.DUMMYFUNCTION("""COMPUTED_VALUE"""),"")</f>
        <v/>
      </c>
      <c r="E248" s="25" t="str">
        <f>IFERROR(__xludf.DUMMYFUNCTION("""COMPUTED_VALUE"""),"")</f>
        <v/>
      </c>
      <c r="F248" s="2" t="str">
        <f>IFERROR(__xludf.DUMMYFUNCTION("""COMPUTED_VALUE"""),"")</f>
        <v/>
      </c>
      <c r="G248" s="27" t="str">
        <f>IFERROR(__xludf.DUMMYFUNCTION("""COMPUTED_VALUE"""),"")</f>
        <v/>
      </c>
      <c r="H248" s="23" t="str">
        <f>IFERROR(__xludf.DUMMYFUNCTION("""COMPUTED_VALUE"""),"")</f>
        <v/>
      </c>
      <c r="I248" s="2" t="str">
        <f>IFERROR(__xludf.DUMMYFUNCTION("""COMPUTED_VALUE"""),"")</f>
        <v/>
      </c>
      <c r="J248" s="27" t="str">
        <f>IFERROR(__xludf.DUMMYFUNCTION("""COMPUTED_VALUE"""),"")</f>
        <v/>
      </c>
      <c r="K248" s="23" t="str">
        <f>IFERROR(__xludf.DUMMYFUNCTION("""COMPUTED_VALUE"""),"")</f>
        <v/>
      </c>
      <c r="L248" s="2" t="str">
        <f>IFERROR(__xludf.DUMMYFUNCTION("""COMPUTED_VALUE"""),"")</f>
        <v/>
      </c>
      <c r="M248" s="27" t="str">
        <f>IFERROR(__xludf.DUMMYFUNCTION("""COMPUTED_VALUE"""),"")</f>
        <v/>
      </c>
      <c r="N248" s="23" t="str">
        <f>IFERROR(__xludf.DUMMYFUNCTION("""COMPUTED_VALUE"""),"")</f>
        <v/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2" t="str">
        <f>IFERROR(__xludf.DUMMYFUNCTION("""COMPUTED_VALUE"""),"575-90000-3")</f>
        <v>575-90000-3</v>
      </c>
      <c r="B249" s="22" t="str">
        <f>IFERROR(__xludf.DUMMYFUNCTION("""COMPUTED_VALUE"""),"H25FE WITH 1/4"" Shaft ")</f>
        <v>H25FE WITH 1/4" Shaft </v>
      </c>
      <c r="C249" s="23">
        <f>IFERROR(__xludf.DUMMYFUNCTION("""COMPUTED_VALUE"""),0.0)</f>
        <v>0</v>
      </c>
      <c r="D249" s="2" t="str">
        <f>IFERROR(__xludf.DUMMYFUNCTION("""COMPUTED_VALUE"""),"")</f>
        <v/>
      </c>
      <c r="E249" s="25" t="str">
        <f>IFERROR(__xludf.DUMMYFUNCTION("""COMPUTED_VALUE"""),"")</f>
        <v/>
      </c>
      <c r="F249" s="2" t="str">
        <f>IFERROR(__xludf.DUMMYFUNCTION("""COMPUTED_VALUE"""),"")</f>
        <v/>
      </c>
      <c r="G249" s="27" t="str">
        <f>IFERROR(__xludf.DUMMYFUNCTION("""COMPUTED_VALUE"""),"")</f>
        <v/>
      </c>
      <c r="H249" s="23" t="str">
        <f>IFERROR(__xludf.DUMMYFUNCTION("""COMPUTED_VALUE"""),"")</f>
        <v/>
      </c>
      <c r="I249" s="2" t="str">
        <f>IFERROR(__xludf.DUMMYFUNCTION("""COMPUTED_VALUE"""),"")</f>
        <v/>
      </c>
      <c r="J249" s="27" t="str">
        <f>IFERROR(__xludf.DUMMYFUNCTION("""COMPUTED_VALUE"""),"")</f>
        <v/>
      </c>
      <c r="K249" s="23" t="str">
        <f>IFERROR(__xludf.DUMMYFUNCTION("""COMPUTED_VALUE"""),"")</f>
        <v/>
      </c>
      <c r="L249" s="2" t="str">
        <f>IFERROR(__xludf.DUMMYFUNCTION("""COMPUTED_VALUE"""),"")</f>
        <v/>
      </c>
      <c r="M249" s="27" t="str">
        <f>IFERROR(__xludf.DUMMYFUNCTION("""COMPUTED_VALUE"""),"")</f>
        <v/>
      </c>
      <c r="N249" s="23" t="str">
        <f>IFERROR(__xludf.DUMMYFUNCTION("""COMPUTED_VALUE"""),"")</f>
        <v/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2" t="str">
        <f>IFERROR(__xludf.DUMMYFUNCTION("""COMPUTED_VALUE"""),"575-90000-4")</f>
        <v>575-90000-4</v>
      </c>
      <c r="B250" s="22" t="str">
        <f>IFERROR(__xludf.DUMMYFUNCTION("""COMPUTED_VALUE"""),"For H25-FE TR=0.95,   5KHz")</f>
        <v>For H25-FE TR=0.95,   5KHz</v>
      </c>
      <c r="C250" s="23">
        <f>IFERROR(__xludf.DUMMYFUNCTION("""COMPUTED_VALUE"""),0.0)</f>
        <v>0</v>
      </c>
      <c r="D250" s="2" t="str">
        <f>IFERROR(__xludf.DUMMYFUNCTION("""COMPUTED_VALUE"""),"")</f>
        <v/>
      </c>
      <c r="E250" s="25" t="str">
        <f>IFERROR(__xludf.DUMMYFUNCTION("""COMPUTED_VALUE"""),"")</f>
        <v/>
      </c>
      <c r="F250" s="2" t="str">
        <f>IFERROR(__xludf.DUMMYFUNCTION("""COMPUTED_VALUE"""),"")</f>
        <v/>
      </c>
      <c r="G250" s="27" t="str">
        <f>IFERROR(__xludf.DUMMYFUNCTION("""COMPUTED_VALUE"""),"")</f>
        <v/>
      </c>
      <c r="H250" s="23" t="str">
        <f>IFERROR(__xludf.DUMMYFUNCTION("""COMPUTED_VALUE"""),"")</f>
        <v/>
      </c>
      <c r="I250" s="2" t="str">
        <f>IFERROR(__xludf.DUMMYFUNCTION("""COMPUTED_VALUE"""),"")</f>
        <v/>
      </c>
      <c r="J250" s="27" t="str">
        <f>IFERROR(__xludf.DUMMYFUNCTION("""COMPUTED_VALUE"""),"")</f>
        <v/>
      </c>
      <c r="K250" s="23" t="str">
        <f>IFERROR(__xludf.DUMMYFUNCTION("""COMPUTED_VALUE"""),"")</f>
        <v/>
      </c>
      <c r="L250" s="2" t="str">
        <f>IFERROR(__xludf.DUMMYFUNCTION("""COMPUTED_VALUE"""),"")</f>
        <v/>
      </c>
      <c r="M250" s="27" t="str">
        <f>IFERROR(__xludf.DUMMYFUNCTION("""COMPUTED_VALUE"""),"")</f>
        <v/>
      </c>
      <c r="N250" s="23" t="str">
        <f>IFERROR(__xludf.DUMMYFUNCTION("""COMPUTED_VALUE"""),"")</f>
        <v/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2" t="str">
        <f>IFERROR(__xludf.DUMMYFUNCTION("""COMPUTED_VALUE"""),"575-90001")</f>
        <v>575-90001</v>
      </c>
      <c r="B251" s="22" t="str">
        <f>IFERROR(__xludf.DUMMYFUNCTION("""COMPUTED_VALUE"""),"H25F1E Resolver Assembly ")</f>
        <v>H25F1E Resolver Assembly </v>
      </c>
      <c r="C251" s="23">
        <f>IFERROR(__xludf.DUMMYFUNCTION("""COMPUTED_VALUE"""),0.0)</f>
        <v>0</v>
      </c>
      <c r="D251" s="2" t="str">
        <f>IFERROR(__xludf.DUMMYFUNCTION("""COMPUTED_VALUE"""),"")</f>
        <v/>
      </c>
      <c r="E251" s="25" t="str">
        <f>IFERROR(__xludf.DUMMYFUNCTION("""COMPUTED_VALUE"""),"")</f>
        <v/>
      </c>
      <c r="F251" s="2" t="str">
        <f>IFERROR(__xludf.DUMMYFUNCTION("""COMPUTED_VALUE"""),"")</f>
        <v/>
      </c>
      <c r="G251" s="27" t="str">
        <f>IFERROR(__xludf.DUMMYFUNCTION("""COMPUTED_VALUE"""),"")</f>
        <v/>
      </c>
      <c r="H251" s="23" t="str">
        <f>IFERROR(__xludf.DUMMYFUNCTION("""COMPUTED_VALUE"""),"")</f>
        <v/>
      </c>
      <c r="I251" s="2" t="str">
        <f>IFERROR(__xludf.DUMMYFUNCTION("""COMPUTED_VALUE"""),"")</f>
        <v/>
      </c>
      <c r="J251" s="27" t="str">
        <f>IFERROR(__xludf.DUMMYFUNCTION("""COMPUTED_VALUE"""),"")</f>
        <v/>
      </c>
      <c r="K251" s="23" t="str">
        <f>IFERROR(__xludf.DUMMYFUNCTION("""COMPUTED_VALUE"""),"")</f>
        <v/>
      </c>
      <c r="L251" s="2" t="str">
        <f>IFERROR(__xludf.DUMMYFUNCTION("""COMPUTED_VALUE"""),"")</f>
        <v/>
      </c>
      <c r="M251" s="27" t="str">
        <f>IFERROR(__xludf.DUMMYFUNCTION("""COMPUTED_VALUE"""),"")</f>
        <v/>
      </c>
      <c r="N251" s="23" t="str">
        <f>IFERROR(__xludf.DUMMYFUNCTION("""COMPUTED_VALUE"""),"")</f>
        <v/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2" t="str">
        <f>IFERROR(__xludf.DUMMYFUNCTION("""COMPUTED_VALUE"""),"575-91001-B")</f>
        <v>575-91001-B</v>
      </c>
      <c r="B252" s="22" t="str">
        <f>IFERROR(__xludf.DUMMYFUNCTION("""COMPUTED_VALUE"""),"DC25FE, &lt;,= 9 Min. body with stator only")</f>
        <v>DC25FE, &lt;,= 9 Min. body with stator only</v>
      </c>
      <c r="C252" s="23">
        <f>IFERROR(__xludf.DUMMYFUNCTION("""COMPUTED_VALUE"""),0.0)</f>
        <v>0</v>
      </c>
      <c r="D252" s="2" t="str">
        <f>IFERROR(__xludf.DUMMYFUNCTION("""COMPUTED_VALUE"""),"")</f>
        <v/>
      </c>
      <c r="E252" s="25" t="str">
        <f>IFERROR(__xludf.DUMMYFUNCTION("""COMPUTED_VALUE"""),"")</f>
        <v/>
      </c>
      <c r="F252" s="2" t="str">
        <f>IFERROR(__xludf.DUMMYFUNCTION("""COMPUTED_VALUE"""),"")</f>
        <v/>
      </c>
      <c r="G252" s="27" t="str">
        <f>IFERROR(__xludf.DUMMYFUNCTION("""COMPUTED_VALUE"""),"")</f>
        <v/>
      </c>
      <c r="H252" s="23" t="str">
        <f>IFERROR(__xludf.DUMMYFUNCTION("""COMPUTED_VALUE"""),"")</f>
        <v/>
      </c>
      <c r="I252" s="2" t="str">
        <f>IFERROR(__xludf.DUMMYFUNCTION("""COMPUTED_VALUE"""),"")</f>
        <v/>
      </c>
      <c r="J252" s="27" t="str">
        <f>IFERROR(__xludf.DUMMYFUNCTION("""COMPUTED_VALUE"""),"")</f>
        <v/>
      </c>
      <c r="K252" s="23" t="str">
        <f>IFERROR(__xludf.DUMMYFUNCTION("""COMPUTED_VALUE"""),"")</f>
        <v/>
      </c>
      <c r="L252" s="2" t="str">
        <f>IFERROR(__xludf.DUMMYFUNCTION("""COMPUTED_VALUE"""),"")</f>
        <v/>
      </c>
      <c r="M252" s="27" t="str">
        <f>IFERROR(__xludf.DUMMYFUNCTION("""COMPUTED_VALUE"""),"")</f>
        <v/>
      </c>
      <c r="N252" s="23" t="str">
        <f>IFERROR(__xludf.DUMMYFUNCTION("""COMPUTED_VALUE"""),"")</f>
        <v/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2" t="str">
        <f>IFERROR(__xludf.DUMMYFUNCTION("""COMPUTED_VALUE"""),"575-91004-0A")</f>
        <v>575-91004-0A</v>
      </c>
      <c r="B253" s="22" t="str">
        <f>IFERROR(__xludf.DUMMYFUNCTION("""COMPUTED_VALUE"""),"DC25FS14 &lt;=9 min. 3/8""shaft with 0.0938"" keyway")</f>
        <v>DC25FS14 &lt;=9 min. 3/8"shaft with 0.0938" keyway</v>
      </c>
      <c r="C253" s="23">
        <f>IFERROR(__xludf.DUMMYFUNCTION("""COMPUTED_VALUE"""),0.0)</f>
        <v>0</v>
      </c>
      <c r="D253" s="2" t="str">
        <f>IFERROR(__xludf.DUMMYFUNCTION("""COMPUTED_VALUE"""),"")</f>
        <v/>
      </c>
      <c r="E253" s="25" t="str">
        <f>IFERROR(__xludf.DUMMYFUNCTION("""COMPUTED_VALUE"""),"")</f>
        <v/>
      </c>
      <c r="F253" s="2" t="str">
        <f>IFERROR(__xludf.DUMMYFUNCTION("""COMPUTED_VALUE"""),"")</f>
        <v/>
      </c>
      <c r="G253" s="27" t="str">
        <f>IFERROR(__xludf.DUMMYFUNCTION("""COMPUTED_VALUE"""),"")</f>
        <v/>
      </c>
      <c r="H253" s="23" t="str">
        <f>IFERROR(__xludf.DUMMYFUNCTION("""COMPUTED_VALUE"""),"")</f>
        <v/>
      </c>
      <c r="I253" s="2" t="str">
        <f>IFERROR(__xludf.DUMMYFUNCTION("""COMPUTED_VALUE"""),"")</f>
        <v/>
      </c>
      <c r="J253" s="27" t="str">
        <f>IFERROR(__xludf.DUMMYFUNCTION("""COMPUTED_VALUE"""),"")</f>
        <v/>
      </c>
      <c r="K253" s="23" t="str">
        <f>IFERROR(__xludf.DUMMYFUNCTION("""COMPUTED_VALUE"""),"")</f>
        <v/>
      </c>
      <c r="L253" s="2" t="str">
        <f>IFERROR(__xludf.DUMMYFUNCTION("""COMPUTED_VALUE"""),"")</f>
        <v/>
      </c>
      <c r="M253" s="27" t="str">
        <f>IFERROR(__xludf.DUMMYFUNCTION("""COMPUTED_VALUE"""),"")</f>
        <v/>
      </c>
      <c r="N253" s="23" t="str">
        <f>IFERROR(__xludf.DUMMYFUNCTION("""COMPUTED_VALUE"""),"")</f>
        <v/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2" t="str">
        <f>IFERROR(__xludf.DUMMYFUNCTION("""COMPUTED_VALUE"""),"575-91004-10")</f>
        <v>575-91004-10</v>
      </c>
      <c r="B254" s="22" t="str">
        <f>IFERROR(__xludf.DUMMYFUNCTION("""COMPUTED_VALUE"""),"DC25FS14, &lt;,= 9 Min. 3/8"" shaft, flange tapped")</f>
        <v>DC25FS14, &lt;,= 9 Min. 3/8" shaft, flange tapped</v>
      </c>
      <c r="C254" s="23">
        <f>IFERROR(__xludf.DUMMYFUNCTION("""COMPUTED_VALUE"""),0.0)</f>
        <v>0</v>
      </c>
      <c r="D254" s="2" t="str">
        <f>IFERROR(__xludf.DUMMYFUNCTION("""COMPUTED_VALUE"""),"")</f>
        <v/>
      </c>
      <c r="E254" s="25" t="str">
        <f>IFERROR(__xludf.DUMMYFUNCTION("""COMPUTED_VALUE"""),"")</f>
        <v/>
      </c>
      <c r="F254" s="2" t="str">
        <f>IFERROR(__xludf.DUMMYFUNCTION("""COMPUTED_VALUE"""),"")</f>
        <v/>
      </c>
      <c r="G254" s="27" t="str">
        <f>IFERROR(__xludf.DUMMYFUNCTION("""COMPUTED_VALUE"""),"")</f>
        <v/>
      </c>
      <c r="H254" s="23" t="str">
        <f>IFERROR(__xludf.DUMMYFUNCTION("""COMPUTED_VALUE"""),"")</f>
        <v/>
      </c>
      <c r="I254" s="2" t="str">
        <f>IFERROR(__xludf.DUMMYFUNCTION("""COMPUTED_VALUE"""),"")</f>
        <v/>
      </c>
      <c r="J254" s="27" t="str">
        <f>IFERROR(__xludf.DUMMYFUNCTION("""COMPUTED_VALUE"""),"")</f>
        <v/>
      </c>
      <c r="K254" s="23" t="str">
        <f>IFERROR(__xludf.DUMMYFUNCTION("""COMPUTED_VALUE"""),"")</f>
        <v/>
      </c>
      <c r="L254" s="2" t="str">
        <f>IFERROR(__xludf.DUMMYFUNCTION("""COMPUTED_VALUE"""),"")</f>
        <v/>
      </c>
      <c r="M254" s="27" t="str">
        <f>IFERROR(__xludf.DUMMYFUNCTION("""COMPUTED_VALUE"""),"")</f>
        <v/>
      </c>
      <c r="N254" s="23" t="str">
        <f>IFERROR(__xludf.DUMMYFUNCTION("""COMPUTED_VALUE"""),"")</f>
        <v/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2" t="str">
        <f>IFERROR(__xludf.DUMMYFUNCTION("""COMPUTED_VALUE"""),"575-91007-2")</f>
        <v>575-91007-2</v>
      </c>
      <c r="B255" s="22" t="str">
        <f>IFERROR(__xludf.DUMMYFUNCTION("""COMPUTED_VALUE"""),"DC25FS16, &lt;,= 9 MIN. 10mm Shaft, flange")</f>
        <v>DC25FS16, &lt;,= 9 MIN. 10mm Shaft, flange</v>
      </c>
      <c r="C255" s="23">
        <f>IFERROR(__xludf.DUMMYFUNCTION("""COMPUTED_VALUE"""),0.0)</f>
        <v>0</v>
      </c>
      <c r="D255" s="2" t="str">
        <f>IFERROR(__xludf.DUMMYFUNCTION("""COMPUTED_VALUE"""),"")</f>
        <v/>
      </c>
      <c r="E255" s="25" t="str">
        <f>IFERROR(__xludf.DUMMYFUNCTION("""COMPUTED_VALUE"""),"")</f>
        <v/>
      </c>
      <c r="F255" s="2" t="str">
        <f>IFERROR(__xludf.DUMMYFUNCTION("""COMPUTED_VALUE"""),"")</f>
        <v/>
      </c>
      <c r="G255" s="27" t="str">
        <f>IFERROR(__xludf.DUMMYFUNCTION("""COMPUTED_VALUE"""),"")</f>
        <v/>
      </c>
      <c r="H255" s="23" t="str">
        <f>IFERROR(__xludf.DUMMYFUNCTION("""COMPUTED_VALUE"""),"")</f>
        <v/>
      </c>
      <c r="I255" s="2" t="str">
        <f>IFERROR(__xludf.DUMMYFUNCTION("""COMPUTED_VALUE"""),"")</f>
        <v/>
      </c>
      <c r="J255" s="27" t="str">
        <f>IFERROR(__xludf.DUMMYFUNCTION("""COMPUTED_VALUE"""),"")</f>
        <v/>
      </c>
      <c r="K255" s="23" t="str">
        <f>IFERROR(__xludf.DUMMYFUNCTION("""COMPUTED_VALUE"""),"")</f>
        <v/>
      </c>
      <c r="L255" s="2" t="str">
        <f>IFERROR(__xludf.DUMMYFUNCTION("""COMPUTED_VALUE"""),"")</f>
        <v/>
      </c>
      <c r="M255" s="27" t="str">
        <f>IFERROR(__xludf.DUMMYFUNCTION("""COMPUTED_VALUE"""),"")</f>
        <v/>
      </c>
      <c r="N255" s="23" t="str">
        <f>IFERROR(__xludf.DUMMYFUNCTION("""COMPUTED_VALUE"""),"")</f>
        <v/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2" t="str">
        <f>IFERROR(__xludf.DUMMYFUNCTION("""COMPUTED_VALUE"""),"575-91007-6")</f>
        <v>575-91007-6</v>
      </c>
      <c r="B256" s="22" t="str">
        <f>IFERROR(__xludf.DUMMYFUNCTION("""COMPUTED_VALUE"""),"DC25FS16, &lt;,= 9 Min. 3/8"" shaft, w/3 mm Keyway")</f>
        <v>DC25FS16, &lt;,= 9 Min. 3/8" shaft, w/3 mm Keyway</v>
      </c>
      <c r="C256" s="23">
        <f>IFERROR(__xludf.DUMMYFUNCTION("""COMPUTED_VALUE"""),0.0)</f>
        <v>0</v>
      </c>
      <c r="D256" s="2" t="str">
        <f>IFERROR(__xludf.DUMMYFUNCTION("""COMPUTED_VALUE"""),"")</f>
        <v/>
      </c>
      <c r="E256" s="25" t="str">
        <f>IFERROR(__xludf.DUMMYFUNCTION("""COMPUTED_VALUE"""),"")</f>
        <v/>
      </c>
      <c r="F256" s="2" t="str">
        <f>IFERROR(__xludf.DUMMYFUNCTION("""COMPUTED_VALUE"""),"")</f>
        <v/>
      </c>
      <c r="G256" s="27" t="str">
        <f>IFERROR(__xludf.DUMMYFUNCTION("""COMPUTED_VALUE"""),"")</f>
        <v/>
      </c>
      <c r="H256" s="23" t="str">
        <f>IFERROR(__xludf.DUMMYFUNCTION("""COMPUTED_VALUE"""),"")</f>
        <v/>
      </c>
      <c r="I256" s="2" t="str">
        <f>IFERROR(__xludf.DUMMYFUNCTION("""COMPUTED_VALUE"""),"")</f>
        <v/>
      </c>
      <c r="J256" s="27" t="str">
        <f>IFERROR(__xludf.DUMMYFUNCTION("""COMPUTED_VALUE"""),"")</f>
        <v/>
      </c>
      <c r="K256" s="23" t="str">
        <f>IFERROR(__xludf.DUMMYFUNCTION("""COMPUTED_VALUE"""),"")</f>
        <v/>
      </c>
      <c r="L256" s="2" t="str">
        <f>IFERROR(__xludf.DUMMYFUNCTION("""COMPUTED_VALUE"""),"")</f>
        <v/>
      </c>
      <c r="M256" s="27" t="str">
        <f>IFERROR(__xludf.DUMMYFUNCTION("""COMPUTED_VALUE"""),"")</f>
        <v/>
      </c>
      <c r="N256" s="23" t="str">
        <f>IFERROR(__xludf.DUMMYFUNCTION("""COMPUTED_VALUE"""),"")</f>
        <v/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2" t="str">
        <f>IFERROR(__xludf.DUMMYFUNCTION("""COMPUTED_VALUE"""),"575-91009-2")</f>
        <v>575-91009-2</v>
      </c>
      <c r="B257" s="22" t="str">
        <f>IFERROR(__xludf.DUMMYFUNCTION("""COMPUTED_VALUE"""),"DC25FS18, &lt;,= 9 Min. 10mm Shaft, flange")</f>
        <v>DC25FS18, &lt;,= 9 Min. 10mm Shaft, flange</v>
      </c>
      <c r="C257" s="23">
        <f>IFERROR(__xludf.DUMMYFUNCTION("""COMPUTED_VALUE"""),0.0)</f>
        <v>0</v>
      </c>
      <c r="D257" s="2" t="str">
        <f>IFERROR(__xludf.DUMMYFUNCTION("""COMPUTED_VALUE"""),"")</f>
        <v/>
      </c>
      <c r="E257" s="25" t="str">
        <f>IFERROR(__xludf.DUMMYFUNCTION("""COMPUTED_VALUE"""),"")</f>
        <v/>
      </c>
      <c r="F257" s="2" t="str">
        <f>IFERROR(__xludf.DUMMYFUNCTION("""COMPUTED_VALUE"""),"")</f>
        <v/>
      </c>
      <c r="G257" s="27" t="str">
        <f>IFERROR(__xludf.DUMMYFUNCTION("""COMPUTED_VALUE"""),"")</f>
        <v/>
      </c>
      <c r="H257" s="23" t="str">
        <f>IFERROR(__xludf.DUMMYFUNCTION("""COMPUTED_VALUE"""),"")</f>
        <v/>
      </c>
      <c r="I257" s="2" t="str">
        <f>IFERROR(__xludf.DUMMYFUNCTION("""COMPUTED_VALUE"""),"")</f>
        <v/>
      </c>
      <c r="J257" s="27" t="str">
        <f>IFERROR(__xludf.DUMMYFUNCTION("""COMPUTED_VALUE"""),"")</f>
        <v/>
      </c>
      <c r="K257" s="23" t="str">
        <f>IFERROR(__xludf.DUMMYFUNCTION("""COMPUTED_VALUE"""),"")</f>
        <v/>
      </c>
      <c r="L257" s="2" t="str">
        <f>IFERROR(__xludf.DUMMYFUNCTION("""COMPUTED_VALUE"""),"")</f>
        <v/>
      </c>
      <c r="M257" s="27" t="str">
        <f>IFERROR(__xludf.DUMMYFUNCTION("""COMPUTED_VALUE"""),"")</f>
        <v/>
      </c>
      <c r="N257" s="23" t="str">
        <f>IFERROR(__xludf.DUMMYFUNCTION("""COMPUTED_VALUE"""),"")</f>
        <v/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2" t="str">
        <f>IFERROR(__xludf.DUMMYFUNCTION("""COMPUTED_VALUE"""),"575-91009-3")</f>
        <v>575-91009-3</v>
      </c>
      <c r="B258" s="22" t="str">
        <f>IFERROR(__xludf.DUMMYFUNCTION("""COMPUTED_VALUE"""),"DC25FS18, &lt;,= 9 Min. 1/4"" Shaft, flange")</f>
        <v>DC25FS18, &lt;,= 9 Min. 1/4" Shaft, flange</v>
      </c>
      <c r="C258" s="23">
        <f>IFERROR(__xludf.DUMMYFUNCTION("""COMPUTED_VALUE"""),0.0)</f>
        <v>0</v>
      </c>
      <c r="D258" s="2" t="str">
        <f>IFERROR(__xludf.DUMMYFUNCTION("""COMPUTED_VALUE"""),"")</f>
        <v/>
      </c>
      <c r="E258" s="25" t="str">
        <f>IFERROR(__xludf.DUMMYFUNCTION("""COMPUTED_VALUE"""),"")</f>
        <v/>
      </c>
      <c r="F258" s="2" t="str">
        <f>IFERROR(__xludf.DUMMYFUNCTION("""COMPUTED_VALUE"""),"")</f>
        <v/>
      </c>
      <c r="G258" s="27" t="str">
        <f>IFERROR(__xludf.DUMMYFUNCTION("""COMPUTED_VALUE"""),"")</f>
        <v/>
      </c>
      <c r="H258" s="23" t="str">
        <f>IFERROR(__xludf.DUMMYFUNCTION("""COMPUTED_VALUE"""),"")</f>
        <v/>
      </c>
      <c r="I258" s="2" t="str">
        <f>IFERROR(__xludf.DUMMYFUNCTION("""COMPUTED_VALUE"""),"")</f>
        <v/>
      </c>
      <c r="J258" s="27" t="str">
        <f>IFERROR(__xludf.DUMMYFUNCTION("""COMPUTED_VALUE"""),"")</f>
        <v/>
      </c>
      <c r="K258" s="23" t="str">
        <f>IFERROR(__xludf.DUMMYFUNCTION("""COMPUTED_VALUE"""),"")</f>
        <v/>
      </c>
      <c r="L258" s="2" t="str">
        <f>IFERROR(__xludf.DUMMYFUNCTION("""COMPUTED_VALUE"""),"")</f>
        <v/>
      </c>
      <c r="M258" s="27" t="str">
        <f>IFERROR(__xludf.DUMMYFUNCTION("""COMPUTED_VALUE"""),"")</f>
        <v/>
      </c>
      <c r="N258" s="23" t="str">
        <f>IFERROR(__xludf.DUMMYFUNCTION("""COMPUTED_VALUE"""),"")</f>
        <v/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2" t="str">
        <f>IFERROR(__xludf.DUMMYFUNCTION("""COMPUTED_VALUE"""),"575-91009-8")</f>
        <v>575-91009-8</v>
      </c>
      <c r="B259" s="22" t="str">
        <f>IFERROR(__xludf.DUMMYFUNCTION("""COMPUTED_VALUE"""),"DC25FS18, &lt;,= 9 Min. 3/8"" shaft w/ old ver seal")</f>
        <v>DC25FS18, &lt;,= 9 Min. 3/8" shaft w/ old ver seal</v>
      </c>
      <c r="C259" s="23">
        <f>IFERROR(__xludf.DUMMYFUNCTION("""COMPUTED_VALUE"""),0.0)</f>
        <v>0</v>
      </c>
      <c r="D259" s="2" t="str">
        <f>IFERROR(__xludf.DUMMYFUNCTION("""COMPUTED_VALUE"""),"")</f>
        <v/>
      </c>
      <c r="E259" s="25" t="str">
        <f>IFERROR(__xludf.DUMMYFUNCTION("""COMPUTED_VALUE"""),"")</f>
        <v/>
      </c>
      <c r="F259" s="2" t="str">
        <f>IFERROR(__xludf.DUMMYFUNCTION("""COMPUTED_VALUE"""),"")</f>
        <v/>
      </c>
      <c r="G259" s="27" t="str">
        <f>IFERROR(__xludf.DUMMYFUNCTION("""COMPUTED_VALUE"""),"")</f>
        <v/>
      </c>
      <c r="H259" s="23" t="str">
        <f>IFERROR(__xludf.DUMMYFUNCTION("""COMPUTED_VALUE"""),"")</f>
        <v/>
      </c>
      <c r="I259" s="2" t="str">
        <f>IFERROR(__xludf.DUMMYFUNCTION("""COMPUTED_VALUE"""),"")</f>
        <v/>
      </c>
      <c r="J259" s="27" t="str">
        <f>IFERROR(__xludf.DUMMYFUNCTION("""COMPUTED_VALUE"""),"")</f>
        <v/>
      </c>
      <c r="K259" s="23" t="str">
        <f>IFERROR(__xludf.DUMMYFUNCTION("""COMPUTED_VALUE"""),"")</f>
        <v/>
      </c>
      <c r="L259" s="2" t="str">
        <f>IFERROR(__xludf.DUMMYFUNCTION("""COMPUTED_VALUE"""),"")</f>
        <v/>
      </c>
      <c r="M259" s="27" t="str">
        <f>IFERROR(__xludf.DUMMYFUNCTION("""COMPUTED_VALUE"""),"")</f>
        <v/>
      </c>
      <c r="N259" s="23" t="str">
        <f>IFERROR(__xludf.DUMMYFUNCTION("""COMPUTED_VALUE"""),"")</f>
        <v/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2" t="str">
        <f>IFERROR(__xludf.DUMMYFUNCTION("""COMPUTED_VALUE"""),"575-91011")</f>
        <v>575-91011</v>
      </c>
      <c r="B260" s="22" t="str">
        <f>IFERROR(__xludf.DUMMYFUNCTION("""COMPUTED_VALUE"""),"DC25SS14, &lt;,= 9 Min. 3/8"" shaft, servo")</f>
        <v>DC25SS14, &lt;,= 9 Min. 3/8" shaft, servo</v>
      </c>
      <c r="C260" s="23">
        <f>IFERROR(__xludf.DUMMYFUNCTION("""COMPUTED_VALUE"""),0.0)</f>
        <v>0</v>
      </c>
      <c r="D260" s="2" t="str">
        <f>IFERROR(__xludf.DUMMYFUNCTION("""COMPUTED_VALUE"""),"")</f>
        <v/>
      </c>
      <c r="E260" s="25" t="str">
        <f>IFERROR(__xludf.DUMMYFUNCTION("""COMPUTED_VALUE"""),"")</f>
        <v/>
      </c>
      <c r="F260" s="2" t="str">
        <f>IFERROR(__xludf.DUMMYFUNCTION("""COMPUTED_VALUE"""),"")</f>
        <v/>
      </c>
      <c r="G260" s="27" t="str">
        <f>IFERROR(__xludf.DUMMYFUNCTION("""COMPUTED_VALUE"""),"")</f>
        <v/>
      </c>
      <c r="H260" s="23" t="str">
        <f>IFERROR(__xludf.DUMMYFUNCTION("""COMPUTED_VALUE"""),"")</f>
        <v/>
      </c>
      <c r="I260" s="2" t="str">
        <f>IFERROR(__xludf.DUMMYFUNCTION("""COMPUTED_VALUE"""),"")</f>
        <v/>
      </c>
      <c r="J260" s="27" t="str">
        <f>IFERROR(__xludf.DUMMYFUNCTION("""COMPUTED_VALUE"""),"")</f>
        <v/>
      </c>
      <c r="K260" s="23" t="str">
        <f>IFERROR(__xludf.DUMMYFUNCTION("""COMPUTED_VALUE"""),"")</f>
        <v/>
      </c>
      <c r="L260" s="2" t="str">
        <f>IFERROR(__xludf.DUMMYFUNCTION("""COMPUTED_VALUE"""),"")</f>
        <v/>
      </c>
      <c r="M260" s="27" t="str">
        <f>IFERROR(__xludf.DUMMYFUNCTION("""COMPUTED_VALUE"""),"")</f>
        <v/>
      </c>
      <c r="N260" s="23" t="str">
        <f>IFERROR(__xludf.DUMMYFUNCTION("""COMPUTED_VALUE"""),"")</f>
        <v/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2" t="str">
        <f>IFERROR(__xludf.DUMMYFUNCTION("""COMPUTED_VALUE"""),"575-91014")</f>
        <v>575-91014</v>
      </c>
      <c r="B261" s="22" t="str">
        <f>IFERROR(__xludf.DUMMYFUNCTION("""COMPUTED_VALUE"""),"DC25SS16, &lt;,= 9 Min. 3/8"" shaft, servo")</f>
        <v>DC25SS16, &lt;,= 9 Min. 3/8" shaft, servo</v>
      </c>
      <c r="C261" s="23">
        <f>IFERROR(__xludf.DUMMYFUNCTION("""COMPUTED_VALUE"""),0.0)</f>
        <v>0</v>
      </c>
      <c r="D261" s="2" t="str">
        <f>IFERROR(__xludf.DUMMYFUNCTION("""COMPUTED_VALUE"""),"")</f>
        <v/>
      </c>
      <c r="E261" s="25" t="str">
        <f>IFERROR(__xludf.DUMMYFUNCTION("""COMPUTED_VALUE"""),"")</f>
        <v/>
      </c>
      <c r="F261" s="2" t="str">
        <f>IFERROR(__xludf.DUMMYFUNCTION("""COMPUTED_VALUE"""),"")</f>
        <v/>
      </c>
      <c r="G261" s="27" t="str">
        <f>IFERROR(__xludf.DUMMYFUNCTION("""COMPUTED_VALUE"""),"")</f>
        <v/>
      </c>
      <c r="H261" s="23" t="str">
        <f>IFERROR(__xludf.DUMMYFUNCTION("""COMPUTED_VALUE"""),"")</f>
        <v/>
      </c>
      <c r="I261" s="2" t="str">
        <f>IFERROR(__xludf.DUMMYFUNCTION("""COMPUTED_VALUE"""),"")</f>
        <v/>
      </c>
      <c r="J261" s="27" t="str">
        <f>IFERROR(__xludf.DUMMYFUNCTION("""COMPUTED_VALUE"""),"")</f>
        <v/>
      </c>
      <c r="K261" s="23" t="str">
        <f>IFERROR(__xludf.DUMMYFUNCTION("""COMPUTED_VALUE"""),"")</f>
        <v/>
      </c>
      <c r="L261" s="2" t="str">
        <f>IFERROR(__xludf.DUMMYFUNCTION("""COMPUTED_VALUE"""),"")</f>
        <v/>
      </c>
      <c r="M261" s="27" t="str">
        <f>IFERROR(__xludf.DUMMYFUNCTION("""COMPUTED_VALUE"""),"")</f>
        <v/>
      </c>
      <c r="N261" s="23" t="str">
        <f>IFERROR(__xludf.DUMMYFUNCTION("""COMPUTED_VALUE"""),"")</f>
        <v/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2" t="str">
        <f>IFERROR(__xludf.DUMMYFUNCTION("""COMPUTED_VALUE"""),"575-91014-6")</f>
        <v>575-91014-6</v>
      </c>
      <c r="B262" s="22" t="str">
        <f>IFERROR(__xludf.DUMMYFUNCTION("""COMPUTED_VALUE"""),"DC25SS16,&lt;, =9 Min 3/8"" shaft, w/3 mm keyway")</f>
        <v>DC25SS16,&lt;, =9 Min 3/8" shaft, w/3 mm keyway</v>
      </c>
      <c r="C262" s="23">
        <f>IFERROR(__xludf.DUMMYFUNCTION("""COMPUTED_VALUE"""),0.0)</f>
        <v>0</v>
      </c>
      <c r="D262" s="2" t="str">
        <f>IFERROR(__xludf.DUMMYFUNCTION("""COMPUTED_VALUE"""),"")</f>
        <v/>
      </c>
      <c r="E262" s="25" t="str">
        <f>IFERROR(__xludf.DUMMYFUNCTION("""COMPUTED_VALUE"""),"")</f>
        <v/>
      </c>
      <c r="F262" s="2" t="str">
        <f>IFERROR(__xludf.DUMMYFUNCTION("""COMPUTED_VALUE"""),"")</f>
        <v/>
      </c>
      <c r="G262" s="27" t="str">
        <f>IFERROR(__xludf.DUMMYFUNCTION("""COMPUTED_VALUE"""),"")</f>
        <v/>
      </c>
      <c r="H262" s="23" t="str">
        <f>IFERROR(__xludf.DUMMYFUNCTION("""COMPUTED_VALUE"""),"")</f>
        <v/>
      </c>
      <c r="I262" s="2" t="str">
        <f>IFERROR(__xludf.DUMMYFUNCTION("""COMPUTED_VALUE"""),"")</f>
        <v/>
      </c>
      <c r="J262" s="27" t="str">
        <f>IFERROR(__xludf.DUMMYFUNCTION("""COMPUTED_VALUE"""),"")</f>
        <v/>
      </c>
      <c r="K262" s="23" t="str">
        <f>IFERROR(__xludf.DUMMYFUNCTION("""COMPUTED_VALUE"""),"")</f>
        <v/>
      </c>
      <c r="L262" s="2" t="str">
        <f>IFERROR(__xludf.DUMMYFUNCTION("""COMPUTED_VALUE"""),"")</f>
        <v/>
      </c>
      <c r="M262" s="27" t="str">
        <f>IFERROR(__xludf.DUMMYFUNCTION("""COMPUTED_VALUE"""),"")</f>
        <v/>
      </c>
      <c r="N262" s="23" t="str">
        <f>IFERROR(__xludf.DUMMYFUNCTION("""COMPUTED_VALUE"""),"")</f>
        <v/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2" t="str">
        <f>IFERROR(__xludf.DUMMYFUNCTION("""COMPUTED_VALUE"""),"575-91016")</f>
        <v>575-91016</v>
      </c>
      <c r="B263" s="22" t="str">
        <f>IFERROR(__xludf.DUMMYFUNCTION("""COMPUTED_VALUE"""),"DC25SS18, &lt;, = 9 Min. 3/8"" shaft, servo")</f>
        <v>DC25SS18, &lt;, = 9 Min. 3/8" shaft, servo</v>
      </c>
      <c r="C263" s="23">
        <f>IFERROR(__xludf.DUMMYFUNCTION("""COMPUTED_VALUE"""),0.0)</f>
        <v>0</v>
      </c>
      <c r="D263" s="2" t="str">
        <f>IFERROR(__xludf.DUMMYFUNCTION("""COMPUTED_VALUE"""),"")</f>
        <v/>
      </c>
      <c r="E263" s="25" t="str">
        <f>IFERROR(__xludf.DUMMYFUNCTION("""COMPUTED_VALUE"""),"")</f>
        <v/>
      </c>
      <c r="F263" s="2" t="str">
        <f>IFERROR(__xludf.DUMMYFUNCTION("""COMPUTED_VALUE"""),"")</f>
        <v/>
      </c>
      <c r="G263" s="27" t="str">
        <f>IFERROR(__xludf.DUMMYFUNCTION("""COMPUTED_VALUE"""),"")</f>
        <v/>
      </c>
      <c r="H263" s="23" t="str">
        <f>IFERROR(__xludf.DUMMYFUNCTION("""COMPUTED_VALUE"""),"")</f>
        <v/>
      </c>
      <c r="I263" s="2" t="str">
        <f>IFERROR(__xludf.DUMMYFUNCTION("""COMPUTED_VALUE"""),"")</f>
        <v/>
      </c>
      <c r="J263" s="27" t="str">
        <f>IFERROR(__xludf.DUMMYFUNCTION("""COMPUTED_VALUE"""),"")</f>
        <v/>
      </c>
      <c r="K263" s="23" t="str">
        <f>IFERROR(__xludf.DUMMYFUNCTION("""COMPUTED_VALUE"""),"")</f>
        <v/>
      </c>
      <c r="L263" s="2" t="str">
        <f>IFERROR(__xludf.DUMMYFUNCTION("""COMPUTED_VALUE"""),"")</f>
        <v/>
      </c>
      <c r="M263" s="27" t="str">
        <f>IFERROR(__xludf.DUMMYFUNCTION("""COMPUTED_VALUE"""),"")</f>
        <v/>
      </c>
      <c r="N263" s="23" t="str">
        <f>IFERROR(__xludf.DUMMYFUNCTION("""COMPUTED_VALUE"""),"")</f>
        <v/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2" t="str">
        <f>IFERROR(__xludf.DUMMYFUNCTION("""COMPUTED_VALUE"""),"575-91016-3")</f>
        <v>575-91016-3</v>
      </c>
      <c r="B264" s="22" t="str">
        <f>IFERROR(__xludf.DUMMYFUNCTION("""COMPUTED_VALUE"""),"DC25SS18-3, &lt;,= 9 Min. 1/4"" Shaft. servo")</f>
        <v>DC25SS18-3, &lt;,= 9 Min. 1/4" Shaft. servo</v>
      </c>
      <c r="C264" s="23">
        <f>IFERROR(__xludf.DUMMYFUNCTION("""COMPUTED_VALUE"""),1.70276)</f>
        <v>1.70276</v>
      </c>
      <c r="D264" s="23">
        <f>IFERROR(__xludf.DUMMYFUNCTION("""COMPUTED_VALUE"""),1.70276)</f>
        <v>1.70276</v>
      </c>
      <c r="E264" s="25" t="str">
        <f>IFERROR(__xludf.DUMMYFUNCTION("""COMPUTED_VALUE"""),"")</f>
        <v/>
      </c>
      <c r="F264" s="2" t="str">
        <f>IFERROR(__xludf.DUMMYFUNCTION("""COMPUTED_VALUE"""),"Cast AL Bulgaria (pc.)")</f>
        <v>Cast AL Bulgaria (pc.)</v>
      </c>
      <c r="G264" s="27">
        <f>IFERROR(__xludf.DUMMYFUNCTION("""COMPUTED_VALUE"""),0.218)</f>
        <v>0.218</v>
      </c>
      <c r="H264" s="23">
        <f>IFERROR(__xludf.DUMMYFUNCTION("""COMPUTED_VALUE"""),1.0158800000000001)</f>
        <v>1.01588</v>
      </c>
      <c r="I264" s="2" t="str">
        <f>IFERROR(__xludf.DUMMYFUNCTION("""COMPUTED_VALUE"""),"Ф65 AL 2017 Italy")</f>
        <v>Ф65 AL 2017 Italy</v>
      </c>
      <c r="J264" s="27">
        <f>IFERROR(__xludf.DUMMYFUNCTION("""COMPUTED_VALUE"""),0.053)</f>
        <v>0.053</v>
      </c>
      <c r="K264" s="23">
        <f>IFERROR(__xludf.DUMMYFUNCTION("""COMPUTED_VALUE"""),0.68688)</f>
        <v>0.68688</v>
      </c>
      <c r="L264" s="2" t="str">
        <f>IFERROR(__xludf.DUMMYFUNCTION("""COMPUTED_VALUE"""),"")</f>
        <v/>
      </c>
      <c r="M264" s="27" t="str">
        <f>IFERROR(__xludf.DUMMYFUNCTION("""COMPUTED_VALUE"""),"")</f>
        <v/>
      </c>
      <c r="N264" s="23" t="str">
        <f>IFERROR(__xludf.DUMMYFUNCTION("""COMPUTED_VALUE"""),"")</f>
        <v/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2" t="str">
        <f>IFERROR(__xludf.DUMMYFUNCTION("""COMPUTED_VALUE"""),"575-91018")</f>
        <v>575-91018</v>
      </c>
      <c r="B265" s="22" t="str">
        <f>IFERROR(__xludf.DUMMYFUNCTION("""COMPUTED_VALUE"""),"DC25SE, &lt;,= 9 Min. 3/8"" shaft, servo")</f>
        <v>DC25SE, &lt;,= 9 Min. 3/8" shaft, servo</v>
      </c>
      <c r="C265" s="23">
        <f>IFERROR(__xludf.DUMMYFUNCTION("""COMPUTED_VALUE"""),3.9528000000000003)</f>
        <v>3.9528</v>
      </c>
      <c r="D265" s="23">
        <f>IFERROR(__xludf.DUMMYFUNCTION("""COMPUTED_VALUE"""),3.9528000000000003)</f>
        <v>3.9528</v>
      </c>
      <c r="E265" s="25" t="str">
        <f>IFERROR(__xludf.DUMMYFUNCTION("""COMPUTED_VALUE"""),"")</f>
        <v/>
      </c>
      <c r="F265" s="2" t="str">
        <f>IFERROR(__xludf.DUMMYFUNCTION("""COMPUTED_VALUE"""),"Ф65 AL 2017 Italy")</f>
        <v>Ф65 AL 2017 Italy</v>
      </c>
      <c r="G265" s="27">
        <f>IFERROR(__xludf.DUMMYFUNCTION("""COMPUTED_VALUE"""),0.252)</f>
        <v>0.252</v>
      </c>
      <c r="H265" s="23">
        <f>IFERROR(__xludf.DUMMYFUNCTION("""COMPUTED_VALUE"""),3.2659200000000004)</f>
        <v>3.26592</v>
      </c>
      <c r="I265" s="2" t="str">
        <f>IFERROR(__xludf.DUMMYFUNCTION("""COMPUTED_VALUE"""),"Ф65 AL 2017 Italy")</f>
        <v>Ф65 AL 2017 Italy</v>
      </c>
      <c r="J265" s="27">
        <f>IFERROR(__xludf.DUMMYFUNCTION("""COMPUTED_VALUE"""),0.053)</f>
        <v>0.053</v>
      </c>
      <c r="K265" s="23">
        <f>IFERROR(__xludf.DUMMYFUNCTION("""COMPUTED_VALUE"""),0.68688)</f>
        <v>0.68688</v>
      </c>
      <c r="L265" s="2" t="str">
        <f>IFERROR(__xludf.DUMMYFUNCTION("""COMPUTED_VALUE"""),"")</f>
        <v/>
      </c>
      <c r="M265" s="27" t="str">
        <f>IFERROR(__xludf.DUMMYFUNCTION("""COMPUTED_VALUE"""),"")</f>
        <v/>
      </c>
      <c r="N265" s="23" t="str">
        <f>IFERROR(__xludf.DUMMYFUNCTION("""COMPUTED_VALUE"""),"")</f>
        <v/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2" t="str">
        <f>IFERROR(__xludf.DUMMYFUNCTION("""COMPUTED_VALUE"""),"575-91018-6")</f>
        <v>575-91018-6</v>
      </c>
      <c r="B266" s="22" t="str">
        <f>IFERROR(__xludf.DUMMYFUNCTION("""COMPUTED_VALUE"""),"DC25SE, &lt;,= 9 Min. 3/8"" shaft w/3 mm keyway")</f>
        <v>DC25SE, &lt;,= 9 Min. 3/8" shaft w/3 mm keyway</v>
      </c>
      <c r="C266" s="23">
        <f>IFERROR(__xludf.DUMMYFUNCTION("""COMPUTED_VALUE"""),3.9528000000000003)</f>
        <v>3.9528</v>
      </c>
      <c r="D266" s="23">
        <f>IFERROR(__xludf.DUMMYFUNCTION("""COMPUTED_VALUE"""),3.9528000000000003)</f>
        <v>3.9528</v>
      </c>
      <c r="E266" s="25" t="str">
        <f>IFERROR(__xludf.DUMMYFUNCTION("""COMPUTED_VALUE"""),"")</f>
        <v/>
      </c>
      <c r="F266" s="2" t="str">
        <f>IFERROR(__xludf.DUMMYFUNCTION("""COMPUTED_VALUE"""),"Ф65 AL 2017 Italy")</f>
        <v>Ф65 AL 2017 Italy</v>
      </c>
      <c r="G266" s="27">
        <f>IFERROR(__xludf.DUMMYFUNCTION("""COMPUTED_VALUE"""),0.252)</f>
        <v>0.252</v>
      </c>
      <c r="H266" s="23">
        <f>IFERROR(__xludf.DUMMYFUNCTION("""COMPUTED_VALUE"""),3.2659200000000004)</f>
        <v>3.26592</v>
      </c>
      <c r="I266" s="2" t="str">
        <f>IFERROR(__xludf.DUMMYFUNCTION("""COMPUTED_VALUE"""),"Ф65 AL 2017 Italy")</f>
        <v>Ф65 AL 2017 Italy</v>
      </c>
      <c r="J266" s="27">
        <f>IFERROR(__xludf.DUMMYFUNCTION("""COMPUTED_VALUE"""),0.053)</f>
        <v>0.053</v>
      </c>
      <c r="K266" s="23">
        <f>IFERROR(__xludf.DUMMYFUNCTION("""COMPUTED_VALUE"""),0.68688)</f>
        <v>0.68688</v>
      </c>
      <c r="L266" s="2" t="str">
        <f>IFERROR(__xludf.DUMMYFUNCTION("""COMPUTED_VALUE"""),"")</f>
        <v/>
      </c>
      <c r="M266" s="27" t="str">
        <f>IFERROR(__xludf.DUMMYFUNCTION("""COMPUTED_VALUE"""),"")</f>
        <v/>
      </c>
      <c r="N266" s="23" t="str">
        <f>IFERROR(__xludf.DUMMYFUNCTION("""COMPUTED_VALUE"""),"")</f>
        <v/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2" t="str">
        <f>IFERROR(__xludf.DUMMYFUNCTION("""COMPUTED_VALUE"""),"575-91019")</f>
        <v>575-91019</v>
      </c>
      <c r="B267" s="22" t="str">
        <f>IFERROR(__xludf.DUMMYFUNCTION("""COMPUTED_VALUE"""),"H25N-SE, 10mm shaft, 9 Min. Viton seal, TR=95, 5KHz")</f>
        <v>H25N-SE, 10mm shaft, 9 Min. Viton seal, TR=95, 5KHz</v>
      </c>
      <c r="C267" s="23">
        <f>IFERROR(__xludf.DUMMYFUNCTION("""COMPUTED_VALUE"""),4.717440000000001)</f>
        <v>4.71744</v>
      </c>
      <c r="D267" s="23">
        <f>IFERROR(__xludf.DUMMYFUNCTION("""COMPUTED_VALUE"""),4.717440000000001)</f>
        <v>4.71744</v>
      </c>
      <c r="E267" s="25" t="str">
        <f>IFERROR(__xludf.DUMMYFUNCTION("""COMPUTED_VALUE"""),"")</f>
        <v/>
      </c>
      <c r="F267" s="2" t="str">
        <f>IFERROR(__xludf.DUMMYFUNCTION("""COMPUTED_VALUE"""),"Ф65 AL 2017 Italy")</f>
        <v>Ф65 AL 2017 Italy</v>
      </c>
      <c r="G267" s="27">
        <f>IFERROR(__xludf.DUMMYFUNCTION("""COMPUTED_VALUE"""),0.311)</f>
        <v>0.311</v>
      </c>
      <c r="H267" s="23">
        <f>IFERROR(__xludf.DUMMYFUNCTION("""COMPUTED_VALUE"""),4.03056)</f>
        <v>4.03056</v>
      </c>
      <c r="I267" s="2" t="str">
        <f>IFERROR(__xludf.DUMMYFUNCTION("""COMPUTED_VALUE"""),"Ф65 AL 2017 Italy")</f>
        <v>Ф65 AL 2017 Italy</v>
      </c>
      <c r="J267" s="27">
        <f>IFERROR(__xludf.DUMMYFUNCTION("""COMPUTED_VALUE"""),0.053)</f>
        <v>0.053</v>
      </c>
      <c r="K267" s="23">
        <f>IFERROR(__xludf.DUMMYFUNCTION("""COMPUTED_VALUE"""),0.68688)</f>
        <v>0.68688</v>
      </c>
      <c r="L267" s="2" t="str">
        <f>IFERROR(__xludf.DUMMYFUNCTION("""COMPUTED_VALUE"""),"")</f>
        <v/>
      </c>
      <c r="M267" s="27" t="str">
        <f>IFERROR(__xludf.DUMMYFUNCTION("""COMPUTED_VALUE"""),"")</f>
        <v/>
      </c>
      <c r="N267" s="23" t="str">
        <f>IFERROR(__xludf.DUMMYFUNCTION("""COMPUTED_VALUE"""),"")</f>
        <v/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2" t="str">
        <f>IFERROR(__xludf.DUMMYFUNCTION("""COMPUTED_VALUE"""),"575-91024")</f>
        <v>575-91024</v>
      </c>
      <c r="B268" s="22" t="str">
        <f>IFERROR(__xludf.DUMMYFUNCTION("""COMPUTED_VALUE"""),"H25-FS(14) - Transmitter .45 TR/ 1000 Hz,side conn.14")</f>
        <v>H25-FS(14) - Transmitter .45 TR/ 1000 Hz,side conn.14</v>
      </c>
      <c r="C268" s="23">
        <f>IFERROR(__xludf.DUMMYFUNCTION("""COMPUTED_VALUE"""),1.10226)</f>
        <v>1.10226</v>
      </c>
      <c r="D268" s="23">
        <f>IFERROR(__xludf.DUMMYFUNCTION("""COMPUTED_VALUE"""),1.10226)</f>
        <v>1.10226</v>
      </c>
      <c r="E268" s="25" t="str">
        <f>IFERROR(__xludf.DUMMYFUNCTION("""COMPUTED_VALUE"""),"")</f>
        <v/>
      </c>
      <c r="F268" s="2" t="str">
        <f>IFERROR(__xludf.DUMMYFUNCTION("""COMPUTED_VALUE"""),"Cast AL Bulgaria (pc.)")</f>
        <v>Cast AL Bulgaria (pc.)</v>
      </c>
      <c r="G268" s="27">
        <f>IFERROR(__xludf.DUMMYFUNCTION("""COMPUTED_VALUE"""),0.211)</f>
        <v>0.211</v>
      </c>
      <c r="H268" s="23">
        <f>IFERROR(__xludf.DUMMYFUNCTION("""COMPUTED_VALUE"""),0.98326)</f>
        <v>0.98326</v>
      </c>
      <c r="I268" s="2" t="str">
        <f>IFERROR(__xludf.DUMMYFUNCTION("""COMPUTED_VALUE"""),"AL USA (pc.)")</f>
        <v>AL USA (pc.)</v>
      </c>
      <c r="J268" s="27">
        <f>IFERROR(__xludf.DUMMYFUNCTION("""COMPUTED_VALUE"""),0.07)</f>
        <v>0.07</v>
      </c>
      <c r="K268" s="23">
        <f>IFERROR(__xludf.DUMMYFUNCTION("""COMPUTED_VALUE"""),0.11900000000000001)</f>
        <v>0.119</v>
      </c>
      <c r="L268" s="2" t="str">
        <f>IFERROR(__xludf.DUMMYFUNCTION("""COMPUTED_VALUE"""),"")</f>
        <v/>
      </c>
      <c r="M268" s="27" t="str">
        <f>IFERROR(__xludf.DUMMYFUNCTION("""COMPUTED_VALUE"""),"")</f>
        <v/>
      </c>
      <c r="N268" s="23" t="str">
        <f>IFERROR(__xludf.DUMMYFUNCTION("""COMPUTED_VALUE"""),"")</f>
        <v/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2" t="str">
        <f>IFERROR(__xludf.DUMMYFUNCTION("""COMPUTED_VALUE"""),"575-91025")</f>
        <v>575-91025</v>
      </c>
      <c r="B269" s="22" t="str">
        <f>IFERROR(__xludf.DUMMYFUNCTION("""COMPUTED_VALUE"""),"H25-FS(18) .45 TR/ 1000 Hz")</f>
        <v>H25-FS(18) .45 TR/ 1000 Hz</v>
      </c>
      <c r="C269" s="23">
        <f>IFERROR(__xludf.DUMMYFUNCTION("""COMPUTED_VALUE"""),1.03702)</f>
        <v>1.03702</v>
      </c>
      <c r="D269" s="23">
        <f>IFERROR(__xludf.DUMMYFUNCTION("""COMPUTED_VALUE"""),1.03702)</f>
        <v>1.03702</v>
      </c>
      <c r="E269" s="25" t="str">
        <f>IFERROR(__xludf.DUMMYFUNCTION("""COMPUTED_VALUE"""),"")</f>
        <v/>
      </c>
      <c r="F269" s="2" t="str">
        <f>IFERROR(__xludf.DUMMYFUNCTION("""COMPUTED_VALUE"""),"Cast AL Bulgaria (pc.)")</f>
        <v>Cast AL Bulgaria (pc.)</v>
      </c>
      <c r="G269" s="27">
        <f>IFERROR(__xludf.DUMMYFUNCTION("""COMPUTED_VALUE"""),0.197)</f>
        <v>0.197</v>
      </c>
      <c r="H269" s="23">
        <f>IFERROR(__xludf.DUMMYFUNCTION("""COMPUTED_VALUE"""),0.9180200000000001)</f>
        <v>0.91802</v>
      </c>
      <c r="I269" s="2" t="str">
        <f>IFERROR(__xludf.DUMMYFUNCTION("""COMPUTED_VALUE"""),"AL USA (pc.)")</f>
        <v>AL USA (pc.)</v>
      </c>
      <c r="J269" s="27">
        <f>IFERROR(__xludf.DUMMYFUNCTION("""COMPUTED_VALUE"""),0.07)</f>
        <v>0.07</v>
      </c>
      <c r="K269" s="23">
        <f>IFERROR(__xludf.DUMMYFUNCTION("""COMPUTED_VALUE"""),0.11900000000000001)</f>
        <v>0.119</v>
      </c>
      <c r="L269" s="2" t="str">
        <f>IFERROR(__xludf.DUMMYFUNCTION("""COMPUTED_VALUE"""),"")</f>
        <v/>
      </c>
      <c r="M269" s="27" t="str">
        <f>IFERROR(__xludf.DUMMYFUNCTION("""COMPUTED_VALUE"""),"")</f>
        <v/>
      </c>
      <c r="N269" s="23" t="str">
        <f>IFERROR(__xludf.DUMMYFUNCTION("""COMPUTED_VALUE"""),"")</f>
        <v/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2" t="str">
        <f>IFERROR(__xludf.DUMMYFUNCTION("""COMPUTED_VALUE"""),"575-91026")</f>
        <v>575-91026</v>
      </c>
      <c r="B270" s="22" t="str">
        <f>IFERROR(__xludf.DUMMYFUNCTION("""COMPUTED_VALUE"""),"H25-FS(14) Ctrl. Xformer .50 TR/ 2500 Hz")</f>
        <v>H25-FS(14) Ctrl. Xformer .50 TR/ 2500 Hz</v>
      </c>
      <c r="C270" s="23">
        <f>IFERROR(__xludf.DUMMYFUNCTION("""COMPUTED_VALUE"""),1.10226)</f>
        <v>1.10226</v>
      </c>
      <c r="D270" s="23">
        <f>IFERROR(__xludf.DUMMYFUNCTION("""COMPUTED_VALUE"""),1.10226)</f>
        <v>1.10226</v>
      </c>
      <c r="E270" s="25" t="str">
        <f>IFERROR(__xludf.DUMMYFUNCTION("""COMPUTED_VALUE"""),"")</f>
        <v/>
      </c>
      <c r="F270" s="2" t="str">
        <f>IFERROR(__xludf.DUMMYFUNCTION("""COMPUTED_VALUE"""),"Cast AL Bulgaria (pc.)")</f>
        <v>Cast AL Bulgaria (pc.)</v>
      </c>
      <c r="G270" s="27">
        <f>IFERROR(__xludf.DUMMYFUNCTION("""COMPUTED_VALUE"""),0.211)</f>
        <v>0.211</v>
      </c>
      <c r="H270" s="23">
        <f>IFERROR(__xludf.DUMMYFUNCTION("""COMPUTED_VALUE"""),0.98326)</f>
        <v>0.98326</v>
      </c>
      <c r="I270" s="2" t="str">
        <f>IFERROR(__xludf.DUMMYFUNCTION("""COMPUTED_VALUE"""),"AL USA (pc.)")</f>
        <v>AL USA (pc.)</v>
      </c>
      <c r="J270" s="27">
        <f>IFERROR(__xludf.DUMMYFUNCTION("""COMPUTED_VALUE"""),0.07)</f>
        <v>0.07</v>
      </c>
      <c r="K270" s="23">
        <f>IFERROR(__xludf.DUMMYFUNCTION("""COMPUTED_VALUE"""),0.11900000000000001)</f>
        <v>0.119</v>
      </c>
      <c r="L270" s="2" t="str">
        <f>IFERROR(__xludf.DUMMYFUNCTION("""COMPUTED_VALUE"""),"")</f>
        <v/>
      </c>
      <c r="M270" s="27" t="str">
        <f>IFERROR(__xludf.DUMMYFUNCTION("""COMPUTED_VALUE"""),"")</f>
        <v/>
      </c>
      <c r="N270" s="23" t="str">
        <f>IFERROR(__xludf.DUMMYFUNCTION("""COMPUTED_VALUE"""),"")</f>
        <v/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2" t="str">
        <f>IFERROR(__xludf.DUMMYFUNCTION("""COMPUTED_VALUE"""),"575-91027")</f>
        <v>575-91027</v>
      </c>
      <c r="B271" s="22" t="str">
        <f>IFERROR(__xludf.DUMMYFUNCTION("""COMPUTED_VALUE"""),"H25-FS(18) Ctrl. Xformer .50 TR/ 2500 Hz size18 conn")</f>
        <v>H25-FS(18) Ctrl. Xformer .50 TR/ 2500 Hz size18 conn</v>
      </c>
      <c r="C271" s="23">
        <f>IFERROR(__xludf.DUMMYFUNCTION("""COMPUTED_VALUE"""),1.03702)</f>
        <v>1.03702</v>
      </c>
      <c r="D271" s="23">
        <f>IFERROR(__xludf.DUMMYFUNCTION("""COMPUTED_VALUE"""),1.03702)</f>
        <v>1.03702</v>
      </c>
      <c r="E271" s="25" t="str">
        <f>IFERROR(__xludf.DUMMYFUNCTION("""COMPUTED_VALUE"""),"")</f>
        <v/>
      </c>
      <c r="F271" s="2" t="str">
        <f>IFERROR(__xludf.DUMMYFUNCTION("""COMPUTED_VALUE"""),"Cast AL Bulgaria (pc.)")</f>
        <v>Cast AL Bulgaria (pc.)</v>
      </c>
      <c r="G271" s="27">
        <f>IFERROR(__xludf.DUMMYFUNCTION("""COMPUTED_VALUE"""),0.197)</f>
        <v>0.197</v>
      </c>
      <c r="H271" s="23">
        <f>IFERROR(__xludf.DUMMYFUNCTION("""COMPUTED_VALUE"""),0.9180200000000001)</f>
        <v>0.91802</v>
      </c>
      <c r="I271" s="2" t="str">
        <f>IFERROR(__xludf.DUMMYFUNCTION("""COMPUTED_VALUE"""),"AL USA (pc.)")</f>
        <v>AL USA (pc.)</v>
      </c>
      <c r="J271" s="27">
        <f>IFERROR(__xludf.DUMMYFUNCTION("""COMPUTED_VALUE"""),0.07)</f>
        <v>0.07</v>
      </c>
      <c r="K271" s="23">
        <f>IFERROR(__xludf.DUMMYFUNCTION("""COMPUTED_VALUE"""),0.11900000000000001)</f>
        <v>0.119</v>
      </c>
      <c r="L271" s="2" t="str">
        <f>IFERROR(__xludf.DUMMYFUNCTION("""COMPUTED_VALUE"""),"")</f>
        <v/>
      </c>
      <c r="M271" s="27" t="str">
        <f>IFERROR(__xludf.DUMMYFUNCTION("""COMPUTED_VALUE"""),"")</f>
        <v/>
      </c>
      <c r="N271" s="23" t="str">
        <f>IFERROR(__xludf.DUMMYFUNCTION("""COMPUTED_VALUE"""),"")</f>
        <v/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2" t="str">
        <f>IFERROR(__xludf.DUMMYFUNCTION("""COMPUTED_VALUE"""),"575-91028")</f>
        <v>575-91028</v>
      </c>
      <c r="B272" s="22" t="str">
        <f>IFERROR(__xludf.DUMMYFUNCTION("""COMPUTED_VALUE"""),"DC25-FE .45 TR/ 1000 Hz")</f>
        <v>DC25-FE .45 TR/ 1000 Hz</v>
      </c>
      <c r="C272" s="23">
        <f>IFERROR(__xludf.DUMMYFUNCTION("""COMPUTED_VALUE"""),3.3849200000000006)</f>
        <v>3.38492</v>
      </c>
      <c r="D272" s="23">
        <f>IFERROR(__xludf.DUMMYFUNCTION("""COMPUTED_VALUE"""),3.3849200000000006)</f>
        <v>3.38492</v>
      </c>
      <c r="E272" s="25" t="str">
        <f>IFERROR(__xludf.DUMMYFUNCTION("""COMPUTED_VALUE"""),"")</f>
        <v/>
      </c>
      <c r="F272" s="2" t="str">
        <f>IFERROR(__xludf.DUMMYFUNCTION("""COMPUTED_VALUE"""),"Ф65 AL 2017 Italy")</f>
        <v>Ф65 AL 2017 Italy</v>
      </c>
      <c r="G272" s="27">
        <f>IFERROR(__xludf.DUMMYFUNCTION("""COMPUTED_VALUE"""),0.252)</f>
        <v>0.252</v>
      </c>
      <c r="H272" s="23">
        <f>IFERROR(__xludf.DUMMYFUNCTION("""COMPUTED_VALUE"""),3.2659200000000004)</f>
        <v>3.26592</v>
      </c>
      <c r="I272" s="2" t="str">
        <f>IFERROR(__xludf.DUMMYFUNCTION("""COMPUTED_VALUE"""),"AL USA (pc.)")</f>
        <v>AL USA (pc.)</v>
      </c>
      <c r="J272" s="27">
        <f>IFERROR(__xludf.DUMMYFUNCTION("""COMPUTED_VALUE"""),0.07)</f>
        <v>0.07</v>
      </c>
      <c r="K272" s="23">
        <f>IFERROR(__xludf.DUMMYFUNCTION("""COMPUTED_VALUE"""),0.11900000000000001)</f>
        <v>0.119</v>
      </c>
      <c r="L272" s="2" t="str">
        <f>IFERROR(__xludf.DUMMYFUNCTION("""COMPUTED_VALUE"""),"")</f>
        <v/>
      </c>
      <c r="M272" s="27" t="str">
        <f>IFERROR(__xludf.DUMMYFUNCTION("""COMPUTED_VALUE"""),"")</f>
        <v/>
      </c>
      <c r="N272" s="23" t="str">
        <f>IFERROR(__xludf.DUMMYFUNCTION("""COMPUTED_VALUE"""),"")</f>
        <v/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2" t="str">
        <f>IFERROR(__xludf.DUMMYFUNCTION("""COMPUTED_VALUE"""),"575-91030")</f>
        <v>575-91030</v>
      </c>
      <c r="B273" s="22" t="str">
        <f>IFERROR(__xludf.DUMMYFUNCTION("""COMPUTED_VALUE"""),"H25-FS(18) &lt;= 9 min. with old version shaft seal")</f>
        <v>H25-FS(18) &lt;= 9 min. with old version shaft seal</v>
      </c>
      <c r="C273" s="23">
        <f>IFERROR(__xludf.DUMMYFUNCTION("""COMPUTED_VALUE"""),1.6049000000000002)</f>
        <v>1.6049</v>
      </c>
      <c r="D273" s="23">
        <f>IFERROR(__xludf.DUMMYFUNCTION("""COMPUTED_VALUE"""),1.6049000000000002)</f>
        <v>1.6049</v>
      </c>
      <c r="E273" s="25" t="str">
        <f>IFERROR(__xludf.DUMMYFUNCTION("""COMPUTED_VALUE"""),"")</f>
        <v/>
      </c>
      <c r="F273" s="2" t="str">
        <f>IFERROR(__xludf.DUMMYFUNCTION("""COMPUTED_VALUE"""),"Cast AL Bulgaria (pc.)")</f>
        <v>Cast AL Bulgaria (pc.)</v>
      </c>
      <c r="G273" s="27">
        <f>IFERROR(__xludf.DUMMYFUNCTION("""COMPUTED_VALUE"""),0.197)</f>
        <v>0.197</v>
      </c>
      <c r="H273" s="23">
        <f>IFERROR(__xludf.DUMMYFUNCTION("""COMPUTED_VALUE"""),0.9180200000000001)</f>
        <v>0.91802</v>
      </c>
      <c r="I273" s="2" t="str">
        <f>IFERROR(__xludf.DUMMYFUNCTION("""COMPUTED_VALUE"""),"Ф65 AL 2017 Italy")</f>
        <v>Ф65 AL 2017 Italy</v>
      </c>
      <c r="J273" s="27">
        <f>IFERROR(__xludf.DUMMYFUNCTION("""COMPUTED_VALUE"""),0.053)</f>
        <v>0.053</v>
      </c>
      <c r="K273" s="23">
        <f>IFERROR(__xludf.DUMMYFUNCTION("""COMPUTED_VALUE"""),0.68688)</f>
        <v>0.68688</v>
      </c>
      <c r="L273" s="2" t="str">
        <f>IFERROR(__xludf.DUMMYFUNCTION("""COMPUTED_VALUE"""),"")</f>
        <v/>
      </c>
      <c r="M273" s="27" t="str">
        <f>IFERROR(__xludf.DUMMYFUNCTION("""COMPUTED_VALUE"""),"")</f>
        <v/>
      </c>
      <c r="N273" s="23" t="str">
        <f>IFERROR(__xludf.DUMMYFUNCTION("""COMPUTED_VALUE"""),"")</f>
        <v/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2" t="str">
        <f>IFERROR(__xludf.DUMMYFUNCTION("""COMPUTED_VALUE"""),"575-91031")</f>
        <v>575-91031</v>
      </c>
      <c r="B274" s="22" t="str">
        <f>IFERROR(__xludf.DUMMYFUNCTION("""COMPUTED_VALUE"""),"DC25-FE 1.40 TR/2250 Hz")</f>
        <v>DC25-FE 1.40 TR/2250 Hz</v>
      </c>
      <c r="C274" s="23">
        <f>IFERROR(__xludf.DUMMYFUNCTION("""COMPUTED_VALUE"""),3.3849200000000006)</f>
        <v>3.38492</v>
      </c>
      <c r="D274" s="23">
        <f>IFERROR(__xludf.DUMMYFUNCTION("""COMPUTED_VALUE"""),3.3849200000000006)</f>
        <v>3.38492</v>
      </c>
      <c r="E274" s="25" t="str">
        <f>IFERROR(__xludf.DUMMYFUNCTION("""COMPUTED_VALUE"""),"")</f>
        <v/>
      </c>
      <c r="F274" s="2" t="str">
        <f>IFERROR(__xludf.DUMMYFUNCTION("""COMPUTED_VALUE"""),"Ф65 AL 2017 Italy")</f>
        <v>Ф65 AL 2017 Italy</v>
      </c>
      <c r="G274" s="27">
        <f>IFERROR(__xludf.DUMMYFUNCTION("""COMPUTED_VALUE"""),0.252)</f>
        <v>0.252</v>
      </c>
      <c r="H274" s="23">
        <f>IFERROR(__xludf.DUMMYFUNCTION("""COMPUTED_VALUE"""),3.2659200000000004)</f>
        <v>3.26592</v>
      </c>
      <c r="I274" s="2" t="str">
        <f>IFERROR(__xludf.DUMMYFUNCTION("""COMPUTED_VALUE"""),"AL USA (pc.)")</f>
        <v>AL USA (pc.)</v>
      </c>
      <c r="J274" s="27">
        <f>IFERROR(__xludf.DUMMYFUNCTION("""COMPUTED_VALUE"""),0.07)</f>
        <v>0.07</v>
      </c>
      <c r="K274" s="23">
        <f>IFERROR(__xludf.DUMMYFUNCTION("""COMPUTED_VALUE"""),0.11900000000000001)</f>
        <v>0.119</v>
      </c>
      <c r="L274" s="2" t="str">
        <f>IFERROR(__xludf.DUMMYFUNCTION("""COMPUTED_VALUE"""),"")</f>
        <v/>
      </c>
      <c r="M274" s="27" t="str">
        <f>IFERROR(__xludf.DUMMYFUNCTION("""COMPUTED_VALUE"""),"")</f>
        <v/>
      </c>
      <c r="N274" s="23" t="str">
        <f>IFERROR(__xludf.DUMMYFUNCTION("""COMPUTED_VALUE"""),"")</f>
        <v/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2" t="str">
        <f>IFERROR(__xludf.DUMMYFUNCTION("""COMPUTED_VALUE"""),"575-91032")</f>
        <v>575-91032</v>
      </c>
      <c r="B275" s="22" t="str">
        <f>IFERROR(__xludf.DUMMYFUNCTION("""COMPUTED_VALUE"""),"H25-FS Transmitter TR=1.0 / 1000Hz, Side conn.")</f>
        <v>H25-FS Transmitter TR=1.0 / 1000Hz, Side conn.</v>
      </c>
      <c r="C275" s="23">
        <f>IFERROR(__xludf.DUMMYFUNCTION("""COMPUTED_VALUE"""),1.11158)</f>
        <v>1.11158</v>
      </c>
      <c r="D275" s="23">
        <f>IFERROR(__xludf.DUMMYFUNCTION("""COMPUTED_VALUE"""),1.11158)</f>
        <v>1.11158</v>
      </c>
      <c r="E275" s="25" t="str">
        <f>IFERROR(__xludf.DUMMYFUNCTION("""COMPUTED_VALUE"""),"")</f>
        <v/>
      </c>
      <c r="F275" s="2" t="str">
        <f>IFERROR(__xludf.DUMMYFUNCTION("""COMPUTED_VALUE"""),"Cast AL Bulgaria (pc.)")</f>
        <v>Cast AL Bulgaria (pc.)</v>
      </c>
      <c r="G275" s="27">
        <f>IFERROR(__xludf.DUMMYFUNCTION("""COMPUTED_VALUE"""),0.213)</f>
        <v>0.213</v>
      </c>
      <c r="H275" s="23">
        <f>IFERROR(__xludf.DUMMYFUNCTION("""COMPUTED_VALUE"""),0.99258)</f>
        <v>0.99258</v>
      </c>
      <c r="I275" s="2" t="str">
        <f>IFERROR(__xludf.DUMMYFUNCTION("""COMPUTED_VALUE"""),"AL USA (pc.)")</f>
        <v>AL USA (pc.)</v>
      </c>
      <c r="J275" s="27">
        <f>IFERROR(__xludf.DUMMYFUNCTION("""COMPUTED_VALUE"""),0.07)</f>
        <v>0.07</v>
      </c>
      <c r="K275" s="23">
        <f>IFERROR(__xludf.DUMMYFUNCTION("""COMPUTED_VALUE"""),0.11900000000000001)</f>
        <v>0.119</v>
      </c>
      <c r="L275" s="2" t="str">
        <f>IFERROR(__xludf.DUMMYFUNCTION("""COMPUTED_VALUE"""),"")</f>
        <v/>
      </c>
      <c r="M275" s="27" t="str">
        <f>IFERROR(__xludf.DUMMYFUNCTION("""COMPUTED_VALUE"""),"")</f>
        <v/>
      </c>
      <c r="N275" s="23" t="str">
        <f>IFERROR(__xludf.DUMMYFUNCTION("""COMPUTED_VALUE"""),"")</f>
        <v/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2" t="str">
        <f>IFERROR(__xludf.DUMMYFUNCTION("""COMPUTED_VALUE"""),"575-91033")</f>
        <v>575-91033</v>
      </c>
      <c r="B276" s="22" t="str">
        <f>IFERROR(__xludf.DUMMYFUNCTION("""COMPUTED_VALUE"""),"H25-FS Transmitter TR=0.45;1000Hz, Side conn.")</f>
        <v>H25-FS Transmitter TR=0.45;1000Hz, Side conn.</v>
      </c>
      <c r="C276" s="23">
        <f>IFERROR(__xludf.DUMMYFUNCTION("""COMPUTED_VALUE"""),1.11158)</f>
        <v>1.11158</v>
      </c>
      <c r="D276" s="23">
        <f>IFERROR(__xludf.DUMMYFUNCTION("""COMPUTED_VALUE"""),1.11158)</f>
        <v>1.11158</v>
      </c>
      <c r="E276" s="25" t="str">
        <f>IFERROR(__xludf.DUMMYFUNCTION("""COMPUTED_VALUE"""),"")</f>
        <v/>
      </c>
      <c r="F276" s="2" t="str">
        <f>IFERROR(__xludf.DUMMYFUNCTION("""COMPUTED_VALUE"""),"Cast AL Bulgaria (pc.)")</f>
        <v>Cast AL Bulgaria (pc.)</v>
      </c>
      <c r="G276" s="27">
        <f>IFERROR(__xludf.DUMMYFUNCTION("""COMPUTED_VALUE"""),0.213)</f>
        <v>0.213</v>
      </c>
      <c r="H276" s="23">
        <f>IFERROR(__xludf.DUMMYFUNCTION("""COMPUTED_VALUE"""),0.99258)</f>
        <v>0.99258</v>
      </c>
      <c r="I276" s="2" t="str">
        <f>IFERROR(__xludf.DUMMYFUNCTION("""COMPUTED_VALUE"""),"AL USA (pc.)")</f>
        <v>AL USA (pc.)</v>
      </c>
      <c r="J276" s="27">
        <f>IFERROR(__xludf.DUMMYFUNCTION("""COMPUTED_VALUE"""),0.07)</f>
        <v>0.07</v>
      </c>
      <c r="K276" s="23">
        <f>IFERROR(__xludf.DUMMYFUNCTION("""COMPUTED_VALUE"""),0.11900000000000001)</f>
        <v>0.119</v>
      </c>
      <c r="L276" s="2" t="str">
        <f>IFERROR(__xludf.DUMMYFUNCTION("""COMPUTED_VALUE"""),"")</f>
        <v/>
      </c>
      <c r="M276" s="27" t="str">
        <f>IFERROR(__xludf.DUMMYFUNCTION("""COMPUTED_VALUE"""),"")</f>
        <v/>
      </c>
      <c r="N276" s="23" t="str">
        <f>IFERROR(__xludf.DUMMYFUNCTION("""COMPUTED_VALUE"""),"")</f>
        <v/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2" t="str">
        <f>IFERROR(__xludf.DUMMYFUNCTION("""COMPUTED_VALUE"""),"575-91034")</f>
        <v>575-91034</v>
      </c>
      <c r="B277" s="22" t="str">
        <f>IFERROR(__xludf.DUMMYFUNCTION("""COMPUTED_VALUE"""),"H25-F1E(16) Transmitter TR=0.95; f=5KHz; end conn.")</f>
        <v>H25-F1E(16) Transmitter TR=0.95; f=5KHz; end conn.</v>
      </c>
      <c r="C277" s="23">
        <f>IFERROR(__xludf.DUMMYFUNCTION("""COMPUTED_VALUE"""),5.15808)</f>
        <v>5.15808</v>
      </c>
      <c r="D277" s="23">
        <f>IFERROR(__xludf.DUMMYFUNCTION("""COMPUTED_VALUE"""),5.15808)</f>
        <v>5.15808</v>
      </c>
      <c r="E277" s="25" t="str">
        <f>IFERROR(__xludf.DUMMYFUNCTION("""COMPUTED_VALUE"""),"")</f>
        <v/>
      </c>
      <c r="F277" s="2" t="str">
        <f>IFERROR(__xludf.DUMMYFUNCTION("""COMPUTED_VALUE"""),"Ф65 AL 2017 Italy")</f>
        <v>Ф65 AL 2017 Italy</v>
      </c>
      <c r="G277" s="27">
        <f>IFERROR(__xludf.DUMMYFUNCTION("""COMPUTED_VALUE"""),0.311)</f>
        <v>0.311</v>
      </c>
      <c r="H277" s="23">
        <f>IFERROR(__xludf.DUMMYFUNCTION("""COMPUTED_VALUE"""),4.03056)</f>
        <v>4.03056</v>
      </c>
      <c r="I277" s="2" t="str">
        <f>IFERROR(__xludf.DUMMYFUNCTION("""COMPUTED_VALUE"""),"Ф65 AL 2017 Italy")</f>
        <v>Ф65 AL 2017 Italy</v>
      </c>
      <c r="J277" s="27">
        <f>IFERROR(__xludf.DUMMYFUNCTION("""COMPUTED_VALUE"""),0.087)</f>
        <v>0.087</v>
      </c>
      <c r="K277" s="23">
        <f>IFERROR(__xludf.DUMMYFUNCTION("""COMPUTED_VALUE"""),1.12752)</f>
        <v>1.12752</v>
      </c>
      <c r="L277" s="2" t="str">
        <f>IFERROR(__xludf.DUMMYFUNCTION("""COMPUTED_VALUE"""),"")</f>
        <v/>
      </c>
      <c r="M277" s="27" t="str">
        <f>IFERROR(__xludf.DUMMYFUNCTION("""COMPUTED_VALUE"""),"")</f>
        <v/>
      </c>
      <c r="N277" s="23" t="str">
        <f>IFERROR(__xludf.DUMMYFUNCTION("""COMPUTED_VALUE"""),"")</f>
        <v/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2" t="str">
        <f>IFERROR(__xludf.DUMMYFUNCTION("""COMPUTED_VALUE"""),"575-91035")</f>
        <v>575-91035</v>
      </c>
      <c r="B278" s="22" t="str">
        <f>IFERROR(__xludf.DUMMYFUNCTION("""COMPUTED_VALUE"""),"H25-F1S(16) Transmitter TR=0.95; F=5KHz; side conn.")</f>
        <v>H25-F1S(16) Transmitter TR=0.95; F=5KHz; side conn.</v>
      </c>
      <c r="C278" s="23">
        <f>IFERROR(__xludf.DUMMYFUNCTION("""COMPUTED_VALUE"""),2.1201)</f>
        <v>2.1201</v>
      </c>
      <c r="D278" s="23">
        <f>IFERROR(__xludf.DUMMYFUNCTION("""COMPUTED_VALUE"""),2.1201)</f>
        <v>2.1201</v>
      </c>
      <c r="E278" s="25" t="str">
        <f>IFERROR(__xludf.DUMMYFUNCTION("""COMPUTED_VALUE"""),"")</f>
        <v/>
      </c>
      <c r="F278" s="2" t="str">
        <f>IFERROR(__xludf.DUMMYFUNCTION("""COMPUTED_VALUE"""),"Cast AL Bulgaria (pc.)")</f>
        <v>Cast AL Bulgaria (pc.)</v>
      </c>
      <c r="G278" s="27">
        <f>IFERROR(__xludf.DUMMYFUNCTION("""COMPUTED_VALUE"""),0.213)</f>
        <v>0.213</v>
      </c>
      <c r="H278" s="23">
        <f>IFERROR(__xludf.DUMMYFUNCTION("""COMPUTED_VALUE"""),0.99258)</f>
        <v>0.99258</v>
      </c>
      <c r="I278" s="2" t="str">
        <f>IFERROR(__xludf.DUMMYFUNCTION("""COMPUTED_VALUE"""),"Ф65 AL 2017 Italy")</f>
        <v>Ф65 AL 2017 Italy</v>
      </c>
      <c r="J278" s="27">
        <f>IFERROR(__xludf.DUMMYFUNCTION("""COMPUTED_VALUE"""),0.087)</f>
        <v>0.087</v>
      </c>
      <c r="K278" s="23">
        <f>IFERROR(__xludf.DUMMYFUNCTION("""COMPUTED_VALUE"""),1.12752)</f>
        <v>1.12752</v>
      </c>
      <c r="L278" s="2" t="str">
        <f>IFERROR(__xludf.DUMMYFUNCTION("""COMPUTED_VALUE"""),"")</f>
        <v/>
      </c>
      <c r="M278" s="27" t="str">
        <f>IFERROR(__xludf.DUMMYFUNCTION("""COMPUTED_VALUE"""),"")</f>
        <v/>
      </c>
      <c r="N278" s="23" t="str">
        <f>IFERROR(__xludf.DUMMYFUNCTION("""COMPUTED_VALUE"""),"")</f>
        <v/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2" t="str">
        <f>IFERROR(__xludf.DUMMYFUNCTION("""COMPUTED_VALUE"""),"575-91036")</f>
        <v>575-91036</v>
      </c>
      <c r="B279" s="22" t="str">
        <f>IFERROR(__xludf.DUMMYFUNCTION("""COMPUTED_VALUE"""),"H25-M1E(16) Transmitter TR=0.95; f=5KHz; end conn.")</f>
        <v>H25-M1E(16) Transmitter TR=0.95; f=5KHz; end conn.</v>
      </c>
      <c r="C279" s="23">
        <f>IFERROR(__xludf.DUMMYFUNCTION("""COMPUTED_VALUE"""),2.02938)</f>
        <v>2.02938</v>
      </c>
      <c r="D279" s="23">
        <f>IFERROR(__xludf.DUMMYFUNCTION("""COMPUTED_VALUE"""),2.02938)</f>
        <v>2.02938</v>
      </c>
      <c r="E279" s="25" t="str">
        <f>IFERROR(__xludf.DUMMYFUNCTION("""COMPUTED_VALUE"""),"")</f>
        <v/>
      </c>
      <c r="F279" s="2" t="str">
        <f>IFERROR(__xludf.DUMMYFUNCTION("""COMPUTED_VALUE"""),"Cast AL Bulgaria (pc.)")</f>
        <v>Cast AL Bulgaria (pc.)</v>
      </c>
      <c r="G279" s="27">
        <f>IFERROR(__xludf.DUMMYFUNCTION("""COMPUTED_VALUE"""),0.213)</f>
        <v>0.213</v>
      </c>
      <c r="H279" s="23">
        <f>IFERROR(__xludf.DUMMYFUNCTION("""COMPUTED_VALUE"""),0.99258)</f>
        <v>0.99258</v>
      </c>
      <c r="I279" s="2" t="str">
        <f>IFERROR(__xludf.DUMMYFUNCTION("""COMPUTED_VALUE"""),"Ф65 AL 2017 Italy")</f>
        <v>Ф65 AL 2017 Italy</v>
      </c>
      <c r="J279" s="27">
        <f>IFERROR(__xludf.DUMMYFUNCTION("""COMPUTED_VALUE"""),0.08)</f>
        <v>0.08</v>
      </c>
      <c r="K279" s="23">
        <f>IFERROR(__xludf.DUMMYFUNCTION("""COMPUTED_VALUE"""),1.0368000000000002)</f>
        <v>1.0368</v>
      </c>
      <c r="L279" s="2" t="str">
        <f>IFERROR(__xludf.DUMMYFUNCTION("""COMPUTED_VALUE"""),"")</f>
        <v/>
      </c>
      <c r="M279" s="27" t="str">
        <f>IFERROR(__xludf.DUMMYFUNCTION("""COMPUTED_VALUE"""),"")</f>
        <v/>
      </c>
      <c r="N279" s="23" t="str">
        <f>IFERROR(__xludf.DUMMYFUNCTION("""COMPUTED_VALUE"""),"")</f>
        <v/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2" t="str">
        <f>IFERROR(__xludf.DUMMYFUNCTION("""COMPUTED_VALUE"""),"575-91037")</f>
        <v>575-91037</v>
      </c>
      <c r="B280" s="22" t="str">
        <f>IFERROR(__xludf.DUMMYFUNCTION("""COMPUTED_VALUE"""),"Resolver for H25-M1S(16) TR=0.95; f=5KHz; side conn.")</f>
        <v>Resolver for H25-M1S(16) TR=0.95; f=5KHz; side conn.</v>
      </c>
      <c r="C280" s="23">
        <f>IFERROR(__xludf.DUMMYFUNCTION("""COMPUTED_VALUE"""),2.02938)</f>
        <v>2.02938</v>
      </c>
      <c r="D280" s="23">
        <f>IFERROR(__xludf.DUMMYFUNCTION("""COMPUTED_VALUE"""),2.02938)</f>
        <v>2.02938</v>
      </c>
      <c r="E280" s="25" t="str">
        <f>IFERROR(__xludf.DUMMYFUNCTION("""COMPUTED_VALUE"""),"")</f>
        <v/>
      </c>
      <c r="F280" s="2" t="str">
        <f>IFERROR(__xludf.DUMMYFUNCTION("""COMPUTED_VALUE"""),"Cast AL Bulgaria (pc.)")</f>
        <v>Cast AL Bulgaria (pc.)</v>
      </c>
      <c r="G280" s="27">
        <f>IFERROR(__xludf.DUMMYFUNCTION("""COMPUTED_VALUE"""),0.213)</f>
        <v>0.213</v>
      </c>
      <c r="H280" s="23">
        <f>IFERROR(__xludf.DUMMYFUNCTION("""COMPUTED_VALUE"""),0.99258)</f>
        <v>0.99258</v>
      </c>
      <c r="I280" s="2" t="str">
        <f>IFERROR(__xludf.DUMMYFUNCTION("""COMPUTED_VALUE"""),"Ф65 AL 2017 Italy")</f>
        <v>Ф65 AL 2017 Italy</v>
      </c>
      <c r="J280" s="27">
        <f>IFERROR(__xludf.DUMMYFUNCTION("""COMPUTED_VALUE"""),0.08)</f>
        <v>0.08</v>
      </c>
      <c r="K280" s="23">
        <f>IFERROR(__xludf.DUMMYFUNCTION("""COMPUTED_VALUE"""),1.0368000000000002)</f>
        <v>1.0368</v>
      </c>
      <c r="L280" s="2" t="str">
        <f>IFERROR(__xludf.DUMMYFUNCTION("""COMPUTED_VALUE"""),"")</f>
        <v/>
      </c>
      <c r="M280" s="27" t="str">
        <f>IFERROR(__xludf.DUMMYFUNCTION("""COMPUTED_VALUE"""),"")</f>
        <v/>
      </c>
      <c r="N280" s="23" t="str">
        <f>IFERROR(__xludf.DUMMYFUNCTION("""COMPUTED_VALUE"""),"")</f>
        <v/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2" t="str">
        <f>IFERROR(__xludf.DUMMYFUNCTION("""COMPUTED_VALUE"""),"575-91040")</f>
        <v>575-91040</v>
      </c>
      <c r="B281" s="22" t="str">
        <f>IFERROR(__xludf.DUMMYFUNCTION("""COMPUTED_VALUE"""),"H25 resolver flange mount, .95 TR @ 5000Hz side18 conn")</f>
        <v>H25 resolver flange mount, .95 TR @ 5000Hz side18 conn</v>
      </c>
      <c r="C281" s="23">
        <f>IFERROR(__xludf.DUMMYFUNCTION("""COMPUTED_VALUE"""),4.14956)</f>
        <v>4.14956</v>
      </c>
      <c r="D281" s="23">
        <f>IFERROR(__xludf.DUMMYFUNCTION("""COMPUTED_VALUE"""),4.14956)</f>
        <v>4.14956</v>
      </c>
      <c r="E281" s="25" t="str">
        <f>IFERROR(__xludf.DUMMYFUNCTION("""COMPUTED_VALUE"""),"")</f>
        <v/>
      </c>
      <c r="F281" s="2" t="str">
        <f>IFERROR(__xludf.DUMMYFUNCTION("""COMPUTED_VALUE"""),"Ф65 AL 2017 Italy")</f>
        <v>Ф65 AL 2017 Italy</v>
      </c>
      <c r="G281" s="27">
        <f>IFERROR(__xludf.DUMMYFUNCTION("""COMPUTED_VALUE"""),0.311)</f>
        <v>0.311</v>
      </c>
      <c r="H281" s="23">
        <f>IFERROR(__xludf.DUMMYFUNCTION("""COMPUTED_VALUE"""),4.03056)</f>
        <v>4.03056</v>
      </c>
      <c r="I281" s="2" t="str">
        <f>IFERROR(__xludf.DUMMYFUNCTION("""COMPUTED_VALUE"""),"AL USA (pc.)")</f>
        <v>AL USA (pc.)</v>
      </c>
      <c r="J281" s="27">
        <f>IFERROR(__xludf.DUMMYFUNCTION("""COMPUTED_VALUE"""),0.07)</f>
        <v>0.07</v>
      </c>
      <c r="K281" s="23">
        <f>IFERROR(__xludf.DUMMYFUNCTION("""COMPUTED_VALUE"""),0.11900000000000001)</f>
        <v>0.119</v>
      </c>
      <c r="L281" s="2" t="str">
        <f>IFERROR(__xludf.DUMMYFUNCTION("""COMPUTED_VALUE"""),"")</f>
        <v/>
      </c>
      <c r="M281" s="27" t="str">
        <f>IFERROR(__xludf.DUMMYFUNCTION("""COMPUTED_VALUE"""),"")</f>
        <v/>
      </c>
      <c r="N281" s="23" t="str">
        <f>IFERROR(__xludf.DUMMYFUNCTION("""COMPUTED_VALUE"""),"")</f>
        <v/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2" t="str">
        <f>IFERROR(__xludf.DUMMYFUNCTION("""COMPUTED_VALUE"""),"575-91047")</f>
        <v>575-91047</v>
      </c>
      <c r="B282" s="22" t="str">
        <f>IFERROR(__xludf.DUMMYFUNCTION("""COMPUTED_VALUE"""),"H25-SS(14) Ctrl Xformer TR=0.50 2500 Hz Size14 conn")</f>
        <v>H25-SS(14) Ctrl Xformer TR=0.50 2500 Hz Size14 conn</v>
      </c>
      <c r="C282" s="23">
        <f>IFERROR(__xludf.DUMMYFUNCTION("""COMPUTED_VALUE"""),1.67014)</f>
        <v>1.67014</v>
      </c>
      <c r="D282" s="23">
        <f>IFERROR(__xludf.DUMMYFUNCTION("""COMPUTED_VALUE"""),1.67014)</f>
        <v>1.67014</v>
      </c>
      <c r="E282" s="25" t="str">
        <f>IFERROR(__xludf.DUMMYFUNCTION("""COMPUTED_VALUE"""),"")</f>
        <v/>
      </c>
      <c r="F282" s="2" t="str">
        <f>IFERROR(__xludf.DUMMYFUNCTION("""COMPUTED_VALUE"""),"Cast AL Bulgaria (pc.)")</f>
        <v>Cast AL Bulgaria (pc.)</v>
      </c>
      <c r="G282" s="27">
        <f>IFERROR(__xludf.DUMMYFUNCTION("""COMPUTED_VALUE"""),0.211)</f>
        <v>0.211</v>
      </c>
      <c r="H282" s="23">
        <f>IFERROR(__xludf.DUMMYFUNCTION("""COMPUTED_VALUE"""),0.98326)</f>
        <v>0.98326</v>
      </c>
      <c r="I282" s="2" t="str">
        <f>IFERROR(__xludf.DUMMYFUNCTION("""COMPUTED_VALUE"""),"Ф65 AL 2017 Italy")</f>
        <v>Ф65 AL 2017 Italy</v>
      </c>
      <c r="J282" s="27">
        <f>IFERROR(__xludf.DUMMYFUNCTION("""COMPUTED_VALUE"""),0.053)</f>
        <v>0.053</v>
      </c>
      <c r="K282" s="23">
        <f>IFERROR(__xludf.DUMMYFUNCTION("""COMPUTED_VALUE"""),0.68688)</f>
        <v>0.68688</v>
      </c>
      <c r="L282" s="2" t="str">
        <f>IFERROR(__xludf.DUMMYFUNCTION("""COMPUTED_VALUE"""),"")</f>
        <v/>
      </c>
      <c r="M282" s="27" t="str">
        <f>IFERROR(__xludf.DUMMYFUNCTION("""COMPUTED_VALUE"""),"")</f>
        <v/>
      </c>
      <c r="N282" s="23" t="str">
        <f>IFERROR(__xludf.DUMMYFUNCTION("""COMPUTED_VALUE"""),"")</f>
        <v/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2" t="str">
        <f>IFERROR(__xludf.DUMMYFUNCTION("""COMPUTED_VALUE"""),"575-91053")</f>
        <v>575-91053</v>
      </c>
      <c r="B283" s="22" t="str">
        <f>IFERROR(__xludf.DUMMYFUNCTION("""COMPUTED_VALUE"""),"H25 resolver servo mount, 0.95TR @ 5000HZ, side18 conn")</f>
        <v>H25 resolver servo mount, 0.95TR @ 5000HZ, side18 conn</v>
      </c>
      <c r="C283" s="23">
        <f>IFERROR(__xludf.DUMMYFUNCTION("""COMPUTED_VALUE"""),1.6049000000000002)</f>
        <v>1.6049</v>
      </c>
      <c r="D283" s="23">
        <f>IFERROR(__xludf.DUMMYFUNCTION("""COMPUTED_VALUE"""),1.6049000000000002)</f>
        <v>1.6049</v>
      </c>
      <c r="E283" s="25" t="str">
        <f>IFERROR(__xludf.DUMMYFUNCTION("""COMPUTED_VALUE"""),"")</f>
        <v/>
      </c>
      <c r="F283" s="2" t="str">
        <f>IFERROR(__xludf.DUMMYFUNCTION("""COMPUTED_VALUE"""),"Cast AL Bulgaria (pc.)")</f>
        <v>Cast AL Bulgaria (pc.)</v>
      </c>
      <c r="G283" s="27">
        <f>IFERROR(__xludf.DUMMYFUNCTION("""COMPUTED_VALUE"""),0.197)</f>
        <v>0.197</v>
      </c>
      <c r="H283" s="23">
        <f>IFERROR(__xludf.DUMMYFUNCTION("""COMPUTED_VALUE"""),0.9180200000000001)</f>
        <v>0.91802</v>
      </c>
      <c r="I283" s="2" t="str">
        <f>IFERROR(__xludf.DUMMYFUNCTION("""COMPUTED_VALUE"""),"Ф65 AL 2017 Italy")</f>
        <v>Ф65 AL 2017 Italy</v>
      </c>
      <c r="J283" s="27">
        <f>IFERROR(__xludf.DUMMYFUNCTION("""COMPUTED_VALUE"""),0.053)</f>
        <v>0.053</v>
      </c>
      <c r="K283" s="23">
        <f>IFERROR(__xludf.DUMMYFUNCTION("""COMPUTED_VALUE"""),0.68688)</f>
        <v>0.68688</v>
      </c>
      <c r="L283" s="2" t="str">
        <f>IFERROR(__xludf.DUMMYFUNCTION("""COMPUTED_VALUE"""),"")</f>
        <v/>
      </c>
      <c r="M283" s="27" t="str">
        <f>IFERROR(__xludf.DUMMYFUNCTION("""COMPUTED_VALUE"""),"")</f>
        <v/>
      </c>
      <c r="N283" s="23" t="str">
        <f>IFERROR(__xludf.DUMMYFUNCTION("""COMPUTED_VALUE"""),"")</f>
        <v/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2" t="str">
        <f>IFERROR(__xludf.DUMMYFUNCTION("""COMPUTED_VALUE"""),"575-91054-R6")</f>
        <v>575-91054-R6</v>
      </c>
      <c r="B284" s="22" t="str">
        <f>IFERROR(__xludf.DUMMYFUNCTION("""COMPUTED_VALUE"""),"H25-FS(16) WITH AUX. NOSE TR=0.5; 5 KHz; 4.0Vms")</f>
        <v>H25-FS(16) WITH AUX. NOSE TR=0.5; 5 KHz; 4.0Vms</v>
      </c>
      <c r="C284" s="23">
        <f>IFERROR(__xludf.DUMMYFUNCTION("""COMPUTED_VALUE"""),2.1201)</f>
        <v>2.1201</v>
      </c>
      <c r="D284" s="23">
        <f>IFERROR(__xludf.DUMMYFUNCTION("""COMPUTED_VALUE"""),2.1201)</f>
        <v>2.1201</v>
      </c>
      <c r="E284" s="25" t="str">
        <f>IFERROR(__xludf.DUMMYFUNCTION("""COMPUTED_VALUE"""),"")</f>
        <v/>
      </c>
      <c r="F284" s="2" t="str">
        <f>IFERROR(__xludf.DUMMYFUNCTION("""COMPUTED_VALUE"""),"Cast AL Bulgaria (pc.)")</f>
        <v>Cast AL Bulgaria (pc.)</v>
      </c>
      <c r="G284" s="27">
        <f>IFERROR(__xludf.DUMMYFUNCTION("""COMPUTED_VALUE"""),0.213)</f>
        <v>0.213</v>
      </c>
      <c r="H284" s="23">
        <f>IFERROR(__xludf.DUMMYFUNCTION("""COMPUTED_VALUE"""),0.99258)</f>
        <v>0.99258</v>
      </c>
      <c r="I284" s="2" t="str">
        <f>IFERROR(__xludf.DUMMYFUNCTION("""COMPUTED_VALUE"""),"Ф65 AL 2017 Italy")</f>
        <v>Ф65 AL 2017 Italy</v>
      </c>
      <c r="J284" s="27">
        <f>IFERROR(__xludf.DUMMYFUNCTION("""COMPUTED_VALUE"""),0.087)</f>
        <v>0.087</v>
      </c>
      <c r="K284" s="23">
        <f>IFERROR(__xludf.DUMMYFUNCTION("""COMPUTED_VALUE"""),1.12752)</f>
        <v>1.12752</v>
      </c>
      <c r="L284" s="2" t="str">
        <f>IFERROR(__xludf.DUMMYFUNCTION("""COMPUTED_VALUE"""),"")</f>
        <v/>
      </c>
      <c r="M284" s="27" t="str">
        <f>IFERROR(__xludf.DUMMYFUNCTION("""COMPUTED_VALUE"""),"")</f>
        <v/>
      </c>
      <c r="N284" s="23" t="str">
        <f>IFERROR(__xludf.DUMMYFUNCTION("""COMPUTED_VALUE"""),"")</f>
        <v/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2" t="str">
        <f>IFERROR(__xludf.DUMMYFUNCTION("""COMPUTED_VALUE"""),"575-92000-2")</f>
        <v>575-92000-2</v>
      </c>
      <c r="B285" s="22" t="str">
        <f>IFERROR(__xludf.DUMMYFUNCTION("""COMPUTED_VALUE"""),"DC25FS, Multiturn Body 10mm shaft, flange")</f>
        <v>DC25FS, Multiturn Body 10mm shaft, flange</v>
      </c>
      <c r="C285" s="23">
        <f>IFERROR(__xludf.DUMMYFUNCTION("""COMPUTED_VALUE"""),3.2294000000000005)</f>
        <v>3.2294</v>
      </c>
      <c r="D285" s="23">
        <f>IFERROR(__xludf.DUMMYFUNCTION("""COMPUTED_VALUE"""),3.2294000000000005)</f>
        <v>3.2294</v>
      </c>
      <c r="E285" s="25" t="str">
        <f>IFERROR(__xludf.DUMMYFUNCTION("""COMPUTED_VALUE"""),"")</f>
        <v/>
      </c>
      <c r="F285" s="2" t="str">
        <f>IFERROR(__xludf.DUMMYFUNCTION("""COMPUTED_VALUE"""),"Ф65 AL 2017 Italy")</f>
        <v>Ф65 AL 2017 Italy</v>
      </c>
      <c r="G285" s="27">
        <f>IFERROR(__xludf.DUMMYFUNCTION("""COMPUTED_VALUE"""),0.24)</f>
        <v>0.24</v>
      </c>
      <c r="H285" s="23">
        <f>IFERROR(__xludf.DUMMYFUNCTION("""COMPUTED_VALUE"""),3.1104000000000003)</f>
        <v>3.1104</v>
      </c>
      <c r="I285" s="2" t="str">
        <f>IFERROR(__xludf.DUMMYFUNCTION("""COMPUTED_VALUE"""),"AL USA (pc.)")</f>
        <v>AL USA (pc.)</v>
      </c>
      <c r="J285" s="27">
        <f>IFERROR(__xludf.DUMMYFUNCTION("""COMPUTED_VALUE"""),0.07)</f>
        <v>0.07</v>
      </c>
      <c r="K285" s="23">
        <f>IFERROR(__xludf.DUMMYFUNCTION("""COMPUTED_VALUE"""),0.11900000000000001)</f>
        <v>0.119</v>
      </c>
      <c r="L285" s="2" t="str">
        <f>IFERROR(__xludf.DUMMYFUNCTION("""COMPUTED_VALUE"""),"")</f>
        <v/>
      </c>
      <c r="M285" s="27" t="str">
        <f>IFERROR(__xludf.DUMMYFUNCTION("""COMPUTED_VALUE"""),"")</f>
        <v/>
      </c>
      <c r="N285" s="23" t="str">
        <f>IFERROR(__xludf.DUMMYFUNCTION("""COMPUTED_VALUE"""),"")</f>
        <v/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2" t="str">
        <f>IFERROR(__xludf.DUMMYFUNCTION("""COMPUTED_VALUE"""),"575-92000-3")</f>
        <v>575-92000-3</v>
      </c>
      <c r="B286" s="22" t="str">
        <f>IFERROR(__xludf.DUMMYFUNCTION("""COMPUTED_VALUE"""),"DC25FS, Multiturn Body 1/4"" shaft, flange")</f>
        <v>DC25FS, Multiturn Body 1/4" shaft, flange</v>
      </c>
      <c r="C286" s="23">
        <f>IFERROR(__xludf.DUMMYFUNCTION("""COMPUTED_VALUE"""),3.2294000000000005)</f>
        <v>3.2294</v>
      </c>
      <c r="D286" s="23">
        <f>IFERROR(__xludf.DUMMYFUNCTION("""COMPUTED_VALUE"""),3.2294000000000005)</f>
        <v>3.2294</v>
      </c>
      <c r="E286" s="25" t="str">
        <f>IFERROR(__xludf.DUMMYFUNCTION("""COMPUTED_VALUE"""),"")</f>
        <v/>
      </c>
      <c r="F286" s="2" t="str">
        <f>IFERROR(__xludf.DUMMYFUNCTION("""COMPUTED_VALUE"""),"Ф65 AL 2017 Italy")</f>
        <v>Ф65 AL 2017 Italy</v>
      </c>
      <c r="G286" s="27">
        <f>IFERROR(__xludf.DUMMYFUNCTION("""COMPUTED_VALUE"""),0.24)</f>
        <v>0.24</v>
      </c>
      <c r="H286" s="23">
        <f>IFERROR(__xludf.DUMMYFUNCTION("""COMPUTED_VALUE"""),3.1104000000000003)</f>
        <v>3.1104</v>
      </c>
      <c r="I286" s="2" t="str">
        <f>IFERROR(__xludf.DUMMYFUNCTION("""COMPUTED_VALUE"""),"AL USA (pc.)")</f>
        <v>AL USA (pc.)</v>
      </c>
      <c r="J286" s="27">
        <f>IFERROR(__xludf.DUMMYFUNCTION("""COMPUTED_VALUE"""),0.07)</f>
        <v>0.07</v>
      </c>
      <c r="K286" s="23">
        <f>IFERROR(__xludf.DUMMYFUNCTION("""COMPUTED_VALUE"""),0.11900000000000001)</f>
        <v>0.119</v>
      </c>
      <c r="L286" s="2" t="str">
        <f>IFERROR(__xludf.DUMMYFUNCTION("""COMPUTED_VALUE"""),"")</f>
        <v/>
      </c>
      <c r="M286" s="27" t="str">
        <f>IFERROR(__xludf.DUMMYFUNCTION("""COMPUTED_VALUE"""),"")</f>
        <v/>
      </c>
      <c r="N286" s="23" t="str">
        <f>IFERROR(__xludf.DUMMYFUNCTION("""COMPUTED_VALUE"""),"")</f>
        <v/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2" t="str">
        <f>IFERROR(__xludf.DUMMYFUNCTION("""COMPUTED_VALUE"""),"575-92000-5")</f>
        <v>575-92000-5</v>
      </c>
      <c r="B287" s="22" t="str">
        <f>IFERROR(__xludf.DUMMYFUNCTION("""COMPUTED_VALUE"""),"DC25FS, Multiturn Body 5/8"" shaft, flange")</f>
        <v>DC25FS, Multiturn Body 5/8" shaft, flange</v>
      </c>
      <c r="C287" s="23">
        <f>IFERROR(__xludf.DUMMYFUNCTION("""COMPUTED_VALUE"""),3.4419000000000004)</f>
        <v>3.4419</v>
      </c>
      <c r="D287" s="23">
        <f>IFERROR(__xludf.DUMMYFUNCTION("""COMPUTED_VALUE"""),3.4419000000000004)</f>
        <v>3.4419</v>
      </c>
      <c r="E287" s="25" t="str">
        <f>IFERROR(__xludf.DUMMYFUNCTION("""COMPUTED_VALUE"""),"")</f>
        <v/>
      </c>
      <c r="F287" s="2" t="str">
        <f>IFERROR(__xludf.DUMMYFUNCTION("""COMPUTED_VALUE"""),"Ф65 AL 2017 Italy")</f>
        <v>Ф65 AL 2017 Italy</v>
      </c>
      <c r="G287" s="27">
        <f>IFERROR(__xludf.DUMMYFUNCTION("""COMPUTED_VALUE"""),0.24)</f>
        <v>0.24</v>
      </c>
      <c r="H287" s="23">
        <f>IFERROR(__xludf.DUMMYFUNCTION("""COMPUTED_VALUE"""),3.1104000000000003)</f>
        <v>3.1104</v>
      </c>
      <c r="I287" s="2" t="str">
        <f>IFERROR(__xludf.DUMMYFUNCTION("""COMPUTED_VALUE"""),"AL USA")</f>
        <v>AL USA</v>
      </c>
      <c r="J287" s="27">
        <f>IFERROR(__xludf.DUMMYFUNCTION("""COMPUTED_VALUE"""),0.195)</f>
        <v>0.195</v>
      </c>
      <c r="K287" s="23">
        <f>IFERROR(__xludf.DUMMYFUNCTION("""COMPUTED_VALUE"""),0.3315)</f>
        <v>0.3315</v>
      </c>
      <c r="L287" s="2" t="str">
        <f>IFERROR(__xludf.DUMMYFUNCTION("""COMPUTED_VALUE"""),"")</f>
        <v/>
      </c>
      <c r="M287" s="27" t="str">
        <f>IFERROR(__xludf.DUMMYFUNCTION("""COMPUTED_VALUE"""),"")</f>
        <v/>
      </c>
      <c r="N287" s="23" t="str">
        <f>IFERROR(__xludf.DUMMYFUNCTION("""COMPUTED_VALUE"""),"")</f>
        <v/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2" t="str">
        <f>IFERROR(__xludf.DUMMYFUNCTION("""COMPUTED_VALUE"""),"575-92001")</f>
        <v>575-92001</v>
      </c>
      <c r="B288" s="22" t="str">
        <f>IFERROR(__xludf.DUMMYFUNCTION("""COMPUTED_VALUE"""),"DC25SE, Multiturn Body 3/8"" shaft, servo")</f>
        <v>DC25SE, Multiturn Body 3/8" shaft, servo</v>
      </c>
      <c r="C288" s="23">
        <f>IFERROR(__xludf.DUMMYFUNCTION("""COMPUTED_VALUE"""),3.79728)</f>
        <v>3.79728</v>
      </c>
      <c r="D288" s="23">
        <f>IFERROR(__xludf.DUMMYFUNCTION("""COMPUTED_VALUE"""),3.79728)</f>
        <v>3.79728</v>
      </c>
      <c r="E288" s="25" t="str">
        <f>IFERROR(__xludf.DUMMYFUNCTION("""COMPUTED_VALUE"""),"")</f>
        <v/>
      </c>
      <c r="F288" s="2" t="str">
        <f>IFERROR(__xludf.DUMMYFUNCTION("""COMPUTED_VALUE"""),"Ф65 AL 2017 Italy")</f>
        <v>Ф65 AL 2017 Italy</v>
      </c>
      <c r="G288" s="27">
        <f>IFERROR(__xludf.DUMMYFUNCTION("""COMPUTED_VALUE"""),0.24)</f>
        <v>0.24</v>
      </c>
      <c r="H288" s="23">
        <f>IFERROR(__xludf.DUMMYFUNCTION("""COMPUTED_VALUE"""),3.1104000000000003)</f>
        <v>3.1104</v>
      </c>
      <c r="I288" s="2" t="str">
        <f>IFERROR(__xludf.DUMMYFUNCTION("""COMPUTED_VALUE"""),"Ф65 AL 2017 Italy")</f>
        <v>Ф65 AL 2017 Italy</v>
      </c>
      <c r="J288" s="27">
        <f>IFERROR(__xludf.DUMMYFUNCTION("""COMPUTED_VALUE"""),0.053)</f>
        <v>0.053</v>
      </c>
      <c r="K288" s="23">
        <f>IFERROR(__xludf.DUMMYFUNCTION("""COMPUTED_VALUE"""),0.68688)</f>
        <v>0.68688</v>
      </c>
      <c r="L288" s="2" t="str">
        <f>IFERROR(__xludf.DUMMYFUNCTION("""COMPUTED_VALUE"""),"")</f>
        <v/>
      </c>
      <c r="M288" s="27" t="str">
        <f>IFERROR(__xludf.DUMMYFUNCTION("""COMPUTED_VALUE"""),"")</f>
        <v/>
      </c>
      <c r="N288" s="23" t="str">
        <f>IFERROR(__xludf.DUMMYFUNCTION("""COMPUTED_VALUE"""),"")</f>
        <v/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2" t="str">
        <f>IFERROR(__xludf.DUMMYFUNCTION("""COMPUTED_VALUE"""),"575-92002-2")</f>
        <v>575-92002-2</v>
      </c>
      <c r="B289" s="22" t="str">
        <f>IFERROR(__xludf.DUMMYFUNCTION("""COMPUTED_VALUE"""),"DC25FE, Multiturn Body 10mm shaft, flange")</f>
        <v>DC25FE, Multiturn Body 10mm shaft, flange</v>
      </c>
      <c r="C289" s="23">
        <f>IFERROR(__xludf.DUMMYFUNCTION("""COMPUTED_VALUE"""),3.2294000000000005)</f>
        <v>3.2294</v>
      </c>
      <c r="D289" s="23">
        <f>IFERROR(__xludf.DUMMYFUNCTION("""COMPUTED_VALUE"""),3.2294000000000005)</f>
        <v>3.2294</v>
      </c>
      <c r="E289" s="25" t="str">
        <f>IFERROR(__xludf.DUMMYFUNCTION("""COMPUTED_VALUE"""),"")</f>
        <v/>
      </c>
      <c r="F289" s="2" t="str">
        <f>IFERROR(__xludf.DUMMYFUNCTION("""COMPUTED_VALUE"""),"Ф65 AL 2017 Italy")</f>
        <v>Ф65 AL 2017 Italy</v>
      </c>
      <c r="G289" s="27">
        <f>IFERROR(__xludf.DUMMYFUNCTION("""COMPUTED_VALUE"""),0.24)</f>
        <v>0.24</v>
      </c>
      <c r="H289" s="23">
        <f>IFERROR(__xludf.DUMMYFUNCTION("""COMPUTED_VALUE"""),3.1104000000000003)</f>
        <v>3.1104</v>
      </c>
      <c r="I289" s="2" t="str">
        <f>IFERROR(__xludf.DUMMYFUNCTION("""COMPUTED_VALUE"""),"AL USA (pc.)")</f>
        <v>AL USA (pc.)</v>
      </c>
      <c r="J289" s="27">
        <f>IFERROR(__xludf.DUMMYFUNCTION("""COMPUTED_VALUE"""),0.07)</f>
        <v>0.07</v>
      </c>
      <c r="K289" s="23">
        <f>IFERROR(__xludf.DUMMYFUNCTION("""COMPUTED_VALUE"""),0.11900000000000001)</f>
        <v>0.119</v>
      </c>
      <c r="L289" s="2" t="str">
        <f>IFERROR(__xludf.DUMMYFUNCTION("""COMPUTED_VALUE"""),"")</f>
        <v/>
      </c>
      <c r="M289" s="27" t="str">
        <f>IFERROR(__xludf.DUMMYFUNCTION("""COMPUTED_VALUE"""),"")</f>
        <v/>
      </c>
      <c r="N289" s="23" t="str">
        <f>IFERROR(__xludf.DUMMYFUNCTION("""COMPUTED_VALUE"""),"")</f>
        <v/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2" t="str">
        <f>IFERROR(__xludf.DUMMYFUNCTION("""COMPUTED_VALUE"""),"575-92002-3")</f>
        <v>575-92002-3</v>
      </c>
      <c r="B290" s="22" t="str">
        <f>IFERROR(__xludf.DUMMYFUNCTION("""COMPUTED_VALUE"""),"DC25FE, Multiturn Body 1/4"" shaft, end conn.")</f>
        <v>DC25FE, Multiturn Body 1/4" shaft, end conn.</v>
      </c>
      <c r="C290" s="23">
        <f>IFERROR(__xludf.DUMMYFUNCTION("""COMPUTED_VALUE"""),3.2294000000000005)</f>
        <v>3.2294</v>
      </c>
      <c r="D290" s="23">
        <f>IFERROR(__xludf.DUMMYFUNCTION("""COMPUTED_VALUE"""),3.2294000000000005)</f>
        <v>3.2294</v>
      </c>
      <c r="E290" s="25" t="str">
        <f>IFERROR(__xludf.DUMMYFUNCTION("""COMPUTED_VALUE"""),"")</f>
        <v/>
      </c>
      <c r="F290" s="2" t="str">
        <f>IFERROR(__xludf.DUMMYFUNCTION("""COMPUTED_VALUE"""),"Ф65 AL 2017 Italy")</f>
        <v>Ф65 AL 2017 Italy</v>
      </c>
      <c r="G290" s="27">
        <f>IFERROR(__xludf.DUMMYFUNCTION("""COMPUTED_VALUE"""),0.24)</f>
        <v>0.24</v>
      </c>
      <c r="H290" s="23">
        <f>IFERROR(__xludf.DUMMYFUNCTION("""COMPUTED_VALUE"""),3.1104000000000003)</f>
        <v>3.1104</v>
      </c>
      <c r="I290" s="2" t="str">
        <f>IFERROR(__xludf.DUMMYFUNCTION("""COMPUTED_VALUE"""),"AL USA (pc.)")</f>
        <v>AL USA (pc.)</v>
      </c>
      <c r="J290" s="27">
        <f>IFERROR(__xludf.DUMMYFUNCTION("""COMPUTED_VALUE"""),0.07)</f>
        <v>0.07</v>
      </c>
      <c r="K290" s="23">
        <f>IFERROR(__xludf.DUMMYFUNCTION("""COMPUTED_VALUE"""),0.11900000000000001)</f>
        <v>0.119</v>
      </c>
      <c r="L290" s="2" t="str">
        <f>IFERROR(__xludf.DUMMYFUNCTION("""COMPUTED_VALUE"""),"")</f>
        <v/>
      </c>
      <c r="M290" s="27" t="str">
        <f>IFERROR(__xludf.DUMMYFUNCTION("""COMPUTED_VALUE"""),"")</f>
        <v/>
      </c>
      <c r="N290" s="23" t="str">
        <f>IFERROR(__xludf.DUMMYFUNCTION("""COMPUTED_VALUE"""),"")</f>
        <v/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2" t="str">
        <f>IFERROR(__xludf.DUMMYFUNCTION("""COMPUTED_VALUE"""),"575-92003-2")</f>
        <v>575-92003-2</v>
      </c>
      <c r="B291" s="22" t="str">
        <f>IFERROR(__xludf.DUMMYFUNCTION("""COMPUTED_VALUE"""),"DC25FS, Singleturn Body 10mm shaft, flange, SSI Dura")</f>
        <v>DC25FS, Singleturn Body 10mm shaft, flange, SSI Dura</v>
      </c>
      <c r="C291" s="23">
        <f>IFERROR(__xludf.DUMMYFUNCTION("""COMPUTED_VALUE"""),1.20944)</f>
        <v>1.20944</v>
      </c>
      <c r="D291" s="23">
        <f>IFERROR(__xludf.DUMMYFUNCTION("""COMPUTED_VALUE"""),1.20944)</f>
        <v>1.20944</v>
      </c>
      <c r="E291" s="25" t="str">
        <f>IFERROR(__xludf.DUMMYFUNCTION("""COMPUTED_VALUE"""),"")</f>
        <v/>
      </c>
      <c r="F291" s="2" t="str">
        <f>IFERROR(__xludf.DUMMYFUNCTION("""COMPUTED_VALUE"""),"Cast AL Bulgaria (pc.)")</f>
        <v>Cast AL Bulgaria (pc.)</v>
      </c>
      <c r="G291" s="27">
        <f>IFERROR(__xludf.DUMMYFUNCTION("""COMPUTED_VALUE"""),0.234)</f>
        <v>0.234</v>
      </c>
      <c r="H291" s="23">
        <f>IFERROR(__xludf.DUMMYFUNCTION("""COMPUTED_VALUE"""),1.09044)</f>
        <v>1.09044</v>
      </c>
      <c r="I291" s="2" t="str">
        <f>IFERROR(__xludf.DUMMYFUNCTION("""COMPUTED_VALUE"""),"AL USA (pc.)")</f>
        <v>AL USA (pc.)</v>
      </c>
      <c r="J291" s="27">
        <f>IFERROR(__xludf.DUMMYFUNCTION("""COMPUTED_VALUE"""),0.07)</f>
        <v>0.07</v>
      </c>
      <c r="K291" s="23">
        <f>IFERROR(__xludf.DUMMYFUNCTION("""COMPUTED_VALUE"""),0.11900000000000001)</f>
        <v>0.119</v>
      </c>
      <c r="L291" s="2" t="str">
        <f>IFERROR(__xludf.DUMMYFUNCTION("""COMPUTED_VALUE"""),"")</f>
        <v/>
      </c>
      <c r="M291" s="27" t="str">
        <f>IFERROR(__xludf.DUMMYFUNCTION("""COMPUTED_VALUE"""),"")</f>
        <v/>
      </c>
      <c r="N291" s="23" t="str">
        <f>IFERROR(__xludf.DUMMYFUNCTION("""COMPUTED_VALUE"""),"")</f>
        <v/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2" t="str">
        <f>IFERROR(__xludf.DUMMYFUNCTION("""COMPUTED_VALUE"""),"575-92004-1")</f>
        <v>575-92004-1</v>
      </c>
      <c r="B292" s="22" t="str">
        <f>IFERROR(__xludf.DUMMYFUNCTION("""COMPUTED_VALUE"""),"DC25FS, Multiturn Body 5/8"" shaft, flange SSI Dura")</f>
        <v>DC25FS, Multiturn Body 5/8" shaft, flange SSI Dura</v>
      </c>
      <c r="C292" s="23">
        <f>IFERROR(__xludf.DUMMYFUNCTION("""COMPUTED_VALUE"""),1.38)</f>
        <v>1.38</v>
      </c>
      <c r="D292" s="23">
        <f>IFERROR(__xludf.DUMMYFUNCTION("""COMPUTED_VALUE"""),1.38)</f>
        <v>1.38</v>
      </c>
      <c r="E292" s="25" t="str">
        <f>IFERROR(__xludf.DUMMYFUNCTION("""COMPUTED_VALUE"""),"")</f>
        <v/>
      </c>
      <c r="F292" s="2" t="str">
        <f>IFERROR(__xludf.DUMMYFUNCTION("""COMPUTED_VALUE"""),"Cast AL Bulgaria (pc.)")</f>
        <v>Cast AL Bulgaria (pc.)</v>
      </c>
      <c r="G292" s="27">
        <f>IFERROR(__xludf.DUMMYFUNCTION("""COMPUTED_VALUE"""),0.225)</f>
        <v>0.225</v>
      </c>
      <c r="H292" s="23">
        <f>IFERROR(__xludf.DUMMYFUNCTION("""COMPUTED_VALUE"""),1.0485)</f>
        <v>1.0485</v>
      </c>
      <c r="I292" s="2" t="str">
        <f>IFERROR(__xludf.DUMMYFUNCTION("""COMPUTED_VALUE"""),"AL USA")</f>
        <v>AL USA</v>
      </c>
      <c r="J292" s="27">
        <f>IFERROR(__xludf.DUMMYFUNCTION("""COMPUTED_VALUE"""),0.195)</f>
        <v>0.195</v>
      </c>
      <c r="K292" s="23">
        <f>IFERROR(__xludf.DUMMYFUNCTION("""COMPUTED_VALUE"""),0.3315)</f>
        <v>0.3315</v>
      </c>
      <c r="L292" s="2" t="str">
        <f>IFERROR(__xludf.DUMMYFUNCTION("""COMPUTED_VALUE"""),"")</f>
        <v/>
      </c>
      <c r="M292" s="27" t="str">
        <f>IFERROR(__xludf.DUMMYFUNCTION("""COMPUTED_VALUE"""),"")</f>
        <v/>
      </c>
      <c r="N292" s="23" t="str">
        <f>IFERROR(__xludf.DUMMYFUNCTION("""COMPUTED_VALUE"""),"")</f>
        <v/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2" t="str">
        <f>IFERROR(__xludf.DUMMYFUNCTION("""COMPUTED_VALUE"""),"575-92005")</f>
        <v>575-92005</v>
      </c>
      <c r="B293" s="22" t="str">
        <f>IFERROR(__xludf.DUMMYFUNCTION("""COMPUTED_VALUE"""),"DC25FE, Multiturn Body, 3/8"" shaft, MS-18 end conn")</f>
        <v>DC25FE, Multiturn Body, 3/8" shaft, MS-18 end conn</v>
      </c>
      <c r="C293" s="23">
        <f>IFERROR(__xludf.DUMMYFUNCTION("""COMPUTED_VALUE"""),3.2294000000000005)</f>
        <v>3.2294</v>
      </c>
      <c r="D293" s="23">
        <f>IFERROR(__xludf.DUMMYFUNCTION("""COMPUTED_VALUE"""),3.2294000000000005)</f>
        <v>3.2294</v>
      </c>
      <c r="E293" s="25" t="str">
        <f>IFERROR(__xludf.DUMMYFUNCTION("""COMPUTED_VALUE"""),"")</f>
        <v/>
      </c>
      <c r="F293" s="2" t="str">
        <f>IFERROR(__xludf.DUMMYFUNCTION("""COMPUTED_VALUE"""),"Ф65 AL 2017 Italy")</f>
        <v>Ф65 AL 2017 Italy</v>
      </c>
      <c r="G293" s="27">
        <f>IFERROR(__xludf.DUMMYFUNCTION("""COMPUTED_VALUE"""),0.24)</f>
        <v>0.24</v>
      </c>
      <c r="H293" s="23">
        <f>IFERROR(__xludf.DUMMYFUNCTION("""COMPUTED_VALUE"""),3.1104000000000003)</f>
        <v>3.1104</v>
      </c>
      <c r="I293" s="2" t="str">
        <f>IFERROR(__xludf.DUMMYFUNCTION("""COMPUTED_VALUE"""),"AL USA (pc.)")</f>
        <v>AL USA (pc.)</v>
      </c>
      <c r="J293" s="27">
        <f>IFERROR(__xludf.DUMMYFUNCTION("""COMPUTED_VALUE"""),0.07)</f>
        <v>0.07</v>
      </c>
      <c r="K293" s="23">
        <f>IFERROR(__xludf.DUMMYFUNCTION("""COMPUTED_VALUE"""),0.11900000000000001)</f>
        <v>0.119</v>
      </c>
      <c r="L293" s="2" t="str">
        <f>IFERROR(__xludf.DUMMYFUNCTION("""COMPUTED_VALUE"""),"")</f>
        <v/>
      </c>
      <c r="M293" s="27" t="str">
        <f>IFERROR(__xludf.DUMMYFUNCTION("""COMPUTED_VALUE"""),"")</f>
        <v/>
      </c>
      <c r="N293" s="23" t="str">
        <f>IFERROR(__xludf.DUMMYFUNCTION("""COMPUTED_VALUE"""),"")</f>
        <v/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2" t="str">
        <f>IFERROR(__xludf.DUMMYFUNCTION("""COMPUTED_VALUE"""),"575-92006-2")</f>
        <v>575-92006-2</v>
      </c>
      <c r="B294" s="22" t="str">
        <f>IFERROR(__xludf.DUMMYFUNCTION("""COMPUTED_VALUE"""),"DC25FE, &lt;,= 9 Min. 3/4"" shaft, flange, end conn")</f>
        <v>DC25FE, &lt;,= 9 Min. 3/4" shaft, flange, end conn</v>
      </c>
      <c r="C294" s="23">
        <f>IFERROR(__xludf.DUMMYFUNCTION("""COMPUTED_VALUE"""),3.3849200000000006)</f>
        <v>3.38492</v>
      </c>
      <c r="D294" s="23">
        <f>IFERROR(__xludf.DUMMYFUNCTION("""COMPUTED_VALUE"""),3.3849200000000006)</f>
        <v>3.38492</v>
      </c>
      <c r="E294" s="25" t="str">
        <f>IFERROR(__xludf.DUMMYFUNCTION("""COMPUTED_VALUE"""),"")</f>
        <v/>
      </c>
      <c r="F294" s="2" t="str">
        <f>IFERROR(__xludf.DUMMYFUNCTION("""COMPUTED_VALUE"""),"Ф65 AL 2017 Italy")</f>
        <v>Ф65 AL 2017 Italy</v>
      </c>
      <c r="G294" s="27">
        <f>IFERROR(__xludf.DUMMYFUNCTION("""COMPUTED_VALUE"""),0.252)</f>
        <v>0.252</v>
      </c>
      <c r="H294" s="23">
        <f>IFERROR(__xludf.DUMMYFUNCTION("""COMPUTED_VALUE"""),3.2659200000000004)</f>
        <v>3.26592</v>
      </c>
      <c r="I294" s="2" t="str">
        <f>IFERROR(__xludf.DUMMYFUNCTION("""COMPUTED_VALUE"""),"AL USA (pc.)")</f>
        <v>AL USA (pc.)</v>
      </c>
      <c r="J294" s="27">
        <f>IFERROR(__xludf.DUMMYFUNCTION("""COMPUTED_VALUE"""),0.07)</f>
        <v>0.07</v>
      </c>
      <c r="K294" s="23">
        <f>IFERROR(__xludf.DUMMYFUNCTION("""COMPUTED_VALUE"""),0.11900000000000001)</f>
        <v>0.119</v>
      </c>
      <c r="L294" s="2" t="str">
        <f>IFERROR(__xludf.DUMMYFUNCTION("""COMPUTED_VALUE"""),"")</f>
        <v/>
      </c>
      <c r="M294" s="27" t="str">
        <f>IFERROR(__xludf.DUMMYFUNCTION("""COMPUTED_VALUE"""),"")</f>
        <v/>
      </c>
      <c r="N294" s="23" t="str">
        <f>IFERROR(__xludf.DUMMYFUNCTION("""COMPUTED_VALUE"""),"")</f>
        <v/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2" t="str">
        <f>IFERROR(__xludf.DUMMYFUNCTION("""COMPUTED_VALUE"""),"575-92007")</f>
        <v>575-92007</v>
      </c>
      <c r="B295" s="22" t="str">
        <f>IFERROR(__xludf.DUMMYFUNCTION("""COMPUTED_VALUE"""),"DC25FS14, &lt;=9min 5/8"" shaft, flange")</f>
        <v>DC25FS14, &lt;=9min 5/8" shaft, flange</v>
      </c>
      <c r="C295" s="23">
        <f>IFERROR(__xludf.DUMMYFUNCTION("""COMPUTED_VALUE"""),1.39398)</f>
        <v>1.39398</v>
      </c>
      <c r="D295" s="23">
        <f>IFERROR(__xludf.DUMMYFUNCTION("""COMPUTED_VALUE"""),1.39398)</f>
        <v>1.39398</v>
      </c>
      <c r="E295" s="25" t="str">
        <f>IFERROR(__xludf.DUMMYFUNCTION("""COMPUTED_VALUE"""),"")</f>
        <v/>
      </c>
      <c r="F295" s="2" t="str">
        <f>IFERROR(__xludf.DUMMYFUNCTION("""COMPUTED_VALUE"""),"Cast AL Bulgaria (pc.)")</f>
        <v>Cast AL Bulgaria (pc.)</v>
      </c>
      <c r="G295" s="27">
        <f>IFERROR(__xludf.DUMMYFUNCTION("""COMPUTED_VALUE"""),0.228)</f>
        <v>0.228</v>
      </c>
      <c r="H295" s="23">
        <f>IFERROR(__xludf.DUMMYFUNCTION("""COMPUTED_VALUE"""),1.06248)</f>
        <v>1.06248</v>
      </c>
      <c r="I295" s="2" t="str">
        <f>IFERROR(__xludf.DUMMYFUNCTION("""COMPUTED_VALUE"""),"AL USA")</f>
        <v>AL USA</v>
      </c>
      <c r="J295" s="27">
        <f>IFERROR(__xludf.DUMMYFUNCTION("""COMPUTED_VALUE"""),0.195)</f>
        <v>0.195</v>
      </c>
      <c r="K295" s="23">
        <f>IFERROR(__xludf.DUMMYFUNCTION("""COMPUTED_VALUE"""),0.3315)</f>
        <v>0.3315</v>
      </c>
      <c r="L295" s="2" t="str">
        <f>IFERROR(__xludf.DUMMYFUNCTION("""COMPUTED_VALUE"""),"")</f>
        <v/>
      </c>
      <c r="M295" s="27" t="str">
        <f>IFERROR(__xludf.DUMMYFUNCTION("""COMPUTED_VALUE"""),"")</f>
        <v/>
      </c>
      <c r="N295" s="23" t="str">
        <f>IFERROR(__xludf.DUMMYFUNCTION("""COMPUTED_VALUE"""),"")</f>
        <v/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2" t="str">
        <f>IFERROR(__xludf.DUMMYFUNCTION("""COMPUTED_VALUE"""),"575-92014")</f>
        <v>575-92014</v>
      </c>
      <c r="B296" s="22" t="str">
        <f>IFERROR(__xludf.DUMMYFUNCTION("""COMPUTED_VALUE"""),"DC25FE, Multiturn 3/8"" shaft Uses old H2O seal and flange")</f>
        <v>DC25FE, Multiturn 3/8" shaft Uses old H2O seal and flange</v>
      </c>
      <c r="C296" s="23">
        <f>IFERROR(__xludf.DUMMYFUNCTION("""COMPUTED_VALUE"""),3.79728)</f>
        <v>3.79728</v>
      </c>
      <c r="D296" s="23">
        <f>IFERROR(__xludf.DUMMYFUNCTION("""COMPUTED_VALUE"""),3.79728)</f>
        <v>3.79728</v>
      </c>
      <c r="E296" s="25" t="str">
        <f>IFERROR(__xludf.DUMMYFUNCTION("""COMPUTED_VALUE"""),"")</f>
        <v/>
      </c>
      <c r="F296" s="2" t="str">
        <f>IFERROR(__xludf.DUMMYFUNCTION("""COMPUTED_VALUE"""),"Ф65 AL 2017 Italy")</f>
        <v>Ф65 AL 2017 Italy</v>
      </c>
      <c r="G296" s="27">
        <f>IFERROR(__xludf.DUMMYFUNCTION("""COMPUTED_VALUE"""),0.24)</f>
        <v>0.24</v>
      </c>
      <c r="H296" s="23">
        <f>IFERROR(__xludf.DUMMYFUNCTION("""COMPUTED_VALUE"""),3.1104000000000003)</f>
        <v>3.1104</v>
      </c>
      <c r="I296" s="2" t="str">
        <f>IFERROR(__xludf.DUMMYFUNCTION("""COMPUTED_VALUE"""),"Ф65 AL 2017 Italy")</f>
        <v>Ф65 AL 2017 Italy</v>
      </c>
      <c r="J296" s="27">
        <f>IFERROR(__xludf.DUMMYFUNCTION("""COMPUTED_VALUE"""),0.053)</f>
        <v>0.053</v>
      </c>
      <c r="K296" s="23">
        <f>IFERROR(__xludf.DUMMYFUNCTION("""COMPUTED_VALUE"""),0.68688)</f>
        <v>0.68688</v>
      </c>
      <c r="L296" s="2" t="str">
        <f>IFERROR(__xludf.DUMMYFUNCTION("""COMPUTED_VALUE"""),"")</f>
        <v/>
      </c>
      <c r="M296" s="27" t="str">
        <f>IFERROR(__xludf.DUMMYFUNCTION("""COMPUTED_VALUE"""),"")</f>
        <v/>
      </c>
      <c r="N296" s="23" t="str">
        <f>IFERROR(__xludf.DUMMYFUNCTION("""COMPUTED_VALUE"""),"")</f>
        <v/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2" t="str">
        <f>IFERROR(__xludf.DUMMYFUNCTION("""COMPUTED_VALUE"""),"575-92016")</f>
        <v>575-92016</v>
      </c>
      <c r="B297" s="22" t="str">
        <f>IFERROR(__xludf.DUMMYFUNCTION("""COMPUTED_VALUE"""),"DC25FS18, &lt;= 9 Min. 5/8"" shaft 2 speed")</f>
        <v>DC25FS18, &lt;= 9 Min. 5/8" shaft 2 speed</v>
      </c>
      <c r="C297" s="23">
        <f>IFERROR(__xludf.DUMMYFUNCTION("""COMPUTED_VALUE"""),1.3473800000000002)</f>
        <v>1.34738</v>
      </c>
      <c r="D297" s="23">
        <f>IFERROR(__xludf.DUMMYFUNCTION("""COMPUTED_VALUE"""),1.3473800000000002)</f>
        <v>1.34738</v>
      </c>
      <c r="E297" s="25" t="str">
        <f>IFERROR(__xludf.DUMMYFUNCTION("""COMPUTED_VALUE"""),"")</f>
        <v/>
      </c>
      <c r="F297" s="2" t="str">
        <f>IFERROR(__xludf.DUMMYFUNCTION("""COMPUTED_VALUE"""),"Cast AL Bulgaria (pc.)")</f>
        <v>Cast AL Bulgaria (pc.)</v>
      </c>
      <c r="G297" s="27">
        <f>IFERROR(__xludf.DUMMYFUNCTION("""COMPUTED_VALUE"""),0.218)</f>
        <v>0.218</v>
      </c>
      <c r="H297" s="23">
        <f>IFERROR(__xludf.DUMMYFUNCTION("""COMPUTED_VALUE"""),1.0158800000000001)</f>
        <v>1.01588</v>
      </c>
      <c r="I297" s="2" t="str">
        <f>IFERROR(__xludf.DUMMYFUNCTION("""COMPUTED_VALUE"""),"AL USA")</f>
        <v>AL USA</v>
      </c>
      <c r="J297" s="27">
        <f>IFERROR(__xludf.DUMMYFUNCTION("""COMPUTED_VALUE"""),0.195)</f>
        <v>0.195</v>
      </c>
      <c r="K297" s="23">
        <f>IFERROR(__xludf.DUMMYFUNCTION("""COMPUTED_VALUE"""),0.3315)</f>
        <v>0.3315</v>
      </c>
      <c r="L297" s="2" t="str">
        <f>IFERROR(__xludf.DUMMYFUNCTION("""COMPUTED_VALUE"""),"")</f>
        <v/>
      </c>
      <c r="M297" s="27" t="str">
        <f>IFERROR(__xludf.DUMMYFUNCTION("""COMPUTED_VALUE"""),"")</f>
        <v/>
      </c>
      <c r="N297" s="23" t="str">
        <f>IFERROR(__xludf.DUMMYFUNCTION("""COMPUTED_VALUE"""),"")</f>
        <v/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2" t="str">
        <f>IFERROR(__xludf.DUMMYFUNCTION("""COMPUTED_VALUE"""),"575-95006")</f>
        <v>575-95006</v>
      </c>
      <c r="B298" s="22" t="str">
        <f>IFERROR(__xludf.DUMMYFUNCTION("""COMPUTED_VALUE"""),"High Temp. Stator Assembly For 150 degC Resolvers")</f>
        <v>High Temp. Stator Assembly For 150 degC Resolvers</v>
      </c>
      <c r="C298" s="23">
        <f>IFERROR(__xludf.DUMMYFUNCTION("""COMPUTED_VALUE"""),0.0)</f>
        <v>0</v>
      </c>
      <c r="D298" s="2" t="str">
        <f>IFERROR(__xludf.DUMMYFUNCTION("""COMPUTED_VALUE"""),"")</f>
        <v/>
      </c>
      <c r="E298" s="25" t="str">
        <f>IFERROR(__xludf.DUMMYFUNCTION("""COMPUTED_VALUE"""),"")</f>
        <v/>
      </c>
      <c r="F298" s="2" t="str">
        <f>IFERROR(__xludf.DUMMYFUNCTION("""COMPUTED_VALUE"""),"")</f>
        <v/>
      </c>
      <c r="G298" s="27" t="str">
        <f>IFERROR(__xludf.DUMMYFUNCTION("""COMPUTED_VALUE"""),"")</f>
        <v/>
      </c>
      <c r="H298" s="23" t="str">
        <f>IFERROR(__xludf.DUMMYFUNCTION("""COMPUTED_VALUE"""),"")</f>
        <v/>
      </c>
      <c r="I298" s="2" t="str">
        <f>IFERROR(__xludf.DUMMYFUNCTION("""COMPUTED_VALUE"""),"")</f>
        <v/>
      </c>
      <c r="J298" s="27" t="str">
        <f>IFERROR(__xludf.DUMMYFUNCTION("""COMPUTED_VALUE"""),"")</f>
        <v/>
      </c>
      <c r="K298" s="23" t="str">
        <f>IFERROR(__xludf.DUMMYFUNCTION("""COMPUTED_VALUE"""),"")</f>
        <v/>
      </c>
      <c r="L298" s="2" t="str">
        <f>IFERROR(__xludf.DUMMYFUNCTION("""COMPUTED_VALUE"""),"")</f>
        <v/>
      </c>
      <c r="M298" s="27" t="str">
        <f>IFERROR(__xludf.DUMMYFUNCTION("""COMPUTED_VALUE"""),"")</f>
        <v/>
      </c>
      <c r="N298" s="23" t="str">
        <f>IFERROR(__xludf.DUMMYFUNCTION("""COMPUTED_VALUE"""),"")</f>
        <v/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2" t="str">
        <f>IFERROR(__xludf.DUMMYFUNCTION("""COMPUTED_VALUE"""),"575-95007")</f>
        <v>575-95007</v>
      </c>
      <c r="B299" s="22" t="str">
        <f>IFERROR(__xludf.DUMMYFUNCTION("""COMPUTED_VALUE"""),"High temp Transf. Assembly For 150 degC Resolvers")</f>
        <v>High temp Transf. Assembly For 150 degC Resolvers</v>
      </c>
      <c r="C299" s="23">
        <f>IFERROR(__xludf.DUMMYFUNCTION("""COMPUTED_VALUE"""),0.0)</f>
        <v>0</v>
      </c>
      <c r="D299" s="2" t="str">
        <f>IFERROR(__xludf.DUMMYFUNCTION("""COMPUTED_VALUE"""),"")</f>
        <v/>
      </c>
      <c r="E299" s="25" t="str">
        <f>IFERROR(__xludf.DUMMYFUNCTION("""COMPUTED_VALUE"""),"")</f>
        <v/>
      </c>
      <c r="F299" s="2" t="str">
        <f>IFERROR(__xludf.DUMMYFUNCTION("""COMPUTED_VALUE"""),"")</f>
        <v/>
      </c>
      <c r="G299" s="27" t="str">
        <f>IFERROR(__xludf.DUMMYFUNCTION("""COMPUTED_VALUE"""),"")</f>
        <v/>
      </c>
      <c r="H299" s="23" t="str">
        <f>IFERROR(__xludf.DUMMYFUNCTION("""COMPUTED_VALUE"""),"")</f>
        <v/>
      </c>
      <c r="I299" s="2" t="str">
        <f>IFERROR(__xludf.DUMMYFUNCTION("""COMPUTED_VALUE"""),"")</f>
        <v/>
      </c>
      <c r="J299" s="27" t="str">
        <f>IFERROR(__xludf.DUMMYFUNCTION("""COMPUTED_VALUE"""),"")</f>
        <v/>
      </c>
      <c r="K299" s="23" t="str">
        <f>IFERROR(__xludf.DUMMYFUNCTION("""COMPUTED_VALUE"""),"")</f>
        <v/>
      </c>
      <c r="L299" s="2" t="str">
        <f>IFERROR(__xludf.DUMMYFUNCTION("""COMPUTED_VALUE"""),"")</f>
        <v/>
      </c>
      <c r="M299" s="27" t="str">
        <f>IFERROR(__xludf.DUMMYFUNCTION("""COMPUTED_VALUE"""),"")</f>
        <v/>
      </c>
      <c r="N299" s="23" t="str">
        <f>IFERROR(__xludf.DUMMYFUNCTION("""COMPUTED_VALUE"""),"")</f>
        <v/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2" t="str">
        <f>IFERROR(__xludf.DUMMYFUNCTION("""COMPUTED_VALUE"""),"575-95008")</f>
        <v>575-95008</v>
      </c>
      <c r="B300" s="22" t="str">
        <f>IFERROR(__xludf.DUMMYFUNCTION("""COMPUTED_VALUE"""),"Size25 Stator Assembly 4-speed")</f>
        <v>Size25 Stator Assembly 4-speed</v>
      </c>
      <c r="C300" s="23">
        <f>IFERROR(__xludf.DUMMYFUNCTION("""COMPUTED_VALUE"""),0.0)</f>
        <v>0</v>
      </c>
      <c r="D300" s="2" t="str">
        <f>IFERROR(__xludf.DUMMYFUNCTION("""COMPUTED_VALUE"""),"")</f>
        <v/>
      </c>
      <c r="E300" s="25" t="str">
        <f>IFERROR(__xludf.DUMMYFUNCTION("""COMPUTED_VALUE"""),"")</f>
        <v/>
      </c>
      <c r="F300" s="2" t="str">
        <f>IFERROR(__xludf.DUMMYFUNCTION("""COMPUTED_VALUE"""),"")</f>
        <v/>
      </c>
      <c r="G300" s="27" t="str">
        <f>IFERROR(__xludf.DUMMYFUNCTION("""COMPUTED_VALUE"""),"")</f>
        <v/>
      </c>
      <c r="H300" s="23" t="str">
        <f>IFERROR(__xludf.DUMMYFUNCTION("""COMPUTED_VALUE"""),"")</f>
        <v/>
      </c>
      <c r="I300" s="2" t="str">
        <f>IFERROR(__xludf.DUMMYFUNCTION("""COMPUTED_VALUE"""),"")</f>
        <v/>
      </c>
      <c r="J300" s="27" t="str">
        <f>IFERROR(__xludf.DUMMYFUNCTION("""COMPUTED_VALUE"""),"")</f>
        <v/>
      </c>
      <c r="K300" s="23" t="str">
        <f>IFERROR(__xludf.DUMMYFUNCTION("""COMPUTED_VALUE"""),"")</f>
        <v/>
      </c>
      <c r="L300" s="2" t="str">
        <f>IFERROR(__xludf.DUMMYFUNCTION("""COMPUTED_VALUE"""),"")</f>
        <v/>
      </c>
      <c r="M300" s="27" t="str">
        <f>IFERROR(__xludf.DUMMYFUNCTION("""COMPUTED_VALUE"""),"")</f>
        <v/>
      </c>
      <c r="N300" s="23" t="str">
        <f>IFERROR(__xludf.DUMMYFUNCTION("""COMPUTED_VALUE"""),"")</f>
        <v/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2" t="str">
        <f>IFERROR(__xludf.DUMMYFUNCTION("""COMPUTED_VALUE"""),"575-95009")</f>
        <v>575-95009</v>
      </c>
      <c r="B301" s="22" t="str">
        <f>IFERROR(__xludf.DUMMYFUNCTION("""COMPUTED_VALUE"""),"Transformer Assembly 4-speed for HT-20C/H25/HTE25")</f>
        <v>Transformer Assembly 4-speed for HT-20C/H25/HTE25</v>
      </c>
      <c r="C301" s="23">
        <f>IFERROR(__xludf.DUMMYFUNCTION("""COMPUTED_VALUE"""),0.0)</f>
        <v>0</v>
      </c>
      <c r="D301" s="2" t="str">
        <f>IFERROR(__xludf.DUMMYFUNCTION("""COMPUTED_VALUE"""),"")</f>
        <v/>
      </c>
      <c r="E301" s="25" t="str">
        <f>IFERROR(__xludf.DUMMYFUNCTION("""COMPUTED_VALUE"""),"")</f>
        <v/>
      </c>
      <c r="F301" s="2" t="str">
        <f>IFERROR(__xludf.DUMMYFUNCTION("""COMPUTED_VALUE"""),"")</f>
        <v/>
      </c>
      <c r="G301" s="27" t="str">
        <f>IFERROR(__xludf.DUMMYFUNCTION("""COMPUTED_VALUE"""),"")</f>
        <v/>
      </c>
      <c r="H301" s="23" t="str">
        <f>IFERROR(__xludf.DUMMYFUNCTION("""COMPUTED_VALUE"""),"")</f>
        <v/>
      </c>
      <c r="I301" s="2" t="str">
        <f>IFERROR(__xludf.DUMMYFUNCTION("""COMPUTED_VALUE"""),"")</f>
        <v/>
      </c>
      <c r="J301" s="27" t="str">
        <f>IFERROR(__xludf.DUMMYFUNCTION("""COMPUTED_VALUE"""),"")</f>
        <v/>
      </c>
      <c r="K301" s="23" t="str">
        <f>IFERROR(__xludf.DUMMYFUNCTION("""COMPUTED_VALUE"""),"")</f>
        <v/>
      </c>
      <c r="L301" s="2" t="str">
        <f>IFERROR(__xludf.DUMMYFUNCTION("""COMPUTED_VALUE"""),"")</f>
        <v/>
      </c>
      <c r="M301" s="27" t="str">
        <f>IFERROR(__xludf.DUMMYFUNCTION("""COMPUTED_VALUE"""),"")</f>
        <v/>
      </c>
      <c r="N301" s="23" t="str">
        <f>IFERROR(__xludf.DUMMYFUNCTION("""COMPUTED_VALUE"""),"")</f>
        <v/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2" t="str">
        <f>IFERROR(__xludf.DUMMYFUNCTION("""COMPUTED_VALUE"""),"575-95010")</f>
        <v>575-95010</v>
      </c>
      <c r="B302" s="22" t="str">
        <f>IFERROR(__xludf.DUMMYFUNCTION("""COMPUTED_VALUE"""),"Resolver Stator Assembly 1-speed; nuclear hardened")</f>
        <v>Resolver Stator Assembly 1-speed; nuclear hardened</v>
      </c>
      <c r="C302" s="23">
        <f>IFERROR(__xludf.DUMMYFUNCTION("""COMPUTED_VALUE"""),0.0)</f>
        <v>0</v>
      </c>
      <c r="D302" s="2" t="str">
        <f>IFERROR(__xludf.DUMMYFUNCTION("""COMPUTED_VALUE"""),"")</f>
        <v/>
      </c>
      <c r="E302" s="25" t="str">
        <f>IFERROR(__xludf.DUMMYFUNCTION("""COMPUTED_VALUE"""),"")</f>
        <v/>
      </c>
      <c r="F302" s="2" t="str">
        <f>IFERROR(__xludf.DUMMYFUNCTION("""COMPUTED_VALUE"""),"")</f>
        <v/>
      </c>
      <c r="G302" s="27" t="str">
        <f>IFERROR(__xludf.DUMMYFUNCTION("""COMPUTED_VALUE"""),"")</f>
        <v/>
      </c>
      <c r="H302" s="23" t="str">
        <f>IFERROR(__xludf.DUMMYFUNCTION("""COMPUTED_VALUE"""),"")</f>
        <v/>
      </c>
      <c r="I302" s="2" t="str">
        <f>IFERROR(__xludf.DUMMYFUNCTION("""COMPUTED_VALUE"""),"")</f>
        <v/>
      </c>
      <c r="J302" s="27" t="str">
        <f>IFERROR(__xludf.DUMMYFUNCTION("""COMPUTED_VALUE"""),"")</f>
        <v/>
      </c>
      <c r="K302" s="23" t="str">
        <f>IFERROR(__xludf.DUMMYFUNCTION("""COMPUTED_VALUE"""),"")</f>
        <v/>
      </c>
      <c r="L302" s="2" t="str">
        <f>IFERROR(__xludf.DUMMYFUNCTION("""COMPUTED_VALUE"""),"")</f>
        <v/>
      </c>
      <c r="M302" s="27" t="str">
        <f>IFERROR(__xludf.DUMMYFUNCTION("""COMPUTED_VALUE"""),"")</f>
        <v/>
      </c>
      <c r="N302" s="23" t="str">
        <f>IFERROR(__xludf.DUMMYFUNCTION("""COMPUTED_VALUE"""),"")</f>
        <v/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2" t="str">
        <f>IFERROR(__xludf.DUMMYFUNCTION("""COMPUTED_VALUE"""),"575-95011")</f>
        <v>575-95011</v>
      </c>
      <c r="B303" s="22" t="str">
        <f>IFERROR(__xludf.DUMMYFUNCTION("""COMPUTED_VALUE"""),"Transformer Assembly for HT25 with TR=0.5; 1speed")</f>
        <v>Transformer Assembly for HT25 with TR=0.5; 1speed</v>
      </c>
      <c r="C303" s="23">
        <f>IFERROR(__xludf.DUMMYFUNCTION("""COMPUTED_VALUE"""),0.0)</f>
        <v>0</v>
      </c>
      <c r="D303" s="2" t="str">
        <f>IFERROR(__xludf.DUMMYFUNCTION("""COMPUTED_VALUE"""),"")</f>
        <v/>
      </c>
      <c r="E303" s="25" t="str">
        <f>IFERROR(__xludf.DUMMYFUNCTION("""COMPUTED_VALUE"""),"")</f>
        <v/>
      </c>
      <c r="F303" s="2" t="str">
        <f>IFERROR(__xludf.DUMMYFUNCTION("""COMPUTED_VALUE"""),"")</f>
        <v/>
      </c>
      <c r="G303" s="27" t="str">
        <f>IFERROR(__xludf.DUMMYFUNCTION("""COMPUTED_VALUE"""),"")</f>
        <v/>
      </c>
      <c r="H303" s="23" t="str">
        <f>IFERROR(__xludf.DUMMYFUNCTION("""COMPUTED_VALUE"""),"")</f>
        <v/>
      </c>
      <c r="I303" s="2" t="str">
        <f>IFERROR(__xludf.DUMMYFUNCTION("""COMPUTED_VALUE"""),"")</f>
        <v/>
      </c>
      <c r="J303" s="27" t="str">
        <f>IFERROR(__xludf.DUMMYFUNCTION("""COMPUTED_VALUE"""),"")</f>
        <v/>
      </c>
      <c r="K303" s="23" t="str">
        <f>IFERROR(__xludf.DUMMYFUNCTION("""COMPUTED_VALUE"""),"")</f>
        <v/>
      </c>
      <c r="L303" s="2" t="str">
        <f>IFERROR(__xludf.DUMMYFUNCTION("""COMPUTED_VALUE"""),"")</f>
        <v/>
      </c>
      <c r="M303" s="27" t="str">
        <f>IFERROR(__xludf.DUMMYFUNCTION("""COMPUTED_VALUE"""),"")</f>
        <v/>
      </c>
      <c r="N303" s="23" t="str">
        <f>IFERROR(__xludf.DUMMYFUNCTION("""COMPUTED_VALUE"""),"")</f>
        <v/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2" t="str">
        <f>IFERROR(__xludf.DUMMYFUNCTION("""COMPUTED_VALUE"""),"DC25-2FE-2")</f>
        <v>DC25-2FE-2</v>
      </c>
      <c r="B304" s="22" t="str">
        <f>IFERROR(__xludf.DUMMYFUNCTION("""COMPUTED_VALUE"""),"DC25 Housing, 2 Speed, End Conn, 10mm Shaft")</f>
        <v>DC25 Housing, 2 Speed, End Conn, 10mm Shaft</v>
      </c>
      <c r="C304" s="23">
        <f>IFERROR(__xludf.DUMMYFUNCTION("""COMPUTED_VALUE"""),3.3849200000000006)</f>
        <v>3.38492</v>
      </c>
      <c r="D304" s="23">
        <f>IFERROR(__xludf.DUMMYFUNCTION("""COMPUTED_VALUE"""),3.3849200000000006)</f>
        <v>3.38492</v>
      </c>
      <c r="E304" s="25" t="str">
        <f>IFERROR(__xludf.DUMMYFUNCTION("""COMPUTED_VALUE"""),"")</f>
        <v/>
      </c>
      <c r="F304" s="2" t="str">
        <f>IFERROR(__xludf.DUMMYFUNCTION("""COMPUTED_VALUE"""),"Ф65 AL 2017 Italy")</f>
        <v>Ф65 AL 2017 Italy</v>
      </c>
      <c r="G304" s="27">
        <f>IFERROR(__xludf.DUMMYFUNCTION("""COMPUTED_VALUE"""),0.252)</f>
        <v>0.252</v>
      </c>
      <c r="H304" s="23">
        <f>IFERROR(__xludf.DUMMYFUNCTION("""COMPUTED_VALUE"""),3.2659200000000004)</f>
        <v>3.26592</v>
      </c>
      <c r="I304" s="2" t="str">
        <f>IFERROR(__xludf.DUMMYFUNCTION("""COMPUTED_VALUE"""),"AL USA (pc.)")</f>
        <v>AL USA (pc.)</v>
      </c>
      <c r="J304" s="27">
        <f>IFERROR(__xludf.DUMMYFUNCTION("""COMPUTED_VALUE"""),0.07)</f>
        <v>0.07</v>
      </c>
      <c r="K304" s="23">
        <f>IFERROR(__xludf.DUMMYFUNCTION("""COMPUTED_VALUE"""),0.11900000000000001)</f>
        <v>0.119</v>
      </c>
      <c r="L304" s="2" t="str">
        <f>IFERROR(__xludf.DUMMYFUNCTION("""COMPUTED_VALUE"""),"")</f>
        <v/>
      </c>
      <c r="M304" s="27" t="str">
        <f>IFERROR(__xludf.DUMMYFUNCTION("""COMPUTED_VALUE"""),"")</f>
        <v/>
      </c>
      <c r="N304" s="23" t="str">
        <f>IFERROR(__xludf.DUMMYFUNCTION("""COMPUTED_VALUE"""),"")</f>
        <v/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2" t="str">
        <f>IFERROR(__xludf.DUMMYFUNCTION("""COMPUTED_VALUE"""),"DC25-2FS(16)")</f>
        <v>DC25-2FS(16)</v>
      </c>
      <c r="B305" s="22" t="str">
        <f>IFERROR(__xludf.DUMMYFUNCTION("""COMPUTED_VALUE"""),"DC25 Housing 2 Speed Flange Mnt., Side Connector")</f>
        <v>DC25 Housing 2 Speed Flange Mnt., Side Connector</v>
      </c>
      <c r="C305" s="23">
        <f>IFERROR(__xludf.DUMMYFUNCTION("""COMPUTED_VALUE"""),1.15352)</f>
        <v>1.15352</v>
      </c>
      <c r="D305" s="23">
        <f>IFERROR(__xludf.DUMMYFUNCTION("""COMPUTED_VALUE"""),1.15352)</f>
        <v>1.15352</v>
      </c>
      <c r="E305" s="25" t="str">
        <f>IFERROR(__xludf.DUMMYFUNCTION("""COMPUTED_VALUE"""),"")</f>
        <v/>
      </c>
      <c r="F305" s="2" t="str">
        <f>IFERROR(__xludf.DUMMYFUNCTION("""COMPUTED_VALUE"""),"Cast AL Bulgaria (pc.)")</f>
        <v>Cast AL Bulgaria (pc.)</v>
      </c>
      <c r="G305" s="27">
        <f>IFERROR(__xludf.DUMMYFUNCTION("""COMPUTED_VALUE"""),0.222)</f>
        <v>0.222</v>
      </c>
      <c r="H305" s="23">
        <f>IFERROR(__xludf.DUMMYFUNCTION("""COMPUTED_VALUE"""),1.03452)</f>
        <v>1.03452</v>
      </c>
      <c r="I305" s="2" t="str">
        <f>IFERROR(__xludf.DUMMYFUNCTION("""COMPUTED_VALUE"""),"AL USA (pc.)")</f>
        <v>AL USA (pc.)</v>
      </c>
      <c r="J305" s="27">
        <f>IFERROR(__xludf.DUMMYFUNCTION("""COMPUTED_VALUE"""),0.07)</f>
        <v>0.07</v>
      </c>
      <c r="K305" s="23">
        <f>IFERROR(__xludf.DUMMYFUNCTION("""COMPUTED_VALUE"""),0.11900000000000001)</f>
        <v>0.119</v>
      </c>
      <c r="L305" s="2" t="str">
        <f>IFERROR(__xludf.DUMMYFUNCTION("""COMPUTED_VALUE"""),"")</f>
        <v/>
      </c>
      <c r="M305" s="27" t="str">
        <f>IFERROR(__xludf.DUMMYFUNCTION("""COMPUTED_VALUE"""),"")</f>
        <v/>
      </c>
      <c r="N305" s="23" t="str">
        <f>IFERROR(__xludf.DUMMYFUNCTION("""COMPUTED_VALUE"""),"")</f>
        <v/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2" t="str">
        <f>IFERROR(__xludf.DUMMYFUNCTION("""COMPUTED_VALUE"""),"DC25-2FS(18)")</f>
        <v>DC25-2FS(18)</v>
      </c>
      <c r="B306" s="22" t="str">
        <f>IFERROR(__xludf.DUMMYFUNCTION("""COMPUTED_VALUE"""),"DC25 Housing, 2 Speed Flange Mnt. Side Connect")</f>
        <v>DC25 Housing, 2 Speed Flange Mnt. Side Connect</v>
      </c>
      <c r="C306" s="23">
        <f>IFERROR(__xludf.DUMMYFUNCTION("""COMPUTED_VALUE"""),1.13488)</f>
        <v>1.13488</v>
      </c>
      <c r="D306" s="23">
        <f>IFERROR(__xludf.DUMMYFUNCTION("""COMPUTED_VALUE"""),1.13488)</f>
        <v>1.13488</v>
      </c>
      <c r="E306" s="25" t="str">
        <f>IFERROR(__xludf.DUMMYFUNCTION("""COMPUTED_VALUE"""),"")</f>
        <v/>
      </c>
      <c r="F306" s="2" t="str">
        <f>IFERROR(__xludf.DUMMYFUNCTION("""COMPUTED_VALUE"""),"Cast AL Bulgaria (pc.)")</f>
        <v>Cast AL Bulgaria (pc.)</v>
      </c>
      <c r="G306" s="27">
        <f>IFERROR(__xludf.DUMMYFUNCTION("""COMPUTED_VALUE"""),0.218)</f>
        <v>0.218</v>
      </c>
      <c r="H306" s="23">
        <f>IFERROR(__xludf.DUMMYFUNCTION("""COMPUTED_VALUE"""),1.0158800000000001)</f>
        <v>1.01588</v>
      </c>
      <c r="I306" s="2" t="str">
        <f>IFERROR(__xludf.DUMMYFUNCTION("""COMPUTED_VALUE"""),"AL USA (pc.)")</f>
        <v>AL USA (pc.)</v>
      </c>
      <c r="J306" s="27">
        <f>IFERROR(__xludf.DUMMYFUNCTION("""COMPUTED_VALUE"""),0.07)</f>
        <v>0.07</v>
      </c>
      <c r="K306" s="23">
        <f>IFERROR(__xludf.DUMMYFUNCTION("""COMPUTED_VALUE"""),0.11900000000000001)</f>
        <v>0.119</v>
      </c>
      <c r="L306" s="2" t="str">
        <f>IFERROR(__xludf.DUMMYFUNCTION("""COMPUTED_VALUE"""),"")</f>
        <v/>
      </c>
      <c r="M306" s="27" t="str">
        <f>IFERROR(__xludf.DUMMYFUNCTION("""COMPUTED_VALUE"""),"")</f>
        <v/>
      </c>
      <c r="N306" s="23" t="str">
        <f>IFERROR(__xludf.DUMMYFUNCTION("""COMPUTED_VALUE"""),"")</f>
        <v/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2" t="str">
        <f>IFERROR(__xludf.DUMMYFUNCTION("""COMPUTED_VALUE"""),"DC25-2FS(18)-2")</f>
        <v>DC25-2FS(18)-2</v>
      </c>
      <c r="B307" s="22" t="str">
        <f>IFERROR(__xludf.DUMMYFUNCTION("""COMPUTED_VALUE"""),"DC25 Housing, 2 Speed Flange Mnt. Side Connect")</f>
        <v>DC25 Housing, 2 Speed Flange Mnt. Side Connect</v>
      </c>
      <c r="C307" s="23">
        <f>IFERROR(__xludf.DUMMYFUNCTION("""COMPUTED_VALUE"""),1.13488)</f>
        <v>1.13488</v>
      </c>
      <c r="D307" s="23">
        <f>IFERROR(__xludf.DUMMYFUNCTION("""COMPUTED_VALUE"""),1.13488)</f>
        <v>1.13488</v>
      </c>
      <c r="E307" s="25" t="str">
        <f>IFERROR(__xludf.DUMMYFUNCTION("""COMPUTED_VALUE"""),"")</f>
        <v/>
      </c>
      <c r="F307" s="2" t="str">
        <f>IFERROR(__xludf.DUMMYFUNCTION("""COMPUTED_VALUE"""),"Cast AL Bulgaria (pc.)")</f>
        <v>Cast AL Bulgaria (pc.)</v>
      </c>
      <c r="G307" s="27">
        <f>IFERROR(__xludf.DUMMYFUNCTION("""COMPUTED_VALUE"""),0.218)</f>
        <v>0.218</v>
      </c>
      <c r="H307" s="23">
        <f>IFERROR(__xludf.DUMMYFUNCTION("""COMPUTED_VALUE"""),1.0158800000000001)</f>
        <v>1.01588</v>
      </c>
      <c r="I307" s="2" t="str">
        <f>IFERROR(__xludf.DUMMYFUNCTION("""COMPUTED_VALUE"""),"AL USA (pc.)")</f>
        <v>AL USA (pc.)</v>
      </c>
      <c r="J307" s="27">
        <f>IFERROR(__xludf.DUMMYFUNCTION("""COMPUTED_VALUE"""),0.07)</f>
        <v>0.07</v>
      </c>
      <c r="K307" s="23">
        <f>IFERROR(__xludf.DUMMYFUNCTION("""COMPUTED_VALUE"""),0.11900000000000001)</f>
        <v>0.119</v>
      </c>
      <c r="L307" s="2" t="str">
        <f>IFERROR(__xludf.DUMMYFUNCTION("""COMPUTED_VALUE"""),"")</f>
        <v/>
      </c>
      <c r="M307" s="27" t="str">
        <f>IFERROR(__xludf.DUMMYFUNCTION("""COMPUTED_VALUE"""),"")</f>
        <v/>
      </c>
      <c r="N307" s="23" t="str">
        <f>IFERROR(__xludf.DUMMYFUNCTION("""COMPUTED_VALUE"""),"")</f>
        <v/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2" t="str">
        <f>IFERROR(__xludf.DUMMYFUNCTION("""COMPUTED_VALUE"""),"DC25-2FS16-2")</f>
        <v>DC25-2FS16-2</v>
      </c>
      <c r="B308" s="22" t="str">
        <f>IFERROR(__xludf.DUMMYFUNCTION("""COMPUTED_VALUE"""),"DC-25 Housing, 2 Speed Side Conn., 10mm Shaft")</f>
        <v>DC-25 Housing, 2 Speed Side Conn., 10mm Shaft</v>
      </c>
      <c r="C308" s="23">
        <f>IFERROR(__xludf.DUMMYFUNCTION("""COMPUTED_VALUE"""),1.15352)</f>
        <v>1.15352</v>
      </c>
      <c r="D308" s="23">
        <f>IFERROR(__xludf.DUMMYFUNCTION("""COMPUTED_VALUE"""),1.15352)</f>
        <v>1.15352</v>
      </c>
      <c r="E308" s="25" t="str">
        <f>IFERROR(__xludf.DUMMYFUNCTION("""COMPUTED_VALUE"""),"")</f>
        <v/>
      </c>
      <c r="F308" s="2" t="str">
        <f>IFERROR(__xludf.DUMMYFUNCTION("""COMPUTED_VALUE"""),"Cast AL Bulgaria (pc.)")</f>
        <v>Cast AL Bulgaria (pc.)</v>
      </c>
      <c r="G308" s="27">
        <f>IFERROR(__xludf.DUMMYFUNCTION("""COMPUTED_VALUE"""),0.222)</f>
        <v>0.222</v>
      </c>
      <c r="H308" s="23">
        <f>IFERROR(__xludf.DUMMYFUNCTION("""COMPUTED_VALUE"""),1.03452)</f>
        <v>1.03452</v>
      </c>
      <c r="I308" s="2" t="str">
        <f>IFERROR(__xludf.DUMMYFUNCTION("""COMPUTED_VALUE"""),"AL USA (pc.)")</f>
        <v>AL USA (pc.)</v>
      </c>
      <c r="J308" s="27">
        <f>IFERROR(__xludf.DUMMYFUNCTION("""COMPUTED_VALUE"""),0.07)</f>
        <v>0.07</v>
      </c>
      <c r="K308" s="23">
        <f>IFERROR(__xludf.DUMMYFUNCTION("""COMPUTED_VALUE"""),0.11900000000000001)</f>
        <v>0.119</v>
      </c>
      <c r="L308" s="2" t="str">
        <f>IFERROR(__xludf.DUMMYFUNCTION("""COMPUTED_VALUE"""),"")</f>
        <v/>
      </c>
      <c r="M308" s="27" t="str">
        <f>IFERROR(__xludf.DUMMYFUNCTION("""COMPUTED_VALUE"""),"")</f>
        <v/>
      </c>
      <c r="N308" s="23" t="str">
        <f>IFERROR(__xludf.DUMMYFUNCTION("""COMPUTED_VALUE"""),"")</f>
        <v/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2" t="str">
        <f>IFERROR(__xludf.DUMMYFUNCTION("""COMPUTED_VALUE"""),"DC25-4FE")</f>
        <v>DC25-4FE</v>
      </c>
      <c r="B309" s="22" t="str">
        <f>IFERROR(__xludf.DUMMYFUNCTION("""COMPUTED_VALUE"""),"DC25 Housing, 4 Sp., End Con 3/8"" Shaft")</f>
        <v>DC25 Housing, 4 Sp., End Con 3/8" Shaft</v>
      </c>
      <c r="C309" s="23">
        <f>IFERROR(__xludf.DUMMYFUNCTION("""COMPUTED_VALUE"""),3.3849200000000006)</f>
        <v>3.38492</v>
      </c>
      <c r="D309" s="23">
        <f>IFERROR(__xludf.DUMMYFUNCTION("""COMPUTED_VALUE"""),3.3849200000000006)</f>
        <v>3.38492</v>
      </c>
      <c r="E309" s="25" t="str">
        <f>IFERROR(__xludf.DUMMYFUNCTION("""COMPUTED_VALUE"""),"")</f>
        <v/>
      </c>
      <c r="F309" s="2" t="str">
        <f>IFERROR(__xludf.DUMMYFUNCTION("""COMPUTED_VALUE"""),"Ф65 AL 2017 Italy")</f>
        <v>Ф65 AL 2017 Italy</v>
      </c>
      <c r="G309" s="27">
        <f>IFERROR(__xludf.DUMMYFUNCTION("""COMPUTED_VALUE"""),0.252)</f>
        <v>0.252</v>
      </c>
      <c r="H309" s="23">
        <f>IFERROR(__xludf.DUMMYFUNCTION("""COMPUTED_VALUE"""),3.2659200000000004)</f>
        <v>3.26592</v>
      </c>
      <c r="I309" s="2" t="str">
        <f>IFERROR(__xludf.DUMMYFUNCTION("""COMPUTED_VALUE"""),"AL USA (pc.)")</f>
        <v>AL USA (pc.)</v>
      </c>
      <c r="J309" s="27">
        <f>IFERROR(__xludf.DUMMYFUNCTION("""COMPUTED_VALUE"""),0.07)</f>
        <v>0.07</v>
      </c>
      <c r="K309" s="23">
        <f>IFERROR(__xludf.DUMMYFUNCTION("""COMPUTED_VALUE"""),0.11900000000000001)</f>
        <v>0.119</v>
      </c>
      <c r="L309" s="2" t="str">
        <f>IFERROR(__xludf.DUMMYFUNCTION("""COMPUTED_VALUE"""),"")</f>
        <v/>
      </c>
      <c r="M309" s="27" t="str">
        <f>IFERROR(__xludf.DUMMYFUNCTION("""COMPUTED_VALUE"""),"")</f>
        <v/>
      </c>
      <c r="N309" s="23" t="str">
        <f>IFERROR(__xludf.DUMMYFUNCTION("""COMPUTED_VALUE"""),"")</f>
        <v/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2" t="str">
        <f>IFERROR(__xludf.DUMMYFUNCTION("""COMPUTED_VALUE"""),"DC25-4FS(16)-2")</f>
        <v>DC25-4FS(16)-2</v>
      </c>
      <c r="B310" s="22" t="str">
        <f>IFERROR(__xludf.DUMMYFUNCTION("""COMPUTED_VALUE"""),"DC25 Housing,4 Speed,Size 16 Conn, 10mm Shaft")</f>
        <v>DC25 Housing,4 Speed,Size 16 Conn, 10mm Shaft</v>
      </c>
      <c r="C310" s="23">
        <f>IFERROR(__xludf.DUMMYFUNCTION("""COMPUTED_VALUE"""),1.15352)</f>
        <v>1.15352</v>
      </c>
      <c r="D310" s="23">
        <f>IFERROR(__xludf.DUMMYFUNCTION("""COMPUTED_VALUE"""),1.15352)</f>
        <v>1.15352</v>
      </c>
      <c r="E310" s="25" t="str">
        <f>IFERROR(__xludf.DUMMYFUNCTION("""COMPUTED_VALUE"""),"")</f>
        <v/>
      </c>
      <c r="F310" s="2" t="str">
        <f>IFERROR(__xludf.DUMMYFUNCTION("""COMPUTED_VALUE"""),"Cast AL Bulgaria (pc.)")</f>
        <v>Cast AL Bulgaria (pc.)</v>
      </c>
      <c r="G310" s="27">
        <f>IFERROR(__xludf.DUMMYFUNCTION("""COMPUTED_VALUE"""),0.222)</f>
        <v>0.222</v>
      </c>
      <c r="H310" s="23">
        <f>IFERROR(__xludf.DUMMYFUNCTION("""COMPUTED_VALUE"""),1.03452)</f>
        <v>1.03452</v>
      </c>
      <c r="I310" s="2" t="str">
        <f>IFERROR(__xludf.DUMMYFUNCTION("""COMPUTED_VALUE"""),"AL USA (pc.)")</f>
        <v>AL USA (pc.)</v>
      </c>
      <c r="J310" s="27">
        <f>IFERROR(__xludf.DUMMYFUNCTION("""COMPUTED_VALUE"""),0.07)</f>
        <v>0.07</v>
      </c>
      <c r="K310" s="23">
        <f>IFERROR(__xludf.DUMMYFUNCTION("""COMPUTED_VALUE"""),0.11900000000000001)</f>
        <v>0.119</v>
      </c>
      <c r="L310" s="2" t="str">
        <f>IFERROR(__xludf.DUMMYFUNCTION("""COMPUTED_VALUE"""),"")</f>
        <v/>
      </c>
      <c r="M310" s="27" t="str">
        <f>IFERROR(__xludf.DUMMYFUNCTION("""COMPUTED_VALUE"""),"")</f>
        <v/>
      </c>
      <c r="N310" s="23" t="str">
        <f>IFERROR(__xludf.DUMMYFUNCTION("""COMPUTED_VALUE"""),"")</f>
        <v/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2" t="str">
        <f>IFERROR(__xludf.DUMMYFUNCTION("""COMPUTED_VALUE"""),"DC25-4FS(18)-14")</f>
        <v>DC25-4FS(18)-14</v>
      </c>
      <c r="B311" s="22" t="str">
        <f>IFERROR(__xludf.DUMMYFUNCTION("""COMPUTED_VALUE"""),"DC25 Housing, 4 Sd., Side Conn. 3/8"" Shaft")</f>
        <v>DC25 Housing, 4 Sd., Side Conn. 3/8" Shaft</v>
      </c>
      <c r="C311" s="23">
        <f>IFERROR(__xludf.DUMMYFUNCTION("""COMPUTED_VALUE"""),1.13488)</f>
        <v>1.13488</v>
      </c>
      <c r="D311" s="23">
        <f>IFERROR(__xludf.DUMMYFUNCTION("""COMPUTED_VALUE"""),1.13488)</f>
        <v>1.13488</v>
      </c>
      <c r="E311" s="25" t="str">
        <f>IFERROR(__xludf.DUMMYFUNCTION("""COMPUTED_VALUE"""),"")</f>
        <v/>
      </c>
      <c r="F311" s="2" t="str">
        <f>IFERROR(__xludf.DUMMYFUNCTION("""COMPUTED_VALUE"""),"Cast AL Bulgaria (pc.)")</f>
        <v>Cast AL Bulgaria (pc.)</v>
      </c>
      <c r="G311" s="27">
        <f>IFERROR(__xludf.DUMMYFUNCTION("""COMPUTED_VALUE"""),0.218)</f>
        <v>0.218</v>
      </c>
      <c r="H311" s="23">
        <f>IFERROR(__xludf.DUMMYFUNCTION("""COMPUTED_VALUE"""),1.0158800000000001)</f>
        <v>1.01588</v>
      </c>
      <c r="I311" s="2" t="str">
        <f>IFERROR(__xludf.DUMMYFUNCTION("""COMPUTED_VALUE"""),"AL USA (pc.)")</f>
        <v>AL USA (pc.)</v>
      </c>
      <c r="J311" s="27">
        <f>IFERROR(__xludf.DUMMYFUNCTION("""COMPUTED_VALUE"""),0.07)</f>
        <v>0.07</v>
      </c>
      <c r="K311" s="23">
        <f>IFERROR(__xludf.DUMMYFUNCTION("""COMPUTED_VALUE"""),0.11900000000000001)</f>
        <v>0.119</v>
      </c>
      <c r="L311" s="2" t="str">
        <f>IFERROR(__xludf.DUMMYFUNCTION("""COMPUTED_VALUE"""),"")</f>
        <v/>
      </c>
      <c r="M311" s="27" t="str">
        <f>IFERROR(__xludf.DUMMYFUNCTION("""COMPUTED_VALUE"""),"")</f>
        <v/>
      </c>
      <c r="N311" s="23" t="str">
        <f>IFERROR(__xludf.DUMMYFUNCTION("""COMPUTED_VALUE"""),"")</f>
        <v/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2" t="str">
        <f>IFERROR(__xludf.DUMMYFUNCTION("""COMPUTED_VALUE"""),"DC25-4SE")</f>
        <v>DC25-4SE</v>
      </c>
      <c r="B312" s="22" t="str">
        <f>IFERROR(__xludf.DUMMYFUNCTION("""COMPUTED_VALUE"""),"DC25 Housing, 4 Sp., End Con 3/8"" Shaft, Servo Mount")</f>
        <v>DC25 Housing, 4 Sp., End Con 3/8" Shaft, Servo Mount</v>
      </c>
      <c r="C312" s="23">
        <f>IFERROR(__xludf.DUMMYFUNCTION("""COMPUTED_VALUE"""),3.9528000000000003)</f>
        <v>3.9528</v>
      </c>
      <c r="D312" s="23">
        <f>IFERROR(__xludf.DUMMYFUNCTION("""COMPUTED_VALUE"""),3.9528000000000003)</f>
        <v>3.9528</v>
      </c>
      <c r="E312" s="25" t="str">
        <f>IFERROR(__xludf.DUMMYFUNCTION("""COMPUTED_VALUE"""),"")</f>
        <v/>
      </c>
      <c r="F312" s="2" t="str">
        <f>IFERROR(__xludf.DUMMYFUNCTION("""COMPUTED_VALUE"""),"Ф65 AL 2017 Italy")</f>
        <v>Ф65 AL 2017 Italy</v>
      </c>
      <c r="G312" s="27">
        <f>IFERROR(__xludf.DUMMYFUNCTION("""COMPUTED_VALUE"""),0.252)</f>
        <v>0.252</v>
      </c>
      <c r="H312" s="23">
        <f>IFERROR(__xludf.DUMMYFUNCTION("""COMPUTED_VALUE"""),3.2659200000000004)</f>
        <v>3.26592</v>
      </c>
      <c r="I312" s="2" t="str">
        <f>IFERROR(__xludf.DUMMYFUNCTION("""COMPUTED_VALUE"""),"Ф65 AL 2017 Italy")</f>
        <v>Ф65 AL 2017 Italy</v>
      </c>
      <c r="J312" s="27">
        <f>IFERROR(__xludf.DUMMYFUNCTION("""COMPUTED_VALUE"""),0.053)</f>
        <v>0.053</v>
      </c>
      <c r="K312" s="23">
        <f>IFERROR(__xludf.DUMMYFUNCTION("""COMPUTED_VALUE"""),0.68688)</f>
        <v>0.68688</v>
      </c>
      <c r="L312" s="2" t="str">
        <f>IFERROR(__xludf.DUMMYFUNCTION("""COMPUTED_VALUE"""),"")</f>
        <v/>
      </c>
      <c r="M312" s="27" t="str">
        <f>IFERROR(__xludf.DUMMYFUNCTION("""COMPUTED_VALUE"""),"")</f>
        <v/>
      </c>
      <c r="N312" s="23" t="str">
        <f>IFERROR(__xludf.DUMMYFUNCTION("""COMPUTED_VALUE"""),"")</f>
        <v/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2" t="str">
        <f>IFERROR(__xludf.DUMMYFUNCTION("""COMPUTED_VALUE"""),"DC25-4SS(18)")</f>
        <v>DC25-4SS(18)</v>
      </c>
      <c r="B313" s="22" t="str">
        <f>IFERROR(__xludf.DUMMYFUNCTION("""COMPUTED_VALUE"""),"DC25 Housing, 4 Sp., side Co 3/8"" Shaft, Servo Mount")</f>
        <v>DC25 Housing, 4 Sp., side Co 3/8" Shaft, Servo Mount</v>
      </c>
      <c r="C313" s="23">
        <f>IFERROR(__xludf.DUMMYFUNCTION("""COMPUTED_VALUE"""),1.70276)</f>
        <v>1.70276</v>
      </c>
      <c r="D313" s="23">
        <f>IFERROR(__xludf.DUMMYFUNCTION("""COMPUTED_VALUE"""),1.70276)</f>
        <v>1.70276</v>
      </c>
      <c r="E313" s="25" t="str">
        <f>IFERROR(__xludf.DUMMYFUNCTION("""COMPUTED_VALUE"""),"")</f>
        <v/>
      </c>
      <c r="F313" s="2" t="str">
        <f>IFERROR(__xludf.DUMMYFUNCTION("""COMPUTED_VALUE"""),"Cast AL Bulgaria (pc.)")</f>
        <v>Cast AL Bulgaria (pc.)</v>
      </c>
      <c r="G313" s="27">
        <f>IFERROR(__xludf.DUMMYFUNCTION("""COMPUTED_VALUE"""),0.218)</f>
        <v>0.218</v>
      </c>
      <c r="H313" s="23">
        <f>IFERROR(__xludf.DUMMYFUNCTION("""COMPUTED_VALUE"""),1.0158800000000001)</f>
        <v>1.01588</v>
      </c>
      <c r="I313" s="2" t="str">
        <f>IFERROR(__xludf.DUMMYFUNCTION("""COMPUTED_VALUE"""),"Ф65 AL 2017 Italy")</f>
        <v>Ф65 AL 2017 Italy</v>
      </c>
      <c r="J313" s="27">
        <f>IFERROR(__xludf.DUMMYFUNCTION("""COMPUTED_VALUE"""),0.053)</f>
        <v>0.053</v>
      </c>
      <c r="K313" s="23">
        <f>IFERROR(__xludf.DUMMYFUNCTION("""COMPUTED_VALUE"""),0.68688)</f>
        <v>0.68688</v>
      </c>
      <c r="L313" s="2" t="str">
        <f>IFERROR(__xludf.DUMMYFUNCTION("""COMPUTED_VALUE"""),"")</f>
        <v/>
      </c>
      <c r="M313" s="27" t="str">
        <f>IFERROR(__xludf.DUMMYFUNCTION("""COMPUTED_VALUE"""),"")</f>
        <v/>
      </c>
      <c r="N313" s="23" t="str">
        <f>IFERROR(__xludf.DUMMYFUNCTION("""COMPUTED_VALUE"""),"")</f>
        <v/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2" t="str">
        <f>IFERROR(__xludf.DUMMYFUNCTION("""COMPUTED_VALUE"""),"DC25SS14-3")</f>
        <v>DC25SS14-3</v>
      </c>
      <c r="B314" s="22" t="str">
        <f>IFERROR(__xludf.DUMMYFUNCTION("""COMPUTED_VALUE"""),"DC 25 Servo Mnt. Side Conn Size 14 With .25"" Shaft")</f>
        <v>DC 25 Servo Mnt. Side Conn Size 14 With .25" Shaft</v>
      </c>
      <c r="C314" s="23">
        <f>IFERROR(__xludf.DUMMYFUNCTION("""COMPUTED_VALUE"""),1.7493600000000002)</f>
        <v>1.74936</v>
      </c>
      <c r="D314" s="23">
        <f>IFERROR(__xludf.DUMMYFUNCTION("""COMPUTED_VALUE"""),1.7493600000000002)</f>
        <v>1.74936</v>
      </c>
      <c r="E314" s="25" t="str">
        <f>IFERROR(__xludf.DUMMYFUNCTION("""COMPUTED_VALUE"""),"")</f>
        <v/>
      </c>
      <c r="F314" s="2" t="str">
        <f>IFERROR(__xludf.DUMMYFUNCTION("""COMPUTED_VALUE"""),"Cast AL Bulgaria (pc.)")</f>
        <v>Cast AL Bulgaria (pc.)</v>
      </c>
      <c r="G314" s="27">
        <f>IFERROR(__xludf.DUMMYFUNCTION("""COMPUTED_VALUE"""),0.228)</f>
        <v>0.228</v>
      </c>
      <c r="H314" s="23">
        <f>IFERROR(__xludf.DUMMYFUNCTION("""COMPUTED_VALUE"""),1.06248)</f>
        <v>1.06248</v>
      </c>
      <c r="I314" s="2" t="str">
        <f>IFERROR(__xludf.DUMMYFUNCTION("""COMPUTED_VALUE"""),"Ф65 AL 2017 Italy")</f>
        <v>Ф65 AL 2017 Italy</v>
      </c>
      <c r="J314" s="27">
        <f>IFERROR(__xludf.DUMMYFUNCTION("""COMPUTED_VALUE"""),0.053)</f>
        <v>0.053</v>
      </c>
      <c r="K314" s="23">
        <f>IFERROR(__xludf.DUMMYFUNCTION("""COMPUTED_VALUE"""),0.68688)</f>
        <v>0.68688</v>
      </c>
      <c r="L314" s="2" t="str">
        <f>IFERROR(__xludf.DUMMYFUNCTION("""COMPUTED_VALUE"""),"")</f>
        <v/>
      </c>
      <c r="M314" s="27" t="str">
        <f>IFERROR(__xludf.DUMMYFUNCTION("""COMPUTED_VALUE"""),"")</f>
        <v/>
      </c>
      <c r="N314" s="23" t="str">
        <f>IFERROR(__xludf.DUMMYFUNCTION("""COMPUTED_VALUE"""),"")</f>
        <v/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2" t="str">
        <f>IFERROR(__xludf.DUMMYFUNCTION("""COMPUTED_VALUE"""),"H25-FE-03")</f>
        <v>H25-FE-03</v>
      </c>
      <c r="B315" s="22" t="str">
        <f>IFERROR(__xludf.DUMMYFUNCTION("""COMPUTED_VALUE"""),"Transducer 1 Turn Flange Mnt End Conn With 1/4"" Shaft")</f>
        <v>Transducer 1 Turn Flange Mnt End Conn With 1/4" Shaft</v>
      </c>
      <c r="C315" s="23">
        <f>IFERROR(__xludf.DUMMYFUNCTION("""COMPUTED_VALUE"""),4.14956)</f>
        <v>4.14956</v>
      </c>
      <c r="D315" s="23">
        <f>IFERROR(__xludf.DUMMYFUNCTION("""COMPUTED_VALUE"""),4.14956)</f>
        <v>4.14956</v>
      </c>
      <c r="E315" s="25" t="str">
        <f>IFERROR(__xludf.DUMMYFUNCTION("""COMPUTED_VALUE"""),"")</f>
        <v/>
      </c>
      <c r="F315" s="2" t="str">
        <f>IFERROR(__xludf.DUMMYFUNCTION("""COMPUTED_VALUE"""),"Ф65 AL 2017 Italy")</f>
        <v>Ф65 AL 2017 Italy</v>
      </c>
      <c r="G315" s="27">
        <f>IFERROR(__xludf.DUMMYFUNCTION("""COMPUTED_VALUE"""),0.311)</f>
        <v>0.311</v>
      </c>
      <c r="H315" s="23">
        <f>IFERROR(__xludf.DUMMYFUNCTION("""COMPUTED_VALUE"""),4.03056)</f>
        <v>4.03056</v>
      </c>
      <c r="I315" s="2" t="str">
        <f>IFERROR(__xludf.DUMMYFUNCTION("""COMPUTED_VALUE"""),"AL USA (pc.)")</f>
        <v>AL USA (pc.)</v>
      </c>
      <c r="J315" s="27">
        <f>IFERROR(__xludf.DUMMYFUNCTION("""COMPUTED_VALUE"""),0.07)</f>
        <v>0.07</v>
      </c>
      <c r="K315" s="23">
        <f>IFERROR(__xludf.DUMMYFUNCTION("""COMPUTED_VALUE"""),0.11900000000000001)</f>
        <v>0.119</v>
      </c>
      <c r="L315" s="2" t="str">
        <f>IFERROR(__xludf.DUMMYFUNCTION("""COMPUTED_VALUE"""),"")</f>
        <v/>
      </c>
      <c r="M315" s="27" t="str">
        <f>IFERROR(__xludf.DUMMYFUNCTION("""COMPUTED_VALUE"""),"")</f>
        <v/>
      </c>
      <c r="N315" s="23" t="str">
        <f>IFERROR(__xludf.DUMMYFUNCTION("""COMPUTED_VALUE"""),"")</f>
        <v/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2" t="str">
        <f>IFERROR(__xludf.DUMMYFUNCTION("""COMPUTED_VALUE"""),"H25-FE-05")</f>
        <v>H25-FE-05</v>
      </c>
      <c r="B316" s="22" t="str">
        <f>IFERROR(__xludf.DUMMYFUNCTION("""COMPUTED_VALUE"""),"H25 Flange mnt, End connect 5/8"" Shaft, Nitrile seal")</f>
        <v>H25 Flange mnt, End connect 5/8" Shaft, Nitrile seal</v>
      </c>
      <c r="C316" s="23">
        <f>IFERROR(__xludf.DUMMYFUNCTION("""COMPUTED_VALUE"""),4.3620600000000005)</f>
        <v>4.36206</v>
      </c>
      <c r="D316" s="23">
        <f>IFERROR(__xludf.DUMMYFUNCTION("""COMPUTED_VALUE"""),4.3620600000000005)</f>
        <v>4.36206</v>
      </c>
      <c r="E316" s="25" t="str">
        <f>IFERROR(__xludf.DUMMYFUNCTION("""COMPUTED_VALUE"""),"")</f>
        <v/>
      </c>
      <c r="F316" s="2" t="str">
        <f>IFERROR(__xludf.DUMMYFUNCTION("""COMPUTED_VALUE"""),"Ф65 AL 2017 Italy")</f>
        <v>Ф65 AL 2017 Italy</v>
      </c>
      <c r="G316" s="27">
        <f>IFERROR(__xludf.DUMMYFUNCTION("""COMPUTED_VALUE"""),0.311)</f>
        <v>0.311</v>
      </c>
      <c r="H316" s="23">
        <f>IFERROR(__xludf.DUMMYFUNCTION("""COMPUTED_VALUE"""),4.03056)</f>
        <v>4.03056</v>
      </c>
      <c r="I316" s="2" t="str">
        <f>IFERROR(__xludf.DUMMYFUNCTION("""COMPUTED_VALUE"""),"AL USA")</f>
        <v>AL USA</v>
      </c>
      <c r="J316" s="27">
        <f>IFERROR(__xludf.DUMMYFUNCTION("""COMPUTED_VALUE"""),0.195)</f>
        <v>0.195</v>
      </c>
      <c r="K316" s="23">
        <f>IFERROR(__xludf.DUMMYFUNCTION("""COMPUTED_VALUE"""),0.3315)</f>
        <v>0.3315</v>
      </c>
      <c r="L316" s="2" t="str">
        <f>IFERROR(__xludf.DUMMYFUNCTION("""COMPUTED_VALUE"""),"")</f>
        <v/>
      </c>
      <c r="M316" s="27" t="str">
        <f>IFERROR(__xludf.DUMMYFUNCTION("""COMPUTED_VALUE"""),"")</f>
        <v/>
      </c>
      <c r="N316" s="23" t="str">
        <f>IFERROR(__xludf.DUMMYFUNCTION("""COMPUTED_VALUE"""),"")</f>
        <v/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2" t="str">
        <f>IFERROR(__xludf.DUMMYFUNCTION("""COMPUTED_VALUE"""),"H25-FS-03")</f>
        <v>H25-FS-03</v>
      </c>
      <c r="B317" s="22" t="str">
        <f>IFERROR(__xludf.DUMMYFUNCTION("""COMPUTED_VALUE"""),"Size 25 resolver, 1/4"" shaft flange mount, side connector")</f>
        <v>Size 25 resolver, 1/4" shaft flange mount, side connector</v>
      </c>
      <c r="C317" s="23">
        <f>IFERROR(__xludf.DUMMYFUNCTION("""COMPUTED_VALUE"""),1.11158)</f>
        <v>1.11158</v>
      </c>
      <c r="D317" s="23">
        <f>IFERROR(__xludf.DUMMYFUNCTION("""COMPUTED_VALUE"""),1.11158)</f>
        <v>1.11158</v>
      </c>
      <c r="E317" s="25" t="str">
        <f>IFERROR(__xludf.DUMMYFUNCTION("""COMPUTED_VALUE"""),"")</f>
        <v/>
      </c>
      <c r="F317" s="2" t="str">
        <f>IFERROR(__xludf.DUMMYFUNCTION("""COMPUTED_VALUE"""),"Cast AL Bulgaria (pc.)")</f>
        <v>Cast AL Bulgaria (pc.)</v>
      </c>
      <c r="G317" s="27">
        <f>IFERROR(__xludf.DUMMYFUNCTION("""COMPUTED_VALUE"""),0.213)</f>
        <v>0.213</v>
      </c>
      <c r="H317" s="23">
        <f>IFERROR(__xludf.DUMMYFUNCTION("""COMPUTED_VALUE"""),0.99258)</f>
        <v>0.99258</v>
      </c>
      <c r="I317" s="2" t="str">
        <f>IFERROR(__xludf.DUMMYFUNCTION("""COMPUTED_VALUE"""),"AL USA (pc.)")</f>
        <v>AL USA (pc.)</v>
      </c>
      <c r="J317" s="27">
        <f>IFERROR(__xludf.DUMMYFUNCTION("""COMPUTED_VALUE"""),0.07)</f>
        <v>0.07</v>
      </c>
      <c r="K317" s="23">
        <f>IFERROR(__xludf.DUMMYFUNCTION("""COMPUTED_VALUE"""),0.11900000000000001)</f>
        <v>0.119</v>
      </c>
      <c r="L317" s="2" t="str">
        <f>IFERROR(__xludf.DUMMYFUNCTION("""COMPUTED_VALUE"""),"")</f>
        <v/>
      </c>
      <c r="M317" s="27" t="str">
        <f>IFERROR(__xludf.DUMMYFUNCTION("""COMPUTED_VALUE"""),"")</f>
        <v/>
      </c>
      <c r="N317" s="23" t="str">
        <f>IFERROR(__xludf.DUMMYFUNCTION("""COMPUTED_VALUE"""),"")</f>
        <v/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2" t="str">
        <f>IFERROR(__xludf.DUMMYFUNCTION("""COMPUTED_VALUE"""),"H25-FS-R2G")</f>
        <v>H25-FS-R2G</v>
      </c>
      <c r="B318" s="22" t="str">
        <f>IFERROR(__xludf.DUMMYFUNCTION("""COMPUTED_VALUE"""),"Size 25 Resolver, Flange Mt Side Connector, .45 TR,")</f>
        <v>Size 25 Resolver, Flange Mt Side Connector, .45 TR,</v>
      </c>
      <c r="C318" s="23">
        <f>IFERROR(__xludf.DUMMYFUNCTION("""COMPUTED_VALUE"""),1.8503)</f>
        <v>1.8503</v>
      </c>
      <c r="D318" s="23">
        <f>IFERROR(__xludf.DUMMYFUNCTION("""COMPUTED_VALUE"""),1.8503)</f>
        <v>1.8503</v>
      </c>
      <c r="E318" s="25" t="str">
        <f>IFERROR(__xludf.DUMMYFUNCTION("""COMPUTED_VALUE"""),"")</f>
        <v/>
      </c>
      <c r="F318" s="2" t="str">
        <f>IFERROR(__xludf.DUMMYFUNCTION("""COMPUTED_VALUE"""),"Cast AL Bulgaria (pc.)")</f>
        <v>Cast AL Bulgaria (pc.)</v>
      </c>
      <c r="G318" s="27">
        <f>IFERROR(__xludf.DUMMYFUNCTION("""COMPUTED_VALUE"""),0.213)</f>
        <v>0.213</v>
      </c>
      <c r="H318" s="23">
        <f>IFERROR(__xludf.DUMMYFUNCTION("""COMPUTED_VALUE"""),0.99258)</f>
        <v>0.99258</v>
      </c>
      <c r="I318" s="2" t="str">
        <f>IFERROR(__xludf.DUMMYFUNCTION("""COMPUTED_VALUE"""),"AL USA (pc.)")</f>
        <v>AL USA (pc.)</v>
      </c>
      <c r="J318" s="27">
        <f>IFERROR(__xludf.DUMMYFUNCTION("""COMPUTED_VALUE"""),0.07)</f>
        <v>0.07</v>
      </c>
      <c r="K318" s="23">
        <f>IFERROR(__xludf.DUMMYFUNCTION("""COMPUTED_VALUE"""),0.11900000000000001)</f>
        <v>0.119</v>
      </c>
      <c r="L318" s="2" t="str">
        <f>IFERROR(__xludf.DUMMYFUNCTION("""COMPUTED_VALUE"""),"Ф65 AL 2017 Italy")</f>
        <v>Ф65 AL 2017 Italy</v>
      </c>
      <c r="M318" s="27">
        <f>IFERROR(__xludf.DUMMYFUNCTION("""COMPUTED_VALUE"""),0.057)</f>
        <v>0.057</v>
      </c>
      <c r="N318" s="23">
        <f>IFERROR(__xludf.DUMMYFUNCTION("""COMPUTED_VALUE"""),0.73872)</f>
        <v>0.73872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2" t="str">
        <f>IFERROR(__xludf.DUMMYFUNCTION("""COMPUTED_VALUE"""),"H25-FS-R2N")</f>
        <v>H25-FS-R2N</v>
      </c>
      <c r="B319" s="22" t="str">
        <f>IFERROR(__xludf.DUMMYFUNCTION("""COMPUTED_VALUE"""),"Size 25 Resolver, Flange Mt Side Connector, .45 TR,")</f>
        <v>Size 25 Resolver, Flange Mt Side Connector, .45 TR,</v>
      </c>
      <c r="C319" s="23">
        <f>IFERROR(__xludf.DUMMYFUNCTION("""COMPUTED_VALUE"""),1.8503)</f>
        <v>1.8503</v>
      </c>
      <c r="D319" s="23">
        <f>IFERROR(__xludf.DUMMYFUNCTION("""COMPUTED_VALUE"""),1.8503)</f>
        <v>1.8503</v>
      </c>
      <c r="E319" s="25" t="str">
        <f>IFERROR(__xludf.DUMMYFUNCTION("""COMPUTED_VALUE"""),"")</f>
        <v/>
      </c>
      <c r="F319" s="2" t="str">
        <f>IFERROR(__xludf.DUMMYFUNCTION("""COMPUTED_VALUE"""),"Cast AL Bulgaria (pc.)")</f>
        <v>Cast AL Bulgaria (pc.)</v>
      </c>
      <c r="G319" s="27">
        <f>IFERROR(__xludf.DUMMYFUNCTION("""COMPUTED_VALUE"""),0.213)</f>
        <v>0.213</v>
      </c>
      <c r="H319" s="23">
        <f>IFERROR(__xludf.DUMMYFUNCTION("""COMPUTED_VALUE"""),0.99258)</f>
        <v>0.99258</v>
      </c>
      <c r="I319" s="2" t="str">
        <f>IFERROR(__xludf.DUMMYFUNCTION("""COMPUTED_VALUE"""),"AL USA (pc.)")</f>
        <v>AL USA (pc.)</v>
      </c>
      <c r="J319" s="27">
        <f>IFERROR(__xludf.DUMMYFUNCTION("""COMPUTED_VALUE"""),0.07)</f>
        <v>0.07</v>
      </c>
      <c r="K319" s="23">
        <f>IFERROR(__xludf.DUMMYFUNCTION("""COMPUTED_VALUE"""),0.11900000000000001)</f>
        <v>0.119</v>
      </c>
      <c r="L319" s="2" t="str">
        <f>IFERROR(__xludf.DUMMYFUNCTION("""COMPUTED_VALUE"""),"Ф65 AL 2017 Italy")</f>
        <v>Ф65 AL 2017 Italy</v>
      </c>
      <c r="M319" s="27">
        <f>IFERROR(__xludf.DUMMYFUNCTION("""COMPUTED_VALUE"""),0.057)</f>
        <v>0.057</v>
      </c>
      <c r="N319" s="23">
        <f>IFERROR(__xludf.DUMMYFUNCTION("""COMPUTED_VALUE"""),0.73872)</f>
        <v>0.73872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2" t="str">
        <f>IFERROR(__xludf.DUMMYFUNCTION("""COMPUTED_VALUE"""),"H25-FS-R2C")</f>
        <v>H25-FS-R2C</v>
      </c>
      <c r="B320" s="22"/>
      <c r="C320" s="23">
        <f>IFERROR(__xludf.DUMMYFUNCTION("""COMPUTED_VALUE"""),1.8503)</f>
        <v>1.8503</v>
      </c>
      <c r="D320" s="23">
        <f>IFERROR(__xludf.DUMMYFUNCTION("""COMPUTED_VALUE"""),1.8503)</f>
        <v>1.8503</v>
      </c>
      <c r="E320" s="25" t="str">
        <f>IFERROR(__xludf.DUMMYFUNCTION("""COMPUTED_VALUE"""),"")</f>
        <v/>
      </c>
      <c r="F320" s="2" t="str">
        <f>IFERROR(__xludf.DUMMYFUNCTION("""COMPUTED_VALUE"""),"Cast AL Bulgaria (pc.)")</f>
        <v>Cast AL Bulgaria (pc.)</v>
      </c>
      <c r="G320" s="27">
        <f>IFERROR(__xludf.DUMMYFUNCTION("""COMPUTED_VALUE"""),0.213)</f>
        <v>0.213</v>
      </c>
      <c r="H320" s="23">
        <f>IFERROR(__xludf.DUMMYFUNCTION("""COMPUTED_VALUE"""),0.99258)</f>
        <v>0.99258</v>
      </c>
      <c r="I320" s="2" t="str">
        <f>IFERROR(__xludf.DUMMYFUNCTION("""COMPUTED_VALUE"""),"AL USA (pc.)")</f>
        <v>AL USA (pc.)</v>
      </c>
      <c r="J320" s="27">
        <f>IFERROR(__xludf.DUMMYFUNCTION("""COMPUTED_VALUE"""),0.07)</f>
        <v>0.07</v>
      </c>
      <c r="K320" s="23">
        <f>IFERROR(__xludf.DUMMYFUNCTION("""COMPUTED_VALUE"""),0.11900000000000001)</f>
        <v>0.119</v>
      </c>
      <c r="L320" s="2" t="str">
        <f>IFERROR(__xludf.DUMMYFUNCTION("""COMPUTED_VALUE"""),"Ф65 AL 2017 Italy")</f>
        <v>Ф65 AL 2017 Italy</v>
      </c>
      <c r="M320" s="27">
        <f>IFERROR(__xludf.DUMMYFUNCTION("""COMPUTED_VALUE"""),0.057)</f>
        <v>0.057</v>
      </c>
      <c r="N320" s="23">
        <f>IFERROR(__xludf.DUMMYFUNCTION("""COMPUTED_VALUE"""),0.73872)</f>
        <v>0.73872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2" t="str">
        <f>IFERROR(__xludf.DUMMYFUNCTION("""COMPUTED_VALUE"""),"H25-FS-R5B")</f>
        <v>H25-FS-R5B</v>
      </c>
      <c r="B321" s="22" t="str">
        <f>IFERROR(__xludf.DUMMYFUNCTION("""COMPUTED_VALUE"""),"H25 Resolver, Flange Mnt., 1.0 TR@1000Hz, side Conn.")</f>
        <v>H25 Resolver, Flange Mnt., 1.0 TR@1000Hz, side Conn.</v>
      </c>
      <c r="C321" s="23">
        <f>IFERROR(__xludf.DUMMYFUNCTION("""COMPUTED_VALUE"""),1.8503)</f>
        <v>1.8503</v>
      </c>
      <c r="D321" s="23">
        <f>IFERROR(__xludf.DUMMYFUNCTION("""COMPUTED_VALUE"""),1.8503)</f>
        <v>1.8503</v>
      </c>
      <c r="E321" s="25" t="str">
        <f>IFERROR(__xludf.DUMMYFUNCTION("""COMPUTED_VALUE"""),"")</f>
        <v/>
      </c>
      <c r="F321" s="2" t="str">
        <f>IFERROR(__xludf.DUMMYFUNCTION("""COMPUTED_VALUE"""),"Cast AL Bulgaria (pc.)")</f>
        <v>Cast AL Bulgaria (pc.)</v>
      </c>
      <c r="G321" s="27">
        <f>IFERROR(__xludf.DUMMYFUNCTION("""COMPUTED_VALUE"""),0.213)</f>
        <v>0.213</v>
      </c>
      <c r="H321" s="23">
        <f>IFERROR(__xludf.DUMMYFUNCTION("""COMPUTED_VALUE"""),0.99258)</f>
        <v>0.99258</v>
      </c>
      <c r="I321" s="2" t="str">
        <f>IFERROR(__xludf.DUMMYFUNCTION("""COMPUTED_VALUE"""),"AL USA (pc.)")</f>
        <v>AL USA (pc.)</v>
      </c>
      <c r="J321" s="27">
        <f>IFERROR(__xludf.DUMMYFUNCTION("""COMPUTED_VALUE"""),0.07)</f>
        <v>0.07</v>
      </c>
      <c r="K321" s="23">
        <f>IFERROR(__xludf.DUMMYFUNCTION("""COMPUTED_VALUE"""),0.11900000000000001)</f>
        <v>0.119</v>
      </c>
      <c r="L321" s="2" t="str">
        <f>IFERROR(__xludf.DUMMYFUNCTION("""COMPUTED_VALUE"""),"Ф65 AL 2017 Italy")</f>
        <v>Ф65 AL 2017 Italy</v>
      </c>
      <c r="M321" s="27">
        <f>IFERROR(__xludf.DUMMYFUNCTION("""COMPUTED_VALUE"""),0.057)</f>
        <v>0.057</v>
      </c>
      <c r="N321" s="23">
        <f>IFERROR(__xludf.DUMMYFUNCTION("""COMPUTED_VALUE"""),0.73872)</f>
        <v>0.73872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2" t="str">
        <f>IFERROR(__xludf.DUMMYFUNCTION("""COMPUTED_VALUE"""),"H25-SE-03")</f>
        <v>H25-SE-03</v>
      </c>
      <c r="B322" s="22" t="str">
        <f>IFERROR(__xludf.DUMMYFUNCTION("""COMPUTED_VALUE"""),"Transducer 1 Turn Servo Mnt 1/4"" shaft")</f>
        <v>Transducer 1 Turn Servo Mnt 1/4" shaft</v>
      </c>
      <c r="C322" s="23">
        <f>IFERROR(__xludf.DUMMYFUNCTION("""COMPUTED_VALUE"""),4.717440000000001)</f>
        <v>4.71744</v>
      </c>
      <c r="D322" s="23">
        <f>IFERROR(__xludf.DUMMYFUNCTION("""COMPUTED_VALUE"""),4.717440000000001)</f>
        <v>4.71744</v>
      </c>
      <c r="E322" s="25" t="str">
        <f>IFERROR(__xludf.DUMMYFUNCTION("""COMPUTED_VALUE"""),"")</f>
        <v/>
      </c>
      <c r="F322" s="2" t="str">
        <f>IFERROR(__xludf.DUMMYFUNCTION("""COMPUTED_VALUE"""),"Ф65 AL 2017 Italy")</f>
        <v>Ф65 AL 2017 Italy</v>
      </c>
      <c r="G322" s="27">
        <f>IFERROR(__xludf.DUMMYFUNCTION("""COMPUTED_VALUE"""),0.311)</f>
        <v>0.311</v>
      </c>
      <c r="H322" s="23">
        <f>IFERROR(__xludf.DUMMYFUNCTION("""COMPUTED_VALUE"""),4.03056)</f>
        <v>4.03056</v>
      </c>
      <c r="I322" s="2" t="str">
        <f>IFERROR(__xludf.DUMMYFUNCTION("""COMPUTED_VALUE"""),"Ф65 AL 2017 Italy")</f>
        <v>Ф65 AL 2017 Italy</v>
      </c>
      <c r="J322" s="27">
        <f>IFERROR(__xludf.DUMMYFUNCTION("""COMPUTED_VALUE"""),0.053)</f>
        <v>0.053</v>
      </c>
      <c r="K322" s="23">
        <f>IFERROR(__xludf.DUMMYFUNCTION("""COMPUTED_VALUE"""),0.68688)</f>
        <v>0.68688</v>
      </c>
      <c r="L322" s="2" t="str">
        <f>IFERROR(__xludf.DUMMYFUNCTION("""COMPUTED_VALUE"""),"")</f>
        <v/>
      </c>
      <c r="M322" s="27" t="str">
        <f>IFERROR(__xludf.DUMMYFUNCTION("""COMPUTED_VALUE"""),"")</f>
        <v/>
      </c>
      <c r="N322" s="23" t="str">
        <f>IFERROR(__xludf.DUMMYFUNCTION("""COMPUTED_VALUE"""),"")</f>
        <v/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2" t="str">
        <f>IFERROR(__xludf.DUMMYFUNCTION("""COMPUTED_VALUE"""),"H25-SE-06")</f>
        <v>H25-SE-06</v>
      </c>
      <c r="B323" s="22" t="str">
        <f>IFERROR(__xludf.DUMMYFUNCTION("""COMPUTED_VALUE"""),"Size 25 resolver, 3/8 shaft W/ 3mm key")</f>
        <v>Size 25 resolver, 3/8 shaft W/ 3mm key</v>
      </c>
      <c r="C323" s="23">
        <f>IFERROR(__xludf.DUMMYFUNCTION("""COMPUTED_VALUE"""),4.717440000000001)</f>
        <v>4.71744</v>
      </c>
      <c r="D323" s="23">
        <f>IFERROR(__xludf.DUMMYFUNCTION("""COMPUTED_VALUE"""),4.717440000000001)</f>
        <v>4.71744</v>
      </c>
      <c r="E323" s="25" t="str">
        <f>IFERROR(__xludf.DUMMYFUNCTION("""COMPUTED_VALUE"""),"")</f>
        <v/>
      </c>
      <c r="F323" s="2" t="str">
        <f>IFERROR(__xludf.DUMMYFUNCTION("""COMPUTED_VALUE"""),"Ф65 AL 2017 Italy")</f>
        <v>Ф65 AL 2017 Italy</v>
      </c>
      <c r="G323" s="27">
        <f>IFERROR(__xludf.DUMMYFUNCTION("""COMPUTED_VALUE"""),0.311)</f>
        <v>0.311</v>
      </c>
      <c r="H323" s="23">
        <f>IFERROR(__xludf.DUMMYFUNCTION("""COMPUTED_VALUE"""),4.03056)</f>
        <v>4.03056</v>
      </c>
      <c r="I323" s="2" t="str">
        <f>IFERROR(__xludf.DUMMYFUNCTION("""COMPUTED_VALUE"""),"Ф65 AL 2017 Italy")</f>
        <v>Ф65 AL 2017 Italy</v>
      </c>
      <c r="J323" s="27">
        <f>IFERROR(__xludf.DUMMYFUNCTION("""COMPUTED_VALUE"""),0.053)</f>
        <v>0.053</v>
      </c>
      <c r="K323" s="23">
        <f>IFERROR(__xludf.DUMMYFUNCTION("""COMPUTED_VALUE"""),0.68688)</f>
        <v>0.68688</v>
      </c>
      <c r="L323" s="2" t="str">
        <f>IFERROR(__xludf.DUMMYFUNCTION("""COMPUTED_VALUE"""),"")</f>
        <v/>
      </c>
      <c r="M323" s="27" t="str">
        <f>IFERROR(__xludf.DUMMYFUNCTION("""COMPUTED_VALUE"""),"")</f>
        <v/>
      </c>
      <c r="N323" s="23" t="str">
        <f>IFERROR(__xludf.DUMMYFUNCTION("""COMPUTED_VALUE"""),"")</f>
        <v/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2" t="str">
        <f>IFERROR(__xludf.DUMMYFUNCTION("""COMPUTED_VALUE"""),"H25N-SE-10")</f>
        <v>H25N-SE-10</v>
      </c>
      <c r="B324" s="22" t="str">
        <f>IFERROR(__xludf.DUMMYFUNCTION("""COMPUTED_VALUE"""),"Transducer 1 Turn Servo Mnt 10mm Shaft, TR=0.95, 5KHz")</f>
        <v>Transducer 1 Turn Servo Mnt 10mm Shaft, TR=0.95, 5KHz</v>
      </c>
      <c r="C324" s="23">
        <f>IFERROR(__xludf.DUMMYFUNCTION("""COMPUTED_VALUE"""),0.0)</f>
        <v>0</v>
      </c>
      <c r="D324" s="2" t="str">
        <f>IFERROR(__xludf.DUMMYFUNCTION("""COMPUTED_VALUE"""),"")</f>
        <v/>
      </c>
      <c r="E324" s="25" t="str">
        <f>IFERROR(__xludf.DUMMYFUNCTION("""COMPUTED_VALUE"""),"")</f>
        <v/>
      </c>
      <c r="F324" s="2" t="str">
        <f>IFERROR(__xludf.DUMMYFUNCTION("""COMPUTED_VALUE"""),"")</f>
        <v/>
      </c>
      <c r="G324" s="27" t="str">
        <f>IFERROR(__xludf.DUMMYFUNCTION("""COMPUTED_VALUE"""),"")</f>
        <v/>
      </c>
      <c r="H324" s="23" t="str">
        <f>IFERROR(__xludf.DUMMYFUNCTION("""COMPUTED_VALUE"""),"")</f>
        <v/>
      </c>
      <c r="I324" s="2" t="str">
        <f>IFERROR(__xludf.DUMMYFUNCTION("""COMPUTED_VALUE"""),"")</f>
        <v/>
      </c>
      <c r="J324" s="27" t="str">
        <f>IFERROR(__xludf.DUMMYFUNCTION("""COMPUTED_VALUE"""),"")</f>
        <v/>
      </c>
      <c r="K324" s="23" t="str">
        <f>IFERROR(__xludf.DUMMYFUNCTION("""COMPUTED_VALUE"""),"")</f>
        <v/>
      </c>
      <c r="L324" s="2" t="str">
        <f>IFERROR(__xludf.DUMMYFUNCTION("""COMPUTED_VALUE"""),"")</f>
        <v/>
      </c>
      <c r="M324" s="27" t="str">
        <f>IFERROR(__xludf.DUMMYFUNCTION("""COMPUTED_VALUE"""),"")</f>
        <v/>
      </c>
      <c r="N324" s="23" t="str">
        <f>IFERROR(__xludf.DUMMYFUNCTION("""COMPUTED_VALUE"""),"")</f>
        <v/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2" t="str">
        <f>IFERROR(__xludf.DUMMYFUNCTION("""COMPUTED_VALUE"""),"H25V-FS")</f>
        <v>H25V-FS</v>
      </c>
      <c r="B325" s="22" t="str">
        <f>IFERROR(__xludf.DUMMYFUNCTION("""COMPUTED_VALUE"""),"Size 25 resolver, 3/8 shaft, Flange mount, side connector")</f>
        <v>Size 25 resolver, 3/8 shaft, Flange mount, side connector</v>
      </c>
      <c r="C325" s="23">
        <f>IFERROR(__xludf.DUMMYFUNCTION("""COMPUTED_VALUE"""),1.11158)</f>
        <v>1.11158</v>
      </c>
      <c r="D325" s="23">
        <f>IFERROR(__xludf.DUMMYFUNCTION("""COMPUTED_VALUE"""),1.11158)</f>
        <v>1.11158</v>
      </c>
      <c r="E325" s="25" t="str">
        <f>IFERROR(__xludf.DUMMYFUNCTION("""COMPUTED_VALUE"""),"")</f>
        <v/>
      </c>
      <c r="F325" s="2" t="str">
        <f>IFERROR(__xludf.DUMMYFUNCTION("""COMPUTED_VALUE"""),"Cast AL Bulgaria (pc.)")</f>
        <v>Cast AL Bulgaria (pc.)</v>
      </c>
      <c r="G325" s="27">
        <f>IFERROR(__xludf.DUMMYFUNCTION("""COMPUTED_VALUE"""),0.213)</f>
        <v>0.213</v>
      </c>
      <c r="H325" s="23">
        <f>IFERROR(__xludf.DUMMYFUNCTION("""COMPUTED_VALUE"""),0.99258)</f>
        <v>0.99258</v>
      </c>
      <c r="I325" s="2" t="str">
        <f>IFERROR(__xludf.DUMMYFUNCTION("""COMPUTED_VALUE"""),"AL USA (pc.)")</f>
        <v>AL USA (pc.)</v>
      </c>
      <c r="J325" s="27">
        <f>IFERROR(__xludf.DUMMYFUNCTION("""COMPUTED_VALUE"""),0.07)</f>
        <v>0.07</v>
      </c>
      <c r="K325" s="23">
        <f>IFERROR(__xludf.DUMMYFUNCTION("""COMPUTED_VALUE"""),0.11900000000000001)</f>
        <v>0.119</v>
      </c>
      <c r="L325" s="2" t="str">
        <f>IFERROR(__xludf.DUMMYFUNCTION("""COMPUTED_VALUE"""),"")</f>
        <v/>
      </c>
      <c r="M325" s="27" t="str">
        <f>IFERROR(__xludf.DUMMYFUNCTION("""COMPUTED_VALUE"""),"")</f>
        <v/>
      </c>
      <c r="N325" s="23" t="str">
        <f>IFERROR(__xludf.DUMMYFUNCTION("""COMPUTED_VALUE"""),"")</f>
        <v/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0" t="str">
        <f>IFERROR(__xludf.DUMMYFUNCTION("""COMPUTED_VALUE"""),"RM-1")</f>
        <v>RM-1</v>
      </c>
      <c r="B326" s="22" t="str">
        <f>IFERROR(__xludf.DUMMYFUNCTION("""COMPUTED_VALUE"""),"Reference Module - C&amp;A ")</f>
        <v>Reference Module - C&amp;A </v>
      </c>
      <c r="C326" s="23">
        <f>IFERROR(__xludf.DUMMYFUNCTION("""COMPUTED_VALUE"""),0.0)</f>
        <v>0</v>
      </c>
      <c r="D326" s="2" t="str">
        <f>IFERROR(__xludf.DUMMYFUNCTION("""COMPUTED_VALUE"""),"")</f>
        <v/>
      </c>
      <c r="E326" s="25" t="str">
        <f>IFERROR(__xludf.DUMMYFUNCTION("""COMPUTED_VALUE"""),"")</f>
        <v/>
      </c>
      <c r="F326" s="2" t="str">
        <f>IFERROR(__xludf.DUMMYFUNCTION("""COMPUTED_VALUE"""),"")</f>
        <v/>
      </c>
      <c r="G326" s="27" t="str">
        <f>IFERROR(__xludf.DUMMYFUNCTION("""COMPUTED_VALUE"""),"")</f>
        <v/>
      </c>
      <c r="H326" s="23" t="str">
        <f>IFERROR(__xludf.DUMMYFUNCTION("""COMPUTED_VALUE"""),"")</f>
        <v/>
      </c>
      <c r="I326" s="2" t="str">
        <f>IFERROR(__xludf.DUMMYFUNCTION("""COMPUTED_VALUE"""),"")</f>
        <v/>
      </c>
      <c r="J326" s="27" t="str">
        <f>IFERROR(__xludf.DUMMYFUNCTION("""COMPUTED_VALUE"""),"")</f>
        <v/>
      </c>
      <c r="K326" s="23" t="str">
        <f>IFERROR(__xludf.DUMMYFUNCTION("""COMPUTED_VALUE"""),"")</f>
        <v/>
      </c>
      <c r="L326" s="2" t="str">
        <f>IFERROR(__xludf.DUMMYFUNCTION("""COMPUTED_VALUE"""),"")</f>
        <v/>
      </c>
      <c r="M326" s="27" t="str">
        <f>IFERROR(__xludf.DUMMYFUNCTION("""COMPUTED_VALUE"""),"")</f>
        <v/>
      </c>
      <c r="N326" s="23" t="str">
        <f>IFERROR(__xludf.DUMMYFUNCTION("""COMPUTED_VALUE"""),"")</f>
        <v/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0" t="str">
        <f>IFERROR(__xludf.DUMMYFUNCTION("""COMPUTED_VALUE"""),"RM-3")</f>
        <v>RM-3</v>
      </c>
      <c r="B327" s="22" t="str">
        <f>IFERROR(__xludf.DUMMYFUNCTION("""COMPUTED_VALUE"""),"Reference Module Autotech/Gemco compatable")</f>
        <v>Reference Module Autotech/Gemco compatable</v>
      </c>
      <c r="C327" s="23">
        <f>IFERROR(__xludf.DUMMYFUNCTION("""COMPUTED_VALUE"""),0.0)</f>
        <v>0</v>
      </c>
      <c r="D327" s="2" t="str">
        <f>IFERROR(__xludf.DUMMYFUNCTION("""COMPUTED_VALUE"""),"")</f>
        <v/>
      </c>
      <c r="E327" s="25" t="str">
        <f>IFERROR(__xludf.DUMMYFUNCTION("""COMPUTED_VALUE"""),"")</f>
        <v/>
      </c>
      <c r="F327" s="2" t="str">
        <f>IFERROR(__xludf.DUMMYFUNCTION("""COMPUTED_VALUE"""),"")</f>
        <v/>
      </c>
      <c r="G327" s="27" t="str">
        <f>IFERROR(__xludf.DUMMYFUNCTION("""COMPUTED_VALUE"""),"")</f>
        <v/>
      </c>
      <c r="H327" s="23" t="str">
        <f>IFERROR(__xludf.DUMMYFUNCTION("""COMPUTED_VALUE"""),"")</f>
        <v/>
      </c>
      <c r="I327" s="2" t="str">
        <f>IFERROR(__xludf.DUMMYFUNCTION("""COMPUTED_VALUE"""),"")</f>
        <v/>
      </c>
      <c r="J327" s="27" t="str">
        <f>IFERROR(__xludf.DUMMYFUNCTION("""COMPUTED_VALUE"""),"")</f>
        <v/>
      </c>
      <c r="K327" s="23" t="str">
        <f>IFERROR(__xludf.DUMMYFUNCTION("""COMPUTED_VALUE"""),"")</f>
        <v/>
      </c>
      <c r="L327" s="2" t="str">
        <f>IFERROR(__xludf.DUMMYFUNCTION("""COMPUTED_VALUE"""),"")</f>
        <v/>
      </c>
      <c r="M327" s="27" t="str">
        <f>IFERROR(__xludf.DUMMYFUNCTION("""COMPUTED_VALUE"""),"")</f>
        <v/>
      </c>
      <c r="N327" s="23" t="str">
        <f>IFERROR(__xludf.DUMMYFUNCTION("""COMPUTED_VALUE"""),"")</f>
        <v/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0" t="str">
        <f>IFERROR(__xludf.DUMMYFUNCTION("""COMPUTED_VALUE"""),"RM-4")</f>
        <v>RM-4</v>
      </c>
      <c r="B328" s="22" t="str">
        <f>IFERROR(__xludf.DUMMYFUNCTION("""COMPUTED_VALUE"""),"Reference Module - Reliance ")</f>
        <v>Reference Module - Reliance </v>
      </c>
      <c r="C328" s="23">
        <f>IFERROR(__xludf.DUMMYFUNCTION("""COMPUTED_VALUE"""),0.0)</f>
        <v>0</v>
      </c>
      <c r="D328" s="2" t="str">
        <f>IFERROR(__xludf.DUMMYFUNCTION("""COMPUTED_VALUE"""),"")</f>
        <v/>
      </c>
      <c r="E328" s="25" t="str">
        <f>IFERROR(__xludf.DUMMYFUNCTION("""COMPUTED_VALUE"""),"")</f>
        <v/>
      </c>
      <c r="F328" s="2" t="str">
        <f>IFERROR(__xludf.DUMMYFUNCTION("""COMPUTED_VALUE"""),"")</f>
        <v/>
      </c>
      <c r="G328" s="27" t="str">
        <f>IFERROR(__xludf.DUMMYFUNCTION("""COMPUTED_VALUE"""),"")</f>
        <v/>
      </c>
      <c r="H328" s="23" t="str">
        <f>IFERROR(__xludf.DUMMYFUNCTION("""COMPUTED_VALUE"""),"")</f>
        <v/>
      </c>
      <c r="I328" s="2" t="str">
        <f>IFERROR(__xludf.DUMMYFUNCTION("""COMPUTED_VALUE"""),"")</f>
        <v/>
      </c>
      <c r="J328" s="27" t="str">
        <f>IFERROR(__xludf.DUMMYFUNCTION("""COMPUTED_VALUE"""),"")</f>
        <v/>
      </c>
      <c r="K328" s="23" t="str">
        <f>IFERROR(__xludf.DUMMYFUNCTION("""COMPUTED_VALUE"""),"")</f>
        <v/>
      </c>
      <c r="L328" s="2" t="str">
        <f>IFERROR(__xludf.DUMMYFUNCTION("""COMPUTED_VALUE"""),"")</f>
        <v/>
      </c>
      <c r="M328" s="27" t="str">
        <f>IFERROR(__xludf.DUMMYFUNCTION("""COMPUTED_VALUE"""),"")</f>
        <v/>
      </c>
      <c r="N328" s="23" t="str">
        <f>IFERROR(__xludf.DUMMYFUNCTION("""COMPUTED_VALUE"""),"")</f>
        <v/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2">
        <f>IFERROR(__xludf.DUMMYFUNCTION("""COMPUTED_VALUE"""),10.0)</f>
        <v>10</v>
      </c>
      <c r="B329" s="22"/>
      <c r="C329" s="23">
        <f>IFERROR(__xludf.DUMMYFUNCTION("""COMPUTED_VALUE"""),0.67392)</f>
        <v>0.67392</v>
      </c>
      <c r="D329" s="23">
        <f>IFERROR(__xludf.DUMMYFUNCTION("""COMPUTED_VALUE"""),0.67392)</f>
        <v>0.67392</v>
      </c>
      <c r="E329" s="25">
        <f>IFERROR(__xludf.DUMMYFUNCTION("""COMPUTED_VALUE"""),1.0)</f>
        <v>1</v>
      </c>
      <c r="F329" s="2" t="str">
        <f>IFERROR(__xludf.DUMMYFUNCTION("""COMPUTED_VALUE"""),"")</f>
        <v/>
      </c>
      <c r="G329" s="27" t="str">
        <f>IFERROR(__xludf.DUMMYFUNCTION("""COMPUTED_VALUE"""),"")</f>
        <v/>
      </c>
      <c r="H329" s="23" t="str">
        <f>IFERROR(__xludf.DUMMYFUNCTION("""COMPUTED_VALUE"""),"")</f>
        <v/>
      </c>
      <c r="I329" s="2" t="str">
        <f>IFERROR(__xludf.DUMMYFUNCTION("""COMPUTED_VALUE"""),"")</f>
        <v/>
      </c>
      <c r="J329" s="27" t="str">
        <f>IFERROR(__xludf.DUMMYFUNCTION("""COMPUTED_VALUE"""),"")</f>
        <v/>
      </c>
      <c r="K329" s="23" t="str">
        <f>IFERROR(__xludf.DUMMYFUNCTION("""COMPUTED_VALUE"""),"")</f>
        <v/>
      </c>
      <c r="L329" s="2" t="str">
        <f>IFERROR(__xludf.DUMMYFUNCTION("""COMPUTED_VALUE"""),"Ф65 AL 2017 Italy")</f>
        <v>Ф65 AL 2017 Italy</v>
      </c>
      <c r="M329" s="27">
        <f>IFERROR(__xludf.DUMMYFUNCTION("""COMPUTED_VALUE"""),0.052)</f>
        <v>0.052</v>
      </c>
      <c r="N329" s="23">
        <f>IFERROR(__xludf.DUMMYFUNCTION("""COMPUTED_VALUE"""),0.67392)</f>
        <v>0.67392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0">
        <f>IFERROR(__xludf.DUMMYFUNCTION("""COMPUTED_VALUE"""),2.11447E8)</f>
        <v>211447000</v>
      </c>
      <c r="B330" s="22" t="str">
        <f>IFERROR(__xludf.DUMMYFUNCTION("""COMPUTED_VALUE"""),"Absolute Rear Cover w/LED for new Absolute")</f>
        <v>Absolute Rear Cover w/LED for new Absolute</v>
      </c>
      <c r="C330" s="23">
        <f>IFERROR(__xludf.DUMMYFUNCTION("""COMPUTED_VALUE"""),0.6480000000000001)</f>
        <v>0.648</v>
      </c>
      <c r="D330" s="23">
        <f>IFERROR(__xludf.DUMMYFUNCTION("""COMPUTED_VALUE"""),0.6480000000000001)</f>
        <v>0.648</v>
      </c>
      <c r="E330" s="25">
        <f>IFERROR(__xludf.DUMMYFUNCTION("""COMPUTED_VALUE"""),1.0)</f>
        <v>1</v>
      </c>
      <c r="F330" s="2" t="str">
        <f>IFERROR(__xludf.DUMMYFUNCTION("""COMPUTED_VALUE"""),"")</f>
        <v/>
      </c>
      <c r="G330" s="27" t="str">
        <f>IFERROR(__xludf.DUMMYFUNCTION("""COMPUTED_VALUE"""),"")</f>
        <v/>
      </c>
      <c r="H330" s="23" t="str">
        <f>IFERROR(__xludf.DUMMYFUNCTION("""COMPUTED_VALUE"""),"")</f>
        <v/>
      </c>
      <c r="I330" s="2" t="str">
        <f>IFERROR(__xludf.DUMMYFUNCTION("""COMPUTED_VALUE"""),"")</f>
        <v/>
      </c>
      <c r="J330" s="27" t="str">
        <f>IFERROR(__xludf.DUMMYFUNCTION("""COMPUTED_VALUE"""),"")</f>
        <v/>
      </c>
      <c r="K330" s="23" t="str">
        <f>IFERROR(__xludf.DUMMYFUNCTION("""COMPUTED_VALUE"""),"")</f>
        <v/>
      </c>
      <c r="L330" s="2" t="str">
        <f>IFERROR(__xludf.DUMMYFUNCTION("""COMPUTED_VALUE"""),"Ф65 AL 2017 Italy")</f>
        <v>Ф65 AL 2017 Italy</v>
      </c>
      <c r="M330" s="27">
        <f>IFERROR(__xludf.DUMMYFUNCTION("""COMPUTED_VALUE"""),0.05)</f>
        <v>0.05</v>
      </c>
      <c r="N330" s="23">
        <f>IFERROR(__xludf.DUMMYFUNCTION("""COMPUTED_VALUE"""),0.6480000000000001)</f>
        <v>0.648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0">
        <f>IFERROR(__xludf.DUMMYFUNCTION("""COMPUTED_VALUE"""),2.11455E8)</f>
        <v>211455000</v>
      </c>
      <c r="B331" s="22" t="str">
        <f>IFERROR(__xludf.DUMMYFUNCTION("""COMPUTED_VALUE"""),"Rear Cover R11 w/Cord Grip and 10-32 tap for Purge Port")</f>
        <v>Rear Cover R11 w/Cord Grip and 10-32 tap for Purge Port</v>
      </c>
      <c r="C331" s="23">
        <f>IFERROR(__xludf.DUMMYFUNCTION("""COMPUTED_VALUE"""),0.69984)</f>
        <v>0.69984</v>
      </c>
      <c r="D331" s="23">
        <f>IFERROR(__xludf.DUMMYFUNCTION("""COMPUTED_VALUE"""),0.69984)</f>
        <v>0.69984</v>
      </c>
      <c r="E331" s="25">
        <f>IFERROR(__xludf.DUMMYFUNCTION("""COMPUTED_VALUE"""),1.0)</f>
        <v>1</v>
      </c>
      <c r="F331" s="2" t="str">
        <f>IFERROR(__xludf.DUMMYFUNCTION("""COMPUTED_VALUE"""),"")</f>
        <v/>
      </c>
      <c r="G331" s="27" t="str">
        <f>IFERROR(__xludf.DUMMYFUNCTION("""COMPUTED_VALUE"""),"")</f>
        <v/>
      </c>
      <c r="H331" s="23" t="str">
        <f>IFERROR(__xludf.DUMMYFUNCTION("""COMPUTED_VALUE"""),"")</f>
        <v/>
      </c>
      <c r="I331" s="2" t="str">
        <f>IFERROR(__xludf.DUMMYFUNCTION("""COMPUTED_VALUE"""),"")</f>
        <v/>
      </c>
      <c r="J331" s="27" t="str">
        <f>IFERROR(__xludf.DUMMYFUNCTION("""COMPUTED_VALUE"""),"")</f>
        <v/>
      </c>
      <c r="K331" s="23" t="str">
        <f>IFERROR(__xludf.DUMMYFUNCTION("""COMPUTED_VALUE"""),"")</f>
        <v/>
      </c>
      <c r="L331" s="2" t="str">
        <f>IFERROR(__xludf.DUMMYFUNCTION("""COMPUTED_VALUE"""),"Ф65 AL 2017 Italy")</f>
        <v>Ф65 AL 2017 Italy</v>
      </c>
      <c r="M331" s="27">
        <f>IFERROR(__xludf.DUMMYFUNCTION("""COMPUTED_VALUE"""),0.054)</f>
        <v>0.054</v>
      </c>
      <c r="N331" s="23">
        <f>IFERROR(__xludf.DUMMYFUNCTION("""COMPUTED_VALUE"""),0.69984)</f>
        <v>0.69984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0">
        <f>IFERROR(__xludf.DUMMYFUNCTION("""COMPUTED_VALUE"""),2.11424E8)</f>
        <v>211424000</v>
      </c>
      <c r="B332" s="22" t="str">
        <f>IFERROR(__xludf.DUMMYFUNCTION("""COMPUTED_VALUE"""),"1/2"" Hub Rotor Singleturn New collar-style shaft")</f>
        <v>1/2" Hub Rotor Singleturn New collar-style shaft</v>
      </c>
      <c r="C332" s="23">
        <f>IFERROR(__xludf.DUMMYFUNCTION("""COMPUTED_VALUE"""),0.0)</f>
        <v>0</v>
      </c>
      <c r="D332" s="2" t="str">
        <f>IFERROR(__xludf.DUMMYFUNCTION("""COMPUTED_VALUE"""),"")</f>
        <v/>
      </c>
      <c r="E332" s="25" t="str">
        <f>IFERROR(__xludf.DUMMYFUNCTION("""COMPUTED_VALUE"""),"")</f>
        <v/>
      </c>
      <c r="F332" s="2" t="str">
        <f>IFERROR(__xludf.DUMMYFUNCTION("""COMPUTED_VALUE"""),"")</f>
        <v/>
      </c>
      <c r="G332" s="27" t="str">
        <f>IFERROR(__xludf.DUMMYFUNCTION("""COMPUTED_VALUE"""),"")</f>
        <v/>
      </c>
      <c r="H332" s="23" t="str">
        <f>IFERROR(__xludf.DUMMYFUNCTION("""COMPUTED_VALUE"""),"")</f>
        <v/>
      </c>
      <c r="I332" s="2" t="str">
        <f>IFERROR(__xludf.DUMMYFUNCTION("""COMPUTED_VALUE"""),"")</f>
        <v/>
      </c>
      <c r="J332" s="27" t="str">
        <f>IFERROR(__xludf.DUMMYFUNCTION("""COMPUTED_VALUE"""),"")</f>
        <v/>
      </c>
      <c r="K332" s="23" t="str">
        <f>IFERROR(__xludf.DUMMYFUNCTION("""COMPUTED_VALUE"""),"")</f>
        <v/>
      </c>
      <c r="L332" s="2" t="str">
        <f>IFERROR(__xludf.DUMMYFUNCTION("""COMPUTED_VALUE"""),"")</f>
        <v/>
      </c>
      <c r="M332" s="27" t="str">
        <f>IFERROR(__xludf.DUMMYFUNCTION("""COMPUTED_VALUE"""),"")</f>
        <v/>
      </c>
      <c r="N332" s="23" t="str">
        <f>IFERROR(__xludf.DUMMYFUNCTION("""COMPUTED_VALUE"""),"")</f>
        <v/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0" t="str">
        <f>IFERROR(__xludf.DUMMYFUNCTION("""COMPUTED_VALUE"""),"575-15900-721-01")</f>
        <v>575-15900-721-01</v>
      </c>
      <c r="B333" s="22" t="str">
        <f>IFERROR(__xludf.DUMMYFUNCTION("""COMPUTED_VALUE"""),"Size11, Xmitter, 3/16"" shaft TR=0.50; F=10KHz, &lt;7min Nuclear hardened; w/ seal")</f>
        <v>Size11, Xmitter, 3/16" shaft TR=0.50; F=10KHz, &lt;7min Nuclear hardened; w/ seal</v>
      </c>
      <c r="C333" s="23">
        <f>IFERROR(__xludf.DUMMYFUNCTION("""COMPUTED_VALUE"""),0.0)</f>
        <v>0</v>
      </c>
      <c r="D333" s="2" t="str">
        <f>IFERROR(__xludf.DUMMYFUNCTION("""COMPUTED_VALUE"""),"")</f>
        <v/>
      </c>
      <c r="E333" s="25" t="str">
        <f>IFERROR(__xludf.DUMMYFUNCTION("""COMPUTED_VALUE"""),"")</f>
        <v/>
      </c>
      <c r="F333" s="2" t="str">
        <f>IFERROR(__xludf.DUMMYFUNCTION("""COMPUTED_VALUE"""),"Ф28 S303")</f>
        <v>Ф28 S303</v>
      </c>
      <c r="G333" s="2" t="str">
        <f>IFERROR(__xludf.DUMMYFUNCTION("""COMPUTED_VALUE"""),"")</f>
        <v/>
      </c>
      <c r="H333" s="23" t="str">
        <f>IFERROR(__xludf.DUMMYFUNCTION("""COMPUTED_VALUE"""),"")</f>
        <v/>
      </c>
      <c r="I333" s="2" t="str">
        <f>IFERROR(__xludf.DUMMYFUNCTION("""COMPUTED_VALUE"""),"")</f>
        <v/>
      </c>
      <c r="J333" s="27" t="str">
        <f>IFERROR(__xludf.DUMMYFUNCTION("""COMPUTED_VALUE"""),"")</f>
        <v/>
      </c>
      <c r="K333" s="23" t="str">
        <f>IFERROR(__xludf.DUMMYFUNCTION("""COMPUTED_VALUE"""),"")</f>
        <v/>
      </c>
      <c r="L333" s="2" t="str">
        <f>IFERROR(__xludf.DUMMYFUNCTION("""COMPUTED_VALUE"""),"")</f>
        <v/>
      </c>
      <c r="M333" s="27" t="str">
        <f>IFERROR(__xludf.DUMMYFUNCTION("""COMPUTED_VALUE"""),"")</f>
        <v/>
      </c>
      <c r="N333" s="23" t="str">
        <f>IFERROR(__xludf.DUMMYFUNCTION("""COMPUTED_VALUE"""),"")</f>
        <v/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0" t="str">
        <f>IFERROR(__xludf.DUMMYFUNCTION("""COMPUTED_VALUE"""),"22133200B")</f>
        <v>22133200B</v>
      </c>
      <c r="B334" s="22" t="str">
        <f>IFERROR(__xludf.DUMMYFUNCTION("""COMPUTED_VALUE"""),"DC25 Flange For H20 Seal used in 575-92014")</f>
        <v>DC25 Flange For H20 Seal used in 575-92014</v>
      </c>
      <c r="C334" s="23">
        <f>IFERROR(__xludf.DUMMYFUNCTION("""COMPUTED_VALUE"""),0.68688)</f>
        <v>0.68688</v>
      </c>
      <c r="D334" s="23">
        <f>IFERROR(__xludf.DUMMYFUNCTION("""COMPUTED_VALUE"""),0.68688)</f>
        <v>0.68688</v>
      </c>
      <c r="E334" s="25">
        <f>IFERROR(__xludf.DUMMYFUNCTION("""COMPUTED_VALUE"""),1.0)</f>
        <v>1</v>
      </c>
      <c r="F334" s="2" t="str">
        <f>IFERROR(__xludf.DUMMYFUNCTION("""COMPUTED_VALUE"""),"")</f>
        <v/>
      </c>
      <c r="G334" s="27" t="str">
        <f>IFERROR(__xludf.DUMMYFUNCTION("""COMPUTED_VALUE"""),"")</f>
        <v/>
      </c>
      <c r="H334" s="23" t="str">
        <f>IFERROR(__xludf.DUMMYFUNCTION("""COMPUTED_VALUE"""),"")</f>
        <v/>
      </c>
      <c r="I334" s="2" t="str">
        <f>IFERROR(__xludf.DUMMYFUNCTION("""COMPUTED_VALUE"""),"Ф65 AL 2017 Italy")</f>
        <v>Ф65 AL 2017 Italy</v>
      </c>
      <c r="J334" s="27">
        <f>IFERROR(__xludf.DUMMYFUNCTION("""COMPUTED_VALUE"""),0.053)</f>
        <v>0.053</v>
      </c>
      <c r="K334" s="23">
        <f>IFERROR(__xludf.DUMMYFUNCTION("""COMPUTED_VALUE"""),0.68688)</f>
        <v>0.68688</v>
      </c>
      <c r="L334" s="2" t="str">
        <f>IFERROR(__xludf.DUMMYFUNCTION("""COMPUTED_VALUE"""),"")</f>
        <v/>
      </c>
      <c r="M334" s="27" t="str">
        <f>IFERROR(__xludf.DUMMYFUNCTION("""COMPUTED_VALUE"""),"")</f>
        <v/>
      </c>
      <c r="N334" s="23" t="str">
        <f>IFERROR(__xludf.DUMMYFUNCTION("""COMPUTED_VALUE"""),"")</f>
        <v/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0">
        <f>IFERROR(__xludf.DUMMYFUNCTION("""COMPUTED_VALUE"""),2.11404E8)</f>
        <v>211404000</v>
      </c>
      <c r="B335" s="22" t="str">
        <f>IFERROR(__xludf.DUMMYFUNCTION("""COMPUTED_VALUE"""),"NR60 ENCODER 10MM MULTITURN SHAFT W/ FLAT")</f>
        <v>NR60 ENCODER 10MM MULTITURN SHAFT W/ FLAT</v>
      </c>
      <c r="C335" s="23">
        <f>IFERROR(__xludf.DUMMYFUNCTION("""COMPUTED_VALUE"""),0.0)</f>
        <v>0</v>
      </c>
      <c r="D335" s="2" t="str">
        <f>IFERROR(__xludf.DUMMYFUNCTION("""COMPUTED_VALUE"""),"")</f>
        <v/>
      </c>
      <c r="E335" s="25" t="str">
        <f>IFERROR(__xludf.DUMMYFUNCTION("""COMPUTED_VALUE"""),"")</f>
        <v/>
      </c>
      <c r="F335" s="2" t="str">
        <f>IFERROR(__xludf.DUMMYFUNCTION("""COMPUTED_VALUE"""),"")</f>
        <v/>
      </c>
      <c r="G335" s="27" t="str">
        <f>IFERROR(__xludf.DUMMYFUNCTION("""COMPUTED_VALUE"""),"")</f>
        <v/>
      </c>
      <c r="H335" s="23" t="str">
        <f>IFERROR(__xludf.DUMMYFUNCTION("""COMPUTED_VALUE"""),"")</f>
        <v/>
      </c>
      <c r="I335" s="2" t="str">
        <f>IFERROR(__xludf.DUMMYFUNCTION("""COMPUTED_VALUE"""),"")</f>
        <v/>
      </c>
      <c r="J335" s="27" t="str">
        <f>IFERROR(__xludf.DUMMYFUNCTION("""COMPUTED_VALUE"""),"")</f>
        <v/>
      </c>
      <c r="K335" s="23" t="str">
        <f>IFERROR(__xludf.DUMMYFUNCTION("""COMPUTED_VALUE"""),"")</f>
        <v/>
      </c>
      <c r="L335" s="2" t="str">
        <f>IFERROR(__xludf.DUMMYFUNCTION("""COMPUTED_VALUE"""),"")</f>
        <v/>
      </c>
      <c r="M335" s="27" t="str">
        <f>IFERROR(__xludf.DUMMYFUNCTION("""COMPUTED_VALUE"""),"")</f>
        <v/>
      </c>
      <c r="N335" s="23" t="str">
        <f>IFERROR(__xludf.DUMMYFUNCTION("""COMPUTED_VALUE"""),"")</f>
        <v/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0" t="str">
        <f>IFERROR(__xludf.DUMMYFUNCTION("""COMPUTED_VALUE"""),"575-60003")</f>
        <v>575-60003</v>
      </c>
      <c r="B336" s="22" t="str">
        <f>IFERROR(__xludf.DUMMYFUNCTION("""COMPUTED_VALUE"""),"NR60 MULTITURN BODY 10MM SHAFT NITR. SEAL 58MM SERVO END CONN")</f>
        <v>NR60 MULTITURN BODY 10MM SHAFT NITR. SEAL 58MM SERVO END CONN</v>
      </c>
      <c r="C336" s="23">
        <f>IFERROR(__xludf.DUMMYFUNCTION("""COMPUTED_VALUE"""),3.6806400000000004)</f>
        <v>3.68064</v>
      </c>
      <c r="D336" s="23">
        <f>IFERROR(__xludf.DUMMYFUNCTION("""COMPUTED_VALUE"""),3.6806400000000004)</f>
        <v>3.68064</v>
      </c>
      <c r="E336" s="25" t="str">
        <f>IFERROR(__xludf.DUMMYFUNCTION("""COMPUTED_VALUE"""),"")</f>
        <v/>
      </c>
      <c r="F336" s="2" t="str">
        <f>IFERROR(__xludf.DUMMYFUNCTION("""COMPUTED_VALUE"""),"Ф62 AL 2017 Italy")</f>
        <v>Ф62 AL 2017 Italy</v>
      </c>
      <c r="G336" s="27">
        <f>IFERROR(__xludf.DUMMYFUNCTION("""COMPUTED_VALUE"""),0.216)</f>
        <v>0.216</v>
      </c>
      <c r="H336" s="23">
        <f>IFERROR(__xludf.DUMMYFUNCTION("""COMPUTED_VALUE"""),2.79936)</f>
        <v>2.79936</v>
      </c>
      <c r="I336" s="2" t="str">
        <f>IFERROR(__xludf.DUMMYFUNCTION("""COMPUTED_VALUE"""),"Ф62 AL 2017 Italy")</f>
        <v>Ф62 AL 2017 Italy</v>
      </c>
      <c r="J336" s="27">
        <f>IFERROR(__xludf.DUMMYFUNCTION("""COMPUTED_VALUE"""),0.068)</f>
        <v>0.068</v>
      </c>
      <c r="K336" s="23">
        <f>IFERROR(__xludf.DUMMYFUNCTION("""COMPUTED_VALUE"""),0.8812800000000002)</f>
        <v>0.88128</v>
      </c>
      <c r="L336" s="2" t="str">
        <f>IFERROR(__xludf.DUMMYFUNCTION("""COMPUTED_VALUE"""),"")</f>
        <v/>
      </c>
      <c r="M336" s="27" t="str">
        <f>IFERROR(__xludf.DUMMYFUNCTION("""COMPUTED_VALUE"""),"")</f>
        <v/>
      </c>
      <c r="N336" s="23" t="str">
        <f>IFERROR(__xludf.DUMMYFUNCTION("""COMPUTED_VALUE"""),"")</f>
        <v/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0" t="str">
        <f>IFERROR(__xludf.DUMMYFUNCTION("""COMPUTED_VALUE"""),"21134801A")</f>
        <v>21134801A</v>
      </c>
      <c r="B337" s="22" t="str">
        <f>IFERROR(__xludf.DUMMYFUNCTION("""COMPUTED_VALUE"""),"Multiturn Brass Standoff for stainless steel body.4-40 thread on bottom")</f>
        <v>Multiturn Brass Standoff for stainless steel body.4-40 thread on bottom</v>
      </c>
      <c r="C337" s="23">
        <f>IFERROR(__xludf.DUMMYFUNCTION("""COMPUTED_VALUE"""),0.0)</f>
        <v>0</v>
      </c>
      <c r="D337" s="2" t="str">
        <f>IFERROR(__xludf.DUMMYFUNCTION("""COMPUTED_VALUE"""),"")</f>
        <v/>
      </c>
      <c r="E337" s="25" t="str">
        <f>IFERROR(__xludf.DUMMYFUNCTION("""COMPUTED_VALUE"""),"")</f>
        <v/>
      </c>
      <c r="F337" s="2" t="str">
        <f>IFERROR(__xludf.DUMMYFUNCTION("""COMPUTED_VALUE"""),"")</f>
        <v/>
      </c>
      <c r="G337" s="27" t="str">
        <f>IFERROR(__xludf.DUMMYFUNCTION("""COMPUTED_VALUE"""),"")</f>
        <v/>
      </c>
      <c r="H337" s="23" t="str">
        <f>IFERROR(__xludf.DUMMYFUNCTION("""COMPUTED_VALUE"""),"")</f>
        <v/>
      </c>
      <c r="I337" s="2" t="str">
        <f>IFERROR(__xludf.DUMMYFUNCTION("""COMPUTED_VALUE"""),"")</f>
        <v/>
      </c>
      <c r="J337" s="27" t="str">
        <f>IFERROR(__xludf.DUMMYFUNCTION("""COMPUTED_VALUE"""),"")</f>
        <v/>
      </c>
      <c r="K337" s="23" t="str">
        <f>IFERROR(__xludf.DUMMYFUNCTION("""COMPUTED_VALUE"""),"")</f>
        <v/>
      </c>
      <c r="L337" s="2" t="str">
        <f>IFERROR(__xludf.DUMMYFUNCTION("""COMPUTED_VALUE"""),"")</f>
        <v/>
      </c>
      <c r="M337" s="27" t="str">
        <f>IFERROR(__xludf.DUMMYFUNCTION("""COMPUTED_VALUE"""),"")</f>
        <v/>
      </c>
      <c r="N337" s="23" t="str">
        <f>IFERROR(__xludf.DUMMYFUNCTION("""COMPUTED_VALUE"""),"")</f>
        <v/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2" t="str">
        <f>IFERROR(__xludf.DUMMYFUNCTION("""COMPUTED_VALUE""")," 575-95002")</f>
        <v> 575-95002</v>
      </c>
      <c r="B338" s="22" t="str">
        <f>IFERROR(__xludf.DUMMYFUNCTION("""COMPUTED_VALUE"""),"Transformer Assembly for HT-20C/H25/HTE/DC25/NR25")</f>
        <v>Transformer Assembly for HT-20C/H25/HTE/DC25/NR25</v>
      </c>
      <c r="C338" s="2"/>
      <c r="D338" s="2" t="str">
        <f>IFERROR(__xludf.DUMMYFUNCTION("""COMPUTED_VALUE"""),"")</f>
        <v/>
      </c>
      <c r="E338" s="25" t="str">
        <f>IFERROR(__xludf.DUMMYFUNCTION("""COMPUTED_VALUE"""),"")</f>
        <v/>
      </c>
      <c r="F338" s="2"/>
      <c r="G338" s="2" t="str">
        <f>IFERROR(__xludf.DUMMYFUNCTION("""COMPUTED_VALUE"""),"")</f>
        <v/>
      </c>
      <c r="H338" s="23"/>
      <c r="I338" s="2"/>
      <c r="J338" s="27"/>
      <c r="K338" s="23"/>
      <c r="L338" s="2"/>
      <c r="M338" s="27"/>
      <c r="N338" s="2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2" t="str">
        <f>IFERROR(__xludf.DUMMYFUNCTION("""COMPUTED_VALUE""")," 575-95003")</f>
        <v> 575-95003</v>
      </c>
      <c r="B339" s="22" t="str">
        <f>IFERROR(__xludf.DUMMYFUNCTION("""COMPUTED_VALUE"""),"Size25 Transformer Shell Part 1 with slot for wires Machined Powder metal")</f>
        <v>Size25 Transformer Shell Part 1 with slot for wires Machined Powder metal</v>
      </c>
      <c r="C339" s="2"/>
      <c r="D339" s="2" t="str">
        <f>IFERROR(__xludf.DUMMYFUNCTION("""COMPUTED_VALUE"""),"")</f>
        <v/>
      </c>
      <c r="E339" s="25" t="str">
        <f>IFERROR(__xludf.DUMMYFUNCTION("""COMPUTED_VALUE"""),"")</f>
        <v/>
      </c>
      <c r="F339" s="2"/>
      <c r="G339" s="2" t="str">
        <f>IFERROR(__xludf.DUMMYFUNCTION("""COMPUTED_VALUE"""),"")</f>
        <v/>
      </c>
      <c r="H339" s="23"/>
      <c r="I339" s="2"/>
      <c r="J339" s="27"/>
      <c r="K339" s="23"/>
      <c r="L339" s="2"/>
      <c r="M339" s="27"/>
      <c r="N339" s="2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2" t="str">
        <f>IFERROR(__xludf.DUMMYFUNCTION("""COMPUTED_VALUE"""),"575-95004")</f>
        <v>575-95004</v>
      </c>
      <c r="B340" s="22" t="str">
        <f>IFERROR(__xludf.DUMMYFUNCTION("""COMPUTED_VALUE"""),"Size25 Transformer Shell Part 2 Machined Powder metal")</f>
        <v>Size25 Transformer Shell Part 2 Machined Powder metal</v>
      </c>
      <c r="C340" s="2"/>
      <c r="D340" s="2" t="str">
        <f>IFERROR(__xludf.DUMMYFUNCTION("""COMPUTED_VALUE"""),"")</f>
        <v/>
      </c>
      <c r="E340" s="25" t="str">
        <f>IFERROR(__xludf.DUMMYFUNCTION("""COMPUTED_VALUE"""),"")</f>
        <v/>
      </c>
      <c r="F340" s="2"/>
      <c r="G340" s="2" t="str">
        <f>IFERROR(__xludf.DUMMYFUNCTION("""COMPUTED_VALUE"""),"")</f>
        <v/>
      </c>
      <c r="H340" s="23"/>
      <c r="I340" s="2"/>
      <c r="J340" s="27"/>
      <c r="K340" s="23"/>
      <c r="L340" s="2"/>
      <c r="M340" s="27"/>
      <c r="N340" s="2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0" t="str">
        <f>IFERROR(__xludf.DUMMYFUNCTION("""COMPUTED_VALUE"""),"575-95005")</f>
        <v>575-95005</v>
      </c>
      <c r="B341" s="22" t="str">
        <f>IFERROR(__xludf.DUMMYFUNCTION("""COMPUTED_VALUE"""),"H25-FE-R3HC-11 Rotor Assembly Ref # 211323000 flat on shaft For 150 degC Resolver")</f>
        <v>H25-FE-R3HC-11 Rotor Assembly Ref # 211323000 flat on shaft For 150 degC Resolver</v>
      </c>
      <c r="C341" s="23">
        <f>IFERROR(__xludf.DUMMYFUNCTION("""COMPUTED_VALUE"""),0.0)</f>
        <v>0</v>
      </c>
      <c r="D341" s="2" t="str">
        <f>IFERROR(__xludf.DUMMYFUNCTION("""COMPUTED_VALUE"""),"")</f>
        <v/>
      </c>
      <c r="E341" s="25" t="str">
        <f>IFERROR(__xludf.DUMMYFUNCTION("""COMPUTED_VALUE"""),"")</f>
        <v/>
      </c>
      <c r="F341" s="2" t="str">
        <f>IFERROR(__xludf.DUMMYFUNCTION("""COMPUTED_VALUE"""),"")</f>
        <v/>
      </c>
      <c r="G341" s="27" t="str">
        <f>IFERROR(__xludf.DUMMYFUNCTION("""COMPUTED_VALUE"""),"")</f>
        <v/>
      </c>
      <c r="H341" s="23" t="str">
        <f>IFERROR(__xludf.DUMMYFUNCTION("""COMPUTED_VALUE"""),"")</f>
        <v/>
      </c>
      <c r="I341" s="2" t="str">
        <f>IFERROR(__xludf.DUMMYFUNCTION("""COMPUTED_VALUE"""),"")</f>
        <v/>
      </c>
      <c r="J341" s="27" t="str">
        <f>IFERROR(__xludf.DUMMYFUNCTION("""COMPUTED_VALUE"""),"")</f>
        <v/>
      </c>
      <c r="K341" s="23" t="str">
        <f>IFERROR(__xludf.DUMMYFUNCTION("""COMPUTED_VALUE"""),"")</f>
        <v/>
      </c>
      <c r="L341" s="2" t="str">
        <f>IFERROR(__xludf.DUMMYFUNCTION("""COMPUTED_VALUE"""),"")</f>
        <v/>
      </c>
      <c r="M341" s="27" t="str">
        <f>IFERROR(__xludf.DUMMYFUNCTION("""COMPUTED_VALUE"""),"")</f>
        <v/>
      </c>
      <c r="N341" s="23" t="str">
        <f>IFERROR(__xludf.DUMMYFUNCTION("""COMPUTED_VALUE"""),"")</f>
        <v/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0" t="str">
        <f>IFERROR(__xludf.DUMMYFUNCTION("""COMPUTED_VALUE"""),"21134202D")</f>
        <v>21134202D</v>
      </c>
      <c r="B342" s="22"/>
      <c r="C342" s="23">
        <f>IFERROR(__xludf.DUMMYFUNCTION("""COMPUTED_VALUE"""),0.0)</f>
        <v>0</v>
      </c>
      <c r="D342" s="2" t="str">
        <f>IFERROR(__xludf.DUMMYFUNCTION("""COMPUTED_VALUE"""),"")</f>
        <v/>
      </c>
      <c r="E342" s="25" t="str">
        <f>IFERROR(__xludf.DUMMYFUNCTION("""COMPUTED_VALUE"""),"")</f>
        <v/>
      </c>
      <c r="F342" s="2" t="str">
        <f>IFERROR(__xludf.DUMMYFUNCTION("""COMPUTED_VALUE"""),"")</f>
        <v/>
      </c>
      <c r="G342" s="27" t="str">
        <f>IFERROR(__xludf.DUMMYFUNCTION("""COMPUTED_VALUE"""),"")</f>
        <v/>
      </c>
      <c r="H342" s="23" t="str">
        <f>IFERROR(__xludf.DUMMYFUNCTION("""COMPUTED_VALUE"""),"")</f>
        <v/>
      </c>
      <c r="I342" s="2" t="str">
        <f>IFERROR(__xludf.DUMMYFUNCTION("""COMPUTED_VALUE"""),"")</f>
        <v/>
      </c>
      <c r="J342" s="27" t="str">
        <f>IFERROR(__xludf.DUMMYFUNCTION("""COMPUTED_VALUE"""),"")</f>
        <v/>
      </c>
      <c r="K342" s="23" t="str">
        <f>IFERROR(__xludf.DUMMYFUNCTION("""COMPUTED_VALUE"""),"")</f>
        <v/>
      </c>
      <c r="L342" s="2" t="str">
        <f>IFERROR(__xludf.DUMMYFUNCTION("""COMPUTED_VALUE"""),"Ф62 AL 2017 Italy")</f>
        <v>Ф62 AL 2017 Italy</v>
      </c>
      <c r="M342" s="27">
        <f>IFERROR(__xludf.DUMMYFUNCTION("""COMPUTED_VALUE"""),0.0)</f>
        <v>0</v>
      </c>
      <c r="N342" s="23">
        <f>IFERROR(__xludf.DUMMYFUNCTION("""COMPUTED_VALUE"""),0.0)</f>
        <v>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0" t="str">
        <f>IFERROR(__xludf.DUMMYFUNCTION("""COMPUTED_VALUE"""),"21139000A")</f>
        <v>21139000A</v>
      </c>
      <c r="B343" s="22" t="str">
        <f>IFERROR(__xludf.DUMMYFUNCTION("""COMPUTED_VALUE"""),"NR60 Encoder Rear Cover- End. Conn.")</f>
        <v>NR60 Encoder Rear Cover- End. Conn.</v>
      </c>
      <c r="C343" s="23">
        <f>IFERROR(__xludf.DUMMYFUNCTION("""COMPUTED_VALUE"""),1.08864)</f>
        <v>1.08864</v>
      </c>
      <c r="D343" s="23">
        <f>IFERROR(__xludf.DUMMYFUNCTION("""COMPUTED_VALUE"""),1.08864)</f>
        <v>1.08864</v>
      </c>
      <c r="E343" s="25">
        <f>IFERROR(__xludf.DUMMYFUNCTION("""COMPUTED_VALUE"""),1.0)</f>
        <v>1</v>
      </c>
      <c r="F343" s="2" t="str">
        <f>IFERROR(__xludf.DUMMYFUNCTION("""COMPUTED_VALUE"""),"")</f>
        <v/>
      </c>
      <c r="G343" s="27" t="str">
        <f>IFERROR(__xludf.DUMMYFUNCTION("""COMPUTED_VALUE"""),"")</f>
        <v/>
      </c>
      <c r="H343" s="23" t="str">
        <f>IFERROR(__xludf.DUMMYFUNCTION("""COMPUTED_VALUE"""),"")</f>
        <v/>
      </c>
      <c r="I343" s="2" t="str">
        <f>IFERROR(__xludf.DUMMYFUNCTION("""COMPUTED_VALUE"""),"")</f>
        <v/>
      </c>
      <c r="J343" s="27" t="str">
        <f>IFERROR(__xludf.DUMMYFUNCTION("""COMPUTED_VALUE"""),"")</f>
        <v/>
      </c>
      <c r="K343" s="23" t="str">
        <f>IFERROR(__xludf.DUMMYFUNCTION("""COMPUTED_VALUE"""),"")</f>
        <v/>
      </c>
      <c r="L343" s="2" t="str">
        <f>IFERROR(__xludf.DUMMYFUNCTION("""COMPUTED_VALUE"""),"Ф62 AL 2017 Italy")</f>
        <v>Ф62 AL 2017 Italy</v>
      </c>
      <c r="M343" s="27">
        <f>IFERROR(__xludf.DUMMYFUNCTION("""COMPUTED_VALUE"""),0.084)</f>
        <v>0.084</v>
      </c>
      <c r="N343" s="23">
        <f>IFERROR(__xludf.DUMMYFUNCTION("""COMPUTED_VALUE"""),1.08864)</f>
        <v>1.08864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0" t="str">
        <f>IFERROR(__xludf.DUMMYFUNCTION("""COMPUTED_VALUE"""),"21141100А")</f>
        <v>21141100А</v>
      </c>
      <c r="B344" s="22" t="str">
        <f>IFERROR(__xludf.DUMMYFUNCTION("""COMPUTED_VALUE"""),"NR60 Encoder 3/8"" Multiturn shaft w/ flat")</f>
        <v>NR60 Encoder 3/8" Multiturn shaft w/ flat</v>
      </c>
      <c r="C344" s="23">
        <f>IFERROR(__xludf.DUMMYFUNCTION("""COMPUTED_VALUE"""),0.0)</f>
        <v>0</v>
      </c>
      <c r="D344" s="2" t="str">
        <f>IFERROR(__xludf.DUMMYFUNCTION("""COMPUTED_VALUE"""),"")</f>
        <v/>
      </c>
      <c r="E344" s="25" t="str">
        <f>IFERROR(__xludf.DUMMYFUNCTION("""COMPUTED_VALUE"""),"")</f>
        <v/>
      </c>
      <c r="F344" s="2" t="str">
        <f>IFERROR(__xludf.DUMMYFUNCTION("""COMPUTED_VALUE"""),"")</f>
        <v/>
      </c>
      <c r="G344" s="27" t="str">
        <f>IFERROR(__xludf.DUMMYFUNCTION("""COMPUTED_VALUE"""),"")</f>
        <v/>
      </c>
      <c r="H344" s="23" t="str">
        <f>IFERROR(__xludf.DUMMYFUNCTION("""COMPUTED_VALUE"""),"")</f>
        <v/>
      </c>
      <c r="I344" s="2" t="str">
        <f>IFERROR(__xludf.DUMMYFUNCTION("""COMPUTED_VALUE"""),"")</f>
        <v/>
      </c>
      <c r="J344" s="27" t="str">
        <f>IFERROR(__xludf.DUMMYFUNCTION("""COMPUTED_VALUE"""),"")</f>
        <v/>
      </c>
      <c r="K344" s="23" t="str">
        <f>IFERROR(__xludf.DUMMYFUNCTION("""COMPUTED_VALUE"""),"")</f>
        <v/>
      </c>
      <c r="L344" s="2" t="str">
        <f>IFERROR(__xludf.DUMMYFUNCTION("""COMPUTED_VALUE"""),"")</f>
        <v/>
      </c>
      <c r="M344" s="27" t="str">
        <f>IFERROR(__xludf.DUMMYFUNCTION("""COMPUTED_VALUE"""),"")</f>
        <v/>
      </c>
      <c r="N344" s="23" t="str">
        <f>IFERROR(__xludf.DUMMYFUNCTION("""COMPUTED_VALUE"""),"")</f>
        <v/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0" t="str">
        <f>IFERROR(__xludf.DUMMYFUNCTION("""COMPUTED_VALUE"""),"22146701A")</f>
        <v>22146701A</v>
      </c>
      <c r="B345" s="22" t="str">
        <f>IFERROR(__xludf.DUMMYFUNCTION("""COMPUTED_VALUE"""),"Rear covers for DC60 Analog Encoder")</f>
        <v>Rear covers for DC60 Analog Encoder</v>
      </c>
      <c r="C345" s="23">
        <f>IFERROR(__xludf.DUMMYFUNCTION("""COMPUTED_VALUE"""),0.5184000000000001)</f>
        <v>0.5184</v>
      </c>
      <c r="D345" s="23">
        <f>IFERROR(__xludf.DUMMYFUNCTION("""COMPUTED_VALUE"""),0.5184000000000001)</f>
        <v>0.5184</v>
      </c>
      <c r="E345" s="25">
        <f>IFERROR(__xludf.DUMMYFUNCTION("""COMPUTED_VALUE"""),1.0)</f>
        <v>1</v>
      </c>
      <c r="F345" s="2" t="str">
        <f>IFERROR(__xludf.DUMMYFUNCTION("""COMPUTED_VALUE"""),"")</f>
        <v/>
      </c>
      <c r="G345" s="27" t="str">
        <f>IFERROR(__xludf.DUMMYFUNCTION("""COMPUTED_VALUE"""),"")</f>
        <v/>
      </c>
      <c r="H345" s="23" t="str">
        <f>IFERROR(__xludf.DUMMYFUNCTION("""COMPUTED_VALUE"""),"")</f>
        <v/>
      </c>
      <c r="I345" s="2" t="str">
        <f>IFERROR(__xludf.DUMMYFUNCTION("""COMPUTED_VALUE"""),"")</f>
        <v/>
      </c>
      <c r="J345" s="27" t="str">
        <f>IFERROR(__xludf.DUMMYFUNCTION("""COMPUTED_VALUE"""),"")</f>
        <v/>
      </c>
      <c r="K345" s="23" t="str">
        <f>IFERROR(__xludf.DUMMYFUNCTION("""COMPUTED_VALUE"""),"")</f>
        <v/>
      </c>
      <c r="L345" s="2" t="str">
        <f>IFERROR(__xludf.DUMMYFUNCTION("""COMPUTED_VALUE"""),"Ф65 AL 2017 Italy")</f>
        <v>Ф65 AL 2017 Italy</v>
      </c>
      <c r="M345" s="27">
        <f>IFERROR(__xludf.DUMMYFUNCTION("""COMPUTED_VALUE"""),0.04)</f>
        <v>0.04</v>
      </c>
      <c r="N345" s="23">
        <f>IFERROR(__xludf.DUMMYFUNCTION("""COMPUTED_VALUE"""),0.5184000000000001)</f>
        <v>0.5184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0">
        <f>IFERROR(__xludf.DUMMYFUNCTION("""COMPUTED_VALUE"""),2.11415E8)</f>
        <v>211415000</v>
      </c>
      <c r="B346" s="22" t="str">
        <f>IFERROR(__xludf.DUMMYFUNCTION("""COMPUTED_VALUE"""),"DC25&amp;H25 3/8"" shaft muktiturn w/ 3mm key")</f>
        <v>DC25&amp;H25 3/8" shaft muktiturn w/ 3mm key</v>
      </c>
      <c r="C346" s="23">
        <f>IFERROR(__xludf.DUMMYFUNCTION("""COMPUTED_VALUE"""),0.0)</f>
        <v>0</v>
      </c>
      <c r="D346" s="2" t="str">
        <f>IFERROR(__xludf.DUMMYFUNCTION("""COMPUTED_VALUE"""),"")</f>
        <v/>
      </c>
      <c r="E346" s="25" t="str">
        <f>IFERROR(__xludf.DUMMYFUNCTION("""COMPUTED_VALUE"""),"")</f>
        <v/>
      </c>
      <c r="F346" s="2" t="str">
        <f>IFERROR(__xludf.DUMMYFUNCTION("""COMPUTED_VALUE"""),"")</f>
        <v/>
      </c>
      <c r="G346" s="27" t="str">
        <f>IFERROR(__xludf.DUMMYFUNCTION("""COMPUTED_VALUE"""),"")</f>
        <v/>
      </c>
      <c r="H346" s="23" t="str">
        <f>IFERROR(__xludf.DUMMYFUNCTION("""COMPUTED_VALUE"""),"")</f>
        <v/>
      </c>
      <c r="I346" s="2" t="str">
        <f>IFERROR(__xludf.DUMMYFUNCTION("""COMPUTED_VALUE"""),"")</f>
        <v/>
      </c>
      <c r="J346" s="27" t="str">
        <f>IFERROR(__xludf.DUMMYFUNCTION("""COMPUTED_VALUE"""),"")</f>
        <v/>
      </c>
      <c r="K346" s="23" t="str">
        <f>IFERROR(__xludf.DUMMYFUNCTION("""COMPUTED_VALUE"""),"")</f>
        <v/>
      </c>
      <c r="L346" s="2" t="str">
        <f>IFERROR(__xludf.DUMMYFUNCTION("""COMPUTED_VALUE"""),"")</f>
        <v/>
      </c>
      <c r="M346" s="27" t="str">
        <f>IFERROR(__xludf.DUMMYFUNCTION("""COMPUTED_VALUE"""),"")</f>
        <v/>
      </c>
      <c r="N346" s="23" t="str">
        <f>IFERROR(__xludf.DUMMYFUNCTION("""COMPUTED_VALUE"""),"")</f>
        <v/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0">
        <f>IFERROR(__xludf.DUMMYFUNCTION("""COMPUTED_VALUE"""),2.11442E8)</f>
        <v>211442000</v>
      </c>
      <c r="B347" s="22" t="str">
        <f>IFERROR(__xludf.DUMMYFUNCTION("""COMPUTED_VALUE"""),"H25-F1E 3/8"" shaft with keyway")</f>
        <v>H25-F1E 3/8" shaft with keyway</v>
      </c>
      <c r="C347" s="23">
        <f>IFERROR(__xludf.DUMMYFUNCTION("""COMPUTED_VALUE"""),0.0)</f>
        <v>0</v>
      </c>
      <c r="D347" s="2" t="str">
        <f>IFERROR(__xludf.DUMMYFUNCTION("""COMPUTED_VALUE"""),"")</f>
        <v/>
      </c>
      <c r="E347" s="25" t="str">
        <f>IFERROR(__xludf.DUMMYFUNCTION("""COMPUTED_VALUE"""),"")</f>
        <v/>
      </c>
      <c r="F347" s="2" t="str">
        <f>IFERROR(__xludf.DUMMYFUNCTION("""COMPUTED_VALUE"""),"")</f>
        <v/>
      </c>
      <c r="G347" s="27" t="str">
        <f>IFERROR(__xludf.DUMMYFUNCTION("""COMPUTED_VALUE"""),"")</f>
        <v/>
      </c>
      <c r="H347" s="23" t="str">
        <f>IFERROR(__xludf.DUMMYFUNCTION("""COMPUTED_VALUE"""),"")</f>
        <v/>
      </c>
      <c r="I347" s="2" t="str">
        <f>IFERROR(__xludf.DUMMYFUNCTION("""COMPUTED_VALUE"""),"")</f>
        <v/>
      </c>
      <c r="J347" s="27" t="str">
        <f>IFERROR(__xludf.DUMMYFUNCTION("""COMPUTED_VALUE"""),"")</f>
        <v/>
      </c>
      <c r="K347" s="23" t="str">
        <f>IFERROR(__xludf.DUMMYFUNCTION("""COMPUTED_VALUE"""),"")</f>
        <v/>
      </c>
      <c r="L347" s="2" t="str">
        <f>IFERROR(__xludf.DUMMYFUNCTION("""COMPUTED_VALUE"""),"")</f>
        <v/>
      </c>
      <c r="M347" s="27" t="str">
        <f>IFERROR(__xludf.DUMMYFUNCTION("""COMPUTED_VALUE"""),"")</f>
        <v/>
      </c>
      <c r="N347" s="23" t="str">
        <f>IFERROR(__xludf.DUMMYFUNCTION("""COMPUTED_VALUE"""),"")</f>
        <v/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0" t="str">
        <f>IFERROR(__xludf.DUMMYFUNCTION("""COMPUTED_VALUE"""),"575-94001-2")</f>
        <v>575-94001-2</v>
      </c>
      <c r="B348" s="22" t="str">
        <f>IFERROR(__xludf.DUMMYFUNCTION("""COMPUTED_VALUE"""),"NR25T, Multiturn Body TURCK 10mm shaft w/ flat;end con. servo nose; w/o rear cover")</f>
        <v>NR25T, Multiturn Body TURCK 10mm shaft w/ flat;end con. servo nose; w/o rear cover</v>
      </c>
      <c r="C348" s="23">
        <f>IFERROR(__xludf.DUMMYFUNCTION("""COMPUTED_VALUE"""),3.1104000000000003)</f>
        <v>3.1104</v>
      </c>
      <c r="D348" s="23">
        <f>IFERROR(__xludf.DUMMYFUNCTION("""COMPUTED_VALUE"""),3.1104000000000003)</f>
        <v>3.1104</v>
      </c>
      <c r="E348" s="25" t="str">
        <f>IFERROR(__xludf.DUMMYFUNCTION("""COMPUTED_VALUE"""),"")</f>
        <v/>
      </c>
      <c r="F348" s="2" t="str">
        <f>IFERROR(__xludf.DUMMYFUNCTION("""COMPUTED_VALUE"""),"Ф65 AL 2017 Italy")</f>
        <v>Ф65 AL 2017 Italy</v>
      </c>
      <c r="G348" s="27">
        <f>IFERROR(__xludf.DUMMYFUNCTION("""COMPUTED_VALUE"""),0.24)</f>
        <v>0.24</v>
      </c>
      <c r="H348" s="23">
        <f>IFERROR(__xludf.DUMMYFUNCTION("""COMPUTED_VALUE"""),3.1104000000000003)</f>
        <v>3.1104</v>
      </c>
      <c r="I348" s="2"/>
      <c r="J348" s="27">
        <f>IFERROR(__xludf.DUMMYFUNCTION("""COMPUTED_VALUE"""),0.0)</f>
        <v>0</v>
      </c>
      <c r="K348" s="23" t="str">
        <f>IFERROR(__xludf.DUMMYFUNCTION("""COMPUTED_VALUE"""),"")</f>
        <v/>
      </c>
      <c r="L348" s="2" t="str">
        <f>IFERROR(__xludf.DUMMYFUNCTION("""COMPUTED_VALUE"""),"")</f>
        <v/>
      </c>
      <c r="M348" s="27" t="str">
        <f>IFERROR(__xludf.DUMMYFUNCTION("""COMPUTED_VALUE"""),"")</f>
        <v/>
      </c>
      <c r="N348" s="23" t="str">
        <f>IFERROR(__xludf.DUMMYFUNCTION("""COMPUTED_VALUE"""),"")</f>
        <v/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0">
        <f>IFERROR(__xludf.DUMMYFUNCTION("""COMPUTED_VALUE"""),2.1111206E8)</f>
        <v>211112060</v>
      </c>
      <c r="B349" s="22"/>
      <c r="C349" s="23">
        <f>IFERROR(__xludf.DUMMYFUNCTION("""COMPUTED_VALUE"""),0.0)</f>
        <v>0</v>
      </c>
      <c r="D349" s="2" t="str">
        <f>IFERROR(__xludf.DUMMYFUNCTION("""COMPUTED_VALUE"""),"")</f>
        <v/>
      </c>
      <c r="E349" s="25">
        <f>IFERROR(__xludf.DUMMYFUNCTION("""COMPUTED_VALUE"""),1.0)</f>
        <v>1</v>
      </c>
      <c r="F349" s="2" t="str">
        <f>IFERROR(__xludf.DUMMYFUNCTION("""COMPUTED_VALUE"""),"")</f>
        <v/>
      </c>
      <c r="G349" s="27" t="str">
        <f>IFERROR(__xludf.DUMMYFUNCTION("""COMPUTED_VALUE"""),"")</f>
        <v/>
      </c>
      <c r="H349" s="23" t="str">
        <f>IFERROR(__xludf.DUMMYFUNCTION("""COMPUTED_VALUE"""),"")</f>
        <v/>
      </c>
      <c r="I349" s="2" t="str">
        <f>IFERROR(__xludf.DUMMYFUNCTION("""COMPUTED_VALUE"""),"")</f>
        <v/>
      </c>
      <c r="J349" s="27" t="str">
        <f>IFERROR(__xludf.DUMMYFUNCTION("""COMPUTED_VALUE"""),"")</f>
        <v/>
      </c>
      <c r="K349" s="23" t="str">
        <f>IFERROR(__xludf.DUMMYFUNCTION("""COMPUTED_VALUE"""),"")</f>
        <v/>
      </c>
      <c r="L349" s="2" t="str">
        <f>IFERROR(__xludf.DUMMYFUNCTION("""COMPUTED_VALUE"""),"Ф28 S303")</f>
        <v>Ф28 S303</v>
      </c>
      <c r="M349" s="27">
        <f>IFERROR(__xludf.DUMMYFUNCTION("""COMPUTED_VALUE"""),0.063)</f>
        <v>0.063</v>
      </c>
      <c r="N349" s="23" t="str">
        <f>IFERROR(__xludf.DUMMYFUNCTION("""COMPUTED_VALUE"""),"")</f>
        <v/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0" t="str">
        <f>IFERROR(__xludf.DUMMYFUNCTION("""COMPUTED_VALUE"""),"H25 BODY")</f>
        <v>H25 BODY</v>
      </c>
      <c r="B350" s="22" t="str">
        <f>IFERROR(__xludf.DUMMYFUNCTION("""COMPUTED_VALUE"""),"H25 BODY")</f>
        <v>H25 BODY</v>
      </c>
      <c r="C350" s="23">
        <f>IFERROR(__xludf.DUMMYFUNCTION("""COMPUTED_VALUE"""),4.03056)</f>
        <v>4.03056</v>
      </c>
      <c r="D350" s="23">
        <f>IFERROR(__xludf.DUMMYFUNCTION("""COMPUTED_VALUE"""),4.03056)</f>
        <v>4.03056</v>
      </c>
      <c r="E350" s="25">
        <f>IFERROR(__xludf.DUMMYFUNCTION("""COMPUTED_VALUE"""),0.735224586288416)</f>
        <v>0.7352245863</v>
      </c>
      <c r="F350" s="2" t="str">
        <f>IFERROR(__xludf.DUMMYFUNCTION("""COMPUTED_VALUE"""),"Ф65 AL 2017 Italy")</f>
        <v>Ф65 AL 2017 Italy</v>
      </c>
      <c r="G350" s="27">
        <f>IFERROR(__xludf.DUMMYFUNCTION("""COMPUTED_VALUE"""),0.311)</f>
        <v>0.311</v>
      </c>
      <c r="H350" s="23">
        <f>IFERROR(__xludf.DUMMYFUNCTION("""COMPUTED_VALUE"""),4.03056)</f>
        <v>4.03056</v>
      </c>
      <c r="I350" s="2" t="str">
        <f>IFERROR(__xludf.DUMMYFUNCTION("""COMPUTED_VALUE"""),"")</f>
        <v/>
      </c>
      <c r="J350" s="27" t="str">
        <f>IFERROR(__xludf.DUMMYFUNCTION("""COMPUTED_VALUE"""),"")</f>
        <v/>
      </c>
      <c r="K350" s="23" t="str">
        <f>IFERROR(__xludf.DUMMYFUNCTION("""COMPUTED_VALUE"""),"")</f>
        <v/>
      </c>
      <c r="L350" s="2" t="str">
        <f>IFERROR(__xludf.DUMMYFUNCTION("""COMPUTED_VALUE"""),"")</f>
        <v/>
      </c>
      <c r="M350" s="27" t="str">
        <f>IFERROR(__xludf.DUMMYFUNCTION("""COMPUTED_VALUE"""),"")</f>
        <v/>
      </c>
      <c r="N350" s="23" t="str">
        <f>IFERROR(__xludf.DUMMYFUNCTION("""COMPUTED_VALUE"""),"")</f>
        <v/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0">
        <f>IFERROR(__xludf.DUMMYFUNCTION("""COMPUTED_VALUE"""),2.11373E8)</f>
        <v>211373000</v>
      </c>
      <c r="B351" s="22" t="str">
        <f>IFERROR(__xludf.DUMMYFUNCTION("""COMPUTED_VALUE"""),"DC25&amp;H25 3/8"" shaft with flat")</f>
        <v>DC25&amp;H25 3/8" shaft with flat</v>
      </c>
      <c r="C351" s="23">
        <f>IFERROR(__xludf.DUMMYFUNCTION("""COMPUTED_VALUE"""),0.0)</f>
        <v>0</v>
      </c>
      <c r="D351" s="2" t="str">
        <f>IFERROR(__xludf.DUMMYFUNCTION("""COMPUTED_VALUE"""),"")</f>
        <v/>
      </c>
      <c r="E351" s="25" t="str">
        <f>IFERROR(__xludf.DUMMYFUNCTION("""COMPUTED_VALUE"""),"")</f>
        <v/>
      </c>
      <c r="F351" s="2" t="str">
        <f>IFERROR(__xludf.DUMMYFUNCTION("""COMPUTED_VALUE"""),"")</f>
        <v/>
      </c>
      <c r="G351" s="27" t="str">
        <f>IFERROR(__xludf.DUMMYFUNCTION("""COMPUTED_VALUE"""),"")</f>
        <v/>
      </c>
      <c r="H351" s="23" t="str">
        <f>IFERROR(__xludf.DUMMYFUNCTION("""COMPUTED_VALUE"""),"")</f>
        <v/>
      </c>
      <c r="I351" s="2" t="str">
        <f>IFERROR(__xludf.DUMMYFUNCTION("""COMPUTED_VALUE"""),"")</f>
        <v/>
      </c>
      <c r="J351" s="27" t="str">
        <f>IFERROR(__xludf.DUMMYFUNCTION("""COMPUTED_VALUE"""),"")</f>
        <v/>
      </c>
      <c r="K351" s="23" t="str">
        <f>IFERROR(__xludf.DUMMYFUNCTION("""COMPUTED_VALUE"""),"")</f>
        <v/>
      </c>
      <c r="L351" s="2" t="str">
        <f>IFERROR(__xludf.DUMMYFUNCTION("""COMPUTED_VALUE"""),"")</f>
        <v/>
      </c>
      <c r="M351" s="27" t="str">
        <f>IFERROR(__xludf.DUMMYFUNCTION("""COMPUTED_VALUE"""),"")</f>
        <v/>
      </c>
      <c r="N351" s="23" t="str">
        <f>IFERROR(__xludf.DUMMYFUNCTION("""COMPUTED_VALUE"""),"")</f>
        <v/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0" t="str">
        <f>IFERROR(__xludf.DUMMYFUNCTION("""COMPUTED_VALUE"""),"21131800A")</f>
        <v>21131800A</v>
      </c>
      <c r="B352" s="22" t="str">
        <f>IFERROR(__xludf.DUMMYFUNCTION("""COMPUTED_VALUE"""),"HT-400-M1C Shaft")</f>
        <v>HT-400-M1C Shaft</v>
      </c>
      <c r="C352" s="23">
        <f>IFERROR(__xludf.DUMMYFUNCTION("""COMPUTED_VALUE"""),0.0)</f>
        <v>0</v>
      </c>
      <c r="D352" s="2" t="str">
        <f>IFERROR(__xludf.DUMMYFUNCTION("""COMPUTED_VALUE"""),"")</f>
        <v/>
      </c>
      <c r="E352" s="25" t="str">
        <f>IFERROR(__xludf.DUMMYFUNCTION("""COMPUTED_VALUE"""),"")</f>
        <v/>
      </c>
      <c r="F352" s="2" t="str">
        <f>IFERROR(__xludf.DUMMYFUNCTION("""COMPUTED_VALUE"""),"")</f>
        <v/>
      </c>
      <c r="G352" s="27" t="str">
        <f>IFERROR(__xludf.DUMMYFUNCTION("""COMPUTED_VALUE"""),"")</f>
        <v/>
      </c>
      <c r="H352" s="23" t="str">
        <f>IFERROR(__xludf.DUMMYFUNCTION("""COMPUTED_VALUE"""),"")</f>
        <v/>
      </c>
      <c r="I352" s="2" t="str">
        <f>IFERROR(__xludf.DUMMYFUNCTION("""COMPUTED_VALUE"""),"")</f>
        <v/>
      </c>
      <c r="J352" s="27" t="str">
        <f>IFERROR(__xludf.DUMMYFUNCTION("""COMPUTED_VALUE"""),"")</f>
        <v/>
      </c>
      <c r="K352" s="23" t="str">
        <f>IFERROR(__xludf.DUMMYFUNCTION("""COMPUTED_VALUE"""),"")</f>
        <v/>
      </c>
      <c r="L352" s="2" t="str">
        <f>IFERROR(__xludf.DUMMYFUNCTION("""COMPUTED_VALUE"""),"")</f>
        <v/>
      </c>
      <c r="M352" s="27" t="str">
        <f>IFERROR(__xludf.DUMMYFUNCTION("""COMPUTED_VALUE"""),"")</f>
        <v/>
      </c>
      <c r="N352" s="23" t="str">
        <f>IFERROR(__xludf.DUMMYFUNCTION("""COMPUTED_VALUE"""),"")</f>
        <v/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0">
        <f>IFERROR(__xludf.DUMMYFUNCTION("""COMPUTED_VALUE"""),2.11347E8)</f>
        <v>211347000</v>
      </c>
      <c r="B353" s="22" t="str">
        <f>IFERROR(__xludf.DUMMYFUNCTION("""COMPUTED_VALUE"""),"DC25 Multiturn 5/8"" rotor")</f>
        <v>DC25 Multiturn 5/8" rotor</v>
      </c>
      <c r="C353" s="23">
        <f>IFERROR(__xludf.DUMMYFUNCTION("""COMPUTED_VALUE"""),0.0)</f>
        <v>0</v>
      </c>
      <c r="D353" s="2" t="str">
        <f>IFERROR(__xludf.DUMMYFUNCTION("""COMPUTED_VALUE"""),"")</f>
        <v/>
      </c>
      <c r="E353" s="25" t="str">
        <f>IFERROR(__xludf.DUMMYFUNCTION("""COMPUTED_VALUE"""),"")</f>
        <v/>
      </c>
      <c r="F353" s="2" t="str">
        <f>IFERROR(__xludf.DUMMYFUNCTION("""COMPUTED_VALUE"""),"")</f>
        <v/>
      </c>
      <c r="G353" s="27" t="str">
        <f>IFERROR(__xludf.DUMMYFUNCTION("""COMPUTED_VALUE"""),"")</f>
        <v/>
      </c>
      <c r="H353" s="23" t="str">
        <f>IFERROR(__xludf.DUMMYFUNCTION("""COMPUTED_VALUE"""),"")</f>
        <v/>
      </c>
      <c r="I353" s="2" t="str">
        <f>IFERROR(__xludf.DUMMYFUNCTION("""COMPUTED_VALUE"""),"")</f>
        <v/>
      </c>
      <c r="J353" s="27" t="str">
        <f>IFERROR(__xludf.DUMMYFUNCTION("""COMPUTED_VALUE"""),"")</f>
        <v/>
      </c>
      <c r="K353" s="23" t="str">
        <f>IFERROR(__xludf.DUMMYFUNCTION("""COMPUTED_VALUE"""),"")</f>
        <v/>
      </c>
      <c r="L353" s="2" t="str">
        <f>IFERROR(__xludf.DUMMYFUNCTION("""COMPUTED_VALUE"""),"")</f>
        <v/>
      </c>
      <c r="M353" s="27" t="str">
        <f>IFERROR(__xludf.DUMMYFUNCTION("""COMPUTED_VALUE"""),"")</f>
        <v/>
      </c>
      <c r="N353" s="23" t="str">
        <f>IFERROR(__xludf.DUMMYFUNCTION("""COMPUTED_VALUE"""),"")</f>
        <v/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0">
        <f>IFERROR(__xludf.DUMMYFUNCTION("""COMPUTED_VALUE"""),2.1134701E8)</f>
        <v>211347010</v>
      </c>
      <c r="B354" s="22"/>
      <c r="C354" s="23">
        <f>IFERROR(__xludf.DUMMYFUNCTION("""COMPUTED_VALUE"""),0.0)</f>
        <v>0</v>
      </c>
      <c r="D354" s="2" t="str">
        <f>IFERROR(__xludf.DUMMYFUNCTION("""COMPUTED_VALUE"""),"")</f>
        <v/>
      </c>
      <c r="E354" s="25" t="str">
        <f>IFERROR(__xludf.DUMMYFUNCTION("""COMPUTED_VALUE"""),"")</f>
        <v/>
      </c>
      <c r="F354" s="2" t="str">
        <f>IFERROR(__xludf.DUMMYFUNCTION("""COMPUTED_VALUE"""),"")</f>
        <v/>
      </c>
      <c r="G354" s="27" t="str">
        <f>IFERROR(__xludf.DUMMYFUNCTION("""COMPUTED_VALUE"""),"")</f>
        <v/>
      </c>
      <c r="H354" s="23" t="str">
        <f>IFERROR(__xludf.DUMMYFUNCTION("""COMPUTED_VALUE"""),"")</f>
        <v/>
      </c>
      <c r="I354" s="2" t="str">
        <f>IFERROR(__xludf.DUMMYFUNCTION("""COMPUTED_VALUE"""),"")</f>
        <v/>
      </c>
      <c r="J354" s="27" t="str">
        <f>IFERROR(__xludf.DUMMYFUNCTION("""COMPUTED_VALUE"""),"")</f>
        <v/>
      </c>
      <c r="K354" s="23" t="str">
        <f>IFERROR(__xludf.DUMMYFUNCTION("""COMPUTED_VALUE"""),"")</f>
        <v/>
      </c>
      <c r="L354" s="2" t="str">
        <f>IFERROR(__xludf.DUMMYFUNCTION("""COMPUTED_VALUE"""),"")</f>
        <v/>
      </c>
      <c r="M354" s="27" t="str">
        <f>IFERROR(__xludf.DUMMYFUNCTION("""COMPUTED_VALUE"""),"")</f>
        <v/>
      </c>
      <c r="N354" s="23" t="str">
        <f>IFERROR(__xludf.DUMMYFUNCTION("""COMPUTED_VALUE"""),"")</f>
        <v/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0">
        <f>IFERROR(__xludf.DUMMYFUNCTION("""COMPUTED_VALUE"""),2.11405E8)</f>
        <v>211405000</v>
      </c>
      <c r="B355" s="22" t="str">
        <f>IFERROR(__xludf.DUMMYFUNCTION("""COMPUTED_VALUE"""),"NR60 Encoder 6mm Multiturn shaft w/ flat")</f>
        <v>NR60 Encoder 6mm Multiturn shaft w/ flat</v>
      </c>
      <c r="C355" s="23">
        <f>IFERROR(__xludf.DUMMYFUNCTION("""COMPUTED_VALUE"""),0.0)</f>
        <v>0</v>
      </c>
      <c r="D355" s="2" t="str">
        <f>IFERROR(__xludf.DUMMYFUNCTION("""COMPUTED_VALUE"""),"")</f>
        <v/>
      </c>
      <c r="E355" s="25" t="str">
        <f>IFERROR(__xludf.DUMMYFUNCTION("""COMPUTED_VALUE"""),"")</f>
        <v/>
      </c>
      <c r="F355" s="2" t="str">
        <f>IFERROR(__xludf.DUMMYFUNCTION("""COMPUTED_VALUE"""),"")</f>
        <v/>
      </c>
      <c r="G355" s="27" t="str">
        <f>IFERROR(__xludf.DUMMYFUNCTION("""COMPUTED_VALUE"""),"")</f>
        <v/>
      </c>
      <c r="H355" s="23" t="str">
        <f>IFERROR(__xludf.DUMMYFUNCTION("""COMPUTED_VALUE"""),"")</f>
        <v/>
      </c>
      <c r="I355" s="2" t="str">
        <f>IFERROR(__xludf.DUMMYFUNCTION("""COMPUTED_VALUE"""),"")</f>
        <v/>
      </c>
      <c r="J355" s="27" t="str">
        <f>IFERROR(__xludf.DUMMYFUNCTION("""COMPUTED_VALUE"""),"")</f>
        <v/>
      </c>
      <c r="K355" s="23" t="str">
        <f>IFERROR(__xludf.DUMMYFUNCTION("""COMPUTED_VALUE"""),"")</f>
        <v/>
      </c>
      <c r="L355" s="2" t="str">
        <f>IFERROR(__xludf.DUMMYFUNCTION("""COMPUTED_VALUE"""),"")</f>
        <v/>
      </c>
      <c r="M355" s="27" t="str">
        <f>IFERROR(__xludf.DUMMYFUNCTION("""COMPUTED_VALUE"""),"")</f>
        <v/>
      </c>
      <c r="N355" s="23" t="str">
        <f>IFERROR(__xludf.DUMMYFUNCTION("""COMPUTED_VALUE"""),"")</f>
        <v/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0">
        <f>IFERROR(__xludf.DUMMYFUNCTION("""COMPUTED_VALUE"""),2.11417E8)</f>
        <v>211417000</v>
      </c>
      <c r="B356" s="22" t="str">
        <f>IFERROR(__xludf.DUMMYFUNCTION("""COMPUTED_VALUE"""),"Rotor with magnet coupler for NR25 Dual output Enc.")</f>
        <v>Rotor with magnet coupler for NR25 Dual output Enc.</v>
      </c>
      <c r="C356" s="23">
        <f>IFERROR(__xludf.DUMMYFUNCTION("""COMPUTED_VALUE"""),0.0)</f>
        <v>0</v>
      </c>
      <c r="D356" s="2" t="str">
        <f>IFERROR(__xludf.DUMMYFUNCTION("""COMPUTED_VALUE"""),"")</f>
        <v/>
      </c>
      <c r="E356" s="25" t="str">
        <f>IFERROR(__xludf.DUMMYFUNCTION("""COMPUTED_VALUE"""),"")</f>
        <v/>
      </c>
      <c r="F356" s="2" t="str">
        <f>IFERROR(__xludf.DUMMYFUNCTION("""COMPUTED_VALUE"""),"")</f>
        <v/>
      </c>
      <c r="G356" s="27" t="str">
        <f>IFERROR(__xludf.DUMMYFUNCTION("""COMPUTED_VALUE"""),"")</f>
        <v/>
      </c>
      <c r="H356" s="23" t="str">
        <f>IFERROR(__xludf.DUMMYFUNCTION("""COMPUTED_VALUE"""),"")</f>
        <v/>
      </c>
      <c r="I356" s="2" t="str">
        <f>IFERROR(__xludf.DUMMYFUNCTION("""COMPUTED_VALUE"""),"")</f>
        <v/>
      </c>
      <c r="J356" s="27" t="str">
        <f>IFERROR(__xludf.DUMMYFUNCTION("""COMPUTED_VALUE"""),"")</f>
        <v/>
      </c>
      <c r="K356" s="23" t="str">
        <f>IFERROR(__xludf.DUMMYFUNCTION("""COMPUTED_VALUE"""),"")</f>
        <v/>
      </c>
      <c r="L356" s="2" t="str">
        <f>IFERROR(__xludf.DUMMYFUNCTION("""COMPUTED_VALUE"""),"")</f>
        <v/>
      </c>
      <c r="M356" s="27" t="str">
        <f>IFERROR(__xludf.DUMMYFUNCTION("""COMPUTED_VALUE"""),"")</f>
        <v/>
      </c>
      <c r="N356" s="23" t="str">
        <f>IFERROR(__xludf.DUMMYFUNCTION("""COMPUTED_VALUE"""),"")</f>
        <v/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0">
        <f>IFERROR(__xludf.DUMMYFUNCTION("""COMPUTED_VALUE"""),2.1154E8)</f>
        <v>211540000</v>
      </c>
      <c r="B357" s="22" t="str">
        <f>IFERROR(__xludf.DUMMYFUNCTION("""COMPUTED_VALUE"""),"HTE-25 DUAL ENCODER SHAFT")</f>
        <v>HTE-25 DUAL ENCODER SHAFT</v>
      </c>
      <c r="C357" s="23">
        <f>IFERROR(__xludf.DUMMYFUNCTION("""COMPUTED_VALUE"""),0.0)</f>
        <v>0</v>
      </c>
      <c r="D357" s="2" t="str">
        <f>IFERROR(__xludf.DUMMYFUNCTION("""COMPUTED_VALUE"""),"")</f>
        <v/>
      </c>
      <c r="E357" s="25" t="str">
        <f>IFERROR(__xludf.DUMMYFUNCTION("""COMPUTED_VALUE"""),"")</f>
        <v/>
      </c>
      <c r="F357" s="2" t="str">
        <f>IFERROR(__xludf.DUMMYFUNCTION("""COMPUTED_VALUE"""),"")</f>
        <v/>
      </c>
      <c r="G357" s="27" t="str">
        <f>IFERROR(__xludf.DUMMYFUNCTION("""COMPUTED_VALUE"""),"")</f>
        <v/>
      </c>
      <c r="H357" s="23" t="str">
        <f>IFERROR(__xludf.DUMMYFUNCTION("""COMPUTED_VALUE"""),"")</f>
        <v/>
      </c>
      <c r="I357" s="2" t="str">
        <f>IFERROR(__xludf.DUMMYFUNCTION("""COMPUTED_VALUE"""),"")</f>
        <v/>
      </c>
      <c r="J357" s="27" t="str">
        <f>IFERROR(__xludf.DUMMYFUNCTION("""COMPUTED_VALUE"""),"")</f>
        <v/>
      </c>
      <c r="K357" s="23" t="str">
        <f>IFERROR(__xludf.DUMMYFUNCTION("""COMPUTED_VALUE"""),"")</f>
        <v/>
      </c>
      <c r="L357" s="2" t="str">
        <f>IFERROR(__xludf.DUMMYFUNCTION("""COMPUTED_VALUE"""),"")</f>
        <v/>
      </c>
      <c r="M357" s="27" t="str">
        <f>IFERROR(__xludf.DUMMYFUNCTION("""COMPUTED_VALUE"""),"")</f>
        <v/>
      </c>
      <c r="N357" s="23" t="str">
        <f>IFERROR(__xludf.DUMMYFUNCTION("""COMPUTED_VALUE"""),"")</f>
        <v/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0" t="str">
        <f>IFERROR(__xludf.DUMMYFUNCTION("""COMPUTED_VALUE"""),"22145500C")</f>
        <v>22145500C</v>
      </c>
      <c r="B358" s="22" t="str">
        <f>IFERROR(__xludf.DUMMYFUNCTION("""COMPUTED_VALUE"""),"Square Flange for NR60")</f>
        <v>Square Flange for NR60</v>
      </c>
      <c r="C358" s="23">
        <f>IFERROR(__xludf.DUMMYFUNCTION("""COMPUTED_VALUE"""),0.18189999999999998)</f>
        <v>0.1819</v>
      </c>
      <c r="D358" s="23">
        <f>IFERROR(__xludf.DUMMYFUNCTION("""COMPUTED_VALUE"""),0.18189999999999998)</f>
        <v>0.1819</v>
      </c>
      <c r="E358" s="25">
        <f>IFERROR(__xludf.DUMMYFUNCTION("""COMPUTED_VALUE"""),1.0)</f>
        <v>1</v>
      </c>
      <c r="F358" s="2" t="str">
        <f>IFERROR(__xludf.DUMMYFUNCTION("""COMPUTED_VALUE"""),"")</f>
        <v/>
      </c>
      <c r="G358" s="27" t="str">
        <f>IFERROR(__xludf.DUMMYFUNCTION("""COMPUTED_VALUE"""),"")</f>
        <v/>
      </c>
      <c r="H358" s="23" t="str">
        <f>IFERROR(__xludf.DUMMYFUNCTION("""COMPUTED_VALUE"""),"")</f>
        <v/>
      </c>
      <c r="I358" s="2" t="str">
        <f>IFERROR(__xludf.DUMMYFUNCTION("""COMPUTED_VALUE"""),"AL USA (pc.)")</f>
        <v>AL USA (pc.)</v>
      </c>
      <c r="J358" s="27">
        <f>IFERROR(__xludf.DUMMYFUNCTION("""COMPUTED_VALUE"""),0.107)</f>
        <v>0.107</v>
      </c>
      <c r="K358" s="23">
        <f>IFERROR(__xludf.DUMMYFUNCTION("""COMPUTED_VALUE"""),0.18189999999999998)</f>
        <v>0.1819</v>
      </c>
      <c r="L358" s="2" t="str">
        <f>IFERROR(__xludf.DUMMYFUNCTION("""COMPUTED_VALUE"""),"")</f>
        <v/>
      </c>
      <c r="M358" s="27" t="str">
        <f>IFERROR(__xludf.DUMMYFUNCTION("""COMPUTED_VALUE"""),"")</f>
        <v/>
      </c>
      <c r="N358" s="23" t="str">
        <f>IFERROR(__xludf.DUMMYFUNCTION("""COMPUTED_VALUE"""),"")</f>
        <v/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0" t="str">
        <f>IFERROR(__xludf.DUMMYFUNCTION("""COMPUTED_VALUE"""),"22139701А")</f>
        <v>22139701А</v>
      </c>
      <c r="B359" s="22" t="str">
        <f>IFERROR(__xludf.DUMMYFUNCTION("""COMPUTED_VALUE"""),"5/8"" Shaft flange 316")</f>
        <v>5/8" Shaft flange 316</v>
      </c>
      <c r="C359" s="23">
        <f>IFERROR(__xludf.DUMMYFUNCTION("""COMPUTED_VALUE"""),0.0)</f>
        <v>0</v>
      </c>
      <c r="D359" s="2" t="str">
        <f>IFERROR(__xludf.DUMMYFUNCTION("""COMPUTED_VALUE"""),"")</f>
        <v/>
      </c>
      <c r="E359" s="25" t="str">
        <f>IFERROR(__xludf.DUMMYFUNCTION("""COMPUTED_VALUE"""),"")</f>
        <v/>
      </c>
      <c r="F359" s="2" t="str">
        <f>IFERROR(__xludf.DUMMYFUNCTION("""COMPUTED_VALUE"""),"")</f>
        <v/>
      </c>
      <c r="G359" s="27" t="str">
        <f>IFERROR(__xludf.DUMMYFUNCTION("""COMPUTED_VALUE"""),"")</f>
        <v/>
      </c>
      <c r="H359" s="23" t="str">
        <f>IFERROR(__xludf.DUMMYFUNCTION("""COMPUTED_VALUE"""),"")</f>
        <v/>
      </c>
      <c r="I359" s="2"/>
      <c r="J359" s="27">
        <f>IFERROR(__xludf.DUMMYFUNCTION("""COMPUTED_VALUE"""),0.0)</f>
        <v>0</v>
      </c>
      <c r="K359" s="23" t="str">
        <f>IFERROR(__xludf.DUMMYFUNCTION("""COMPUTED_VALUE"""),"")</f>
        <v/>
      </c>
      <c r="L359" s="2" t="str">
        <f>IFERROR(__xludf.DUMMYFUNCTION("""COMPUTED_VALUE"""),"")</f>
        <v/>
      </c>
      <c r="M359" s="27" t="str">
        <f>IFERROR(__xludf.DUMMYFUNCTION("""COMPUTED_VALUE"""),"")</f>
        <v/>
      </c>
      <c r="N359" s="23" t="str">
        <f>IFERROR(__xludf.DUMMYFUNCTION("""COMPUTED_VALUE"""),"")</f>
        <v/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0">
        <f>IFERROR(__xludf.DUMMYFUNCTION("""COMPUTED_VALUE"""),2.21452E8)</f>
        <v>221452000</v>
      </c>
      <c r="B360" s="22" t="str">
        <f>IFERROR(__xludf.DUMMYFUNCTION("""COMPUTED_VALUE"""),"NR60 Encoder Servo Nose 58mm")</f>
        <v>NR60 Encoder Servo Nose 58mm</v>
      </c>
      <c r="C360" s="23">
        <f>IFERROR(__xludf.DUMMYFUNCTION("""COMPUTED_VALUE"""),0.8812800000000002)</f>
        <v>0.88128</v>
      </c>
      <c r="D360" s="23">
        <f>IFERROR(__xludf.DUMMYFUNCTION("""COMPUTED_VALUE"""),0.8812800000000002)</f>
        <v>0.88128</v>
      </c>
      <c r="E360" s="25">
        <f>IFERROR(__xludf.DUMMYFUNCTION("""COMPUTED_VALUE"""),1.0)</f>
        <v>1</v>
      </c>
      <c r="F360" s="2" t="str">
        <f>IFERROR(__xludf.DUMMYFUNCTION("""COMPUTED_VALUE"""),"")</f>
        <v/>
      </c>
      <c r="G360" s="27" t="str">
        <f>IFERROR(__xludf.DUMMYFUNCTION("""COMPUTED_VALUE"""),"")</f>
        <v/>
      </c>
      <c r="H360" s="23" t="str">
        <f>IFERROR(__xludf.DUMMYFUNCTION("""COMPUTED_VALUE"""),"")</f>
        <v/>
      </c>
      <c r="I360" s="2" t="str">
        <f>IFERROR(__xludf.DUMMYFUNCTION("""COMPUTED_VALUE"""),"Ф62 AL 2017 Italy")</f>
        <v>Ф62 AL 2017 Italy</v>
      </c>
      <c r="J360" s="27">
        <f>IFERROR(__xludf.DUMMYFUNCTION("""COMPUTED_VALUE"""),0.068)</f>
        <v>0.068</v>
      </c>
      <c r="K360" s="23">
        <f>IFERROR(__xludf.DUMMYFUNCTION("""COMPUTED_VALUE"""),0.8812800000000002)</f>
        <v>0.88128</v>
      </c>
      <c r="L360" s="2" t="str">
        <f>IFERROR(__xludf.DUMMYFUNCTION("""COMPUTED_VALUE"""),"")</f>
        <v/>
      </c>
      <c r="M360" s="27" t="str">
        <f>IFERROR(__xludf.DUMMYFUNCTION("""COMPUTED_VALUE"""),"")</f>
        <v/>
      </c>
      <c r="N360" s="23" t="str">
        <f>IFERROR(__xludf.DUMMYFUNCTION("""COMPUTED_VALUE"""),"")</f>
        <v/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0">
        <f>IFERROR(__xludf.DUMMYFUNCTION("""COMPUTED_VALUE"""),2.21422E8)</f>
        <v>221422000</v>
      </c>
      <c r="B361" s="22" t="str">
        <f>IFERROR(__xludf.DUMMYFUNCTION("""COMPUTED_VALUE"""),"DC25F-D1V2LS-16 Flange nose")</f>
        <v>DC25F-D1V2LS-16 Flange nose</v>
      </c>
      <c r="C361" s="23">
        <f>IFERROR(__xludf.DUMMYFUNCTION("""COMPUTED_VALUE"""),0.11220000000000001)</f>
        <v>0.1122</v>
      </c>
      <c r="D361" s="23">
        <f>IFERROR(__xludf.DUMMYFUNCTION("""COMPUTED_VALUE"""),0.11220000000000001)</f>
        <v>0.1122</v>
      </c>
      <c r="E361" s="25">
        <f>IFERROR(__xludf.DUMMYFUNCTION("""COMPUTED_VALUE"""),1.0)</f>
        <v>1</v>
      </c>
      <c r="F361" s="2" t="str">
        <f>IFERROR(__xludf.DUMMYFUNCTION("""COMPUTED_VALUE"""),"")</f>
        <v/>
      </c>
      <c r="G361" s="27" t="str">
        <f>IFERROR(__xludf.DUMMYFUNCTION("""COMPUTED_VALUE"""),"")</f>
        <v/>
      </c>
      <c r="H361" s="23" t="str">
        <f>IFERROR(__xludf.DUMMYFUNCTION("""COMPUTED_VALUE"""),"")</f>
        <v/>
      </c>
      <c r="I361" s="2" t="str">
        <f>IFERROR(__xludf.DUMMYFUNCTION("""COMPUTED_VALUE"""),"AL USA")</f>
        <v>AL USA</v>
      </c>
      <c r="J361" s="27">
        <f>IFERROR(__xludf.DUMMYFUNCTION("""COMPUTED_VALUE"""),0.066)</f>
        <v>0.066</v>
      </c>
      <c r="K361" s="23">
        <f>IFERROR(__xludf.DUMMYFUNCTION("""COMPUTED_VALUE"""),0.11220000000000001)</f>
        <v>0.1122</v>
      </c>
      <c r="L361" s="2" t="str">
        <f>IFERROR(__xludf.DUMMYFUNCTION("""COMPUTED_VALUE"""),"")</f>
        <v/>
      </c>
      <c r="M361" s="27" t="str">
        <f>IFERROR(__xludf.DUMMYFUNCTION("""COMPUTED_VALUE"""),"")</f>
        <v/>
      </c>
      <c r="N361" s="23" t="str">
        <f>IFERROR(__xludf.DUMMYFUNCTION("""COMPUTED_VALUE"""),"")</f>
        <v/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0" t="str">
        <f>IFERROR(__xludf.DUMMYFUNCTION("""COMPUTED_VALUE"""),"575-01921-7LD-23")</f>
        <v>575-01921-7LD-23</v>
      </c>
      <c r="B362" s="22" t="str">
        <f>IFERROR(__xludf.DUMMYFUNCTION("""COMPUTED_VALUE"""),"Size11,2.5KHz/0.5,7 min 0.120"" shaft w/seal,machined body")</f>
        <v>Size11,2.5KHz/0.5,7 min 0.120" shaft w/seal,machined body</v>
      </c>
      <c r="C362" s="23">
        <f>IFERROR(__xludf.DUMMYFUNCTION("""COMPUTED_VALUE"""),0.0)</f>
        <v>0</v>
      </c>
      <c r="D362" s="2" t="str">
        <f>IFERROR(__xludf.DUMMYFUNCTION("""COMPUTED_VALUE"""),"")</f>
        <v/>
      </c>
      <c r="E362" s="25" t="str">
        <f>IFERROR(__xludf.DUMMYFUNCTION("""COMPUTED_VALUE"""),"")</f>
        <v/>
      </c>
      <c r="F362" s="2" t="str">
        <f>IFERROR(__xludf.DUMMYFUNCTION("""COMPUTED_VALUE"""),"Ф28 S303")</f>
        <v>Ф28 S303</v>
      </c>
      <c r="G362" s="2" t="str">
        <f>IFERROR(__xludf.DUMMYFUNCTION("""COMPUTED_VALUE"""),"")</f>
        <v/>
      </c>
      <c r="H362" s="23" t="str">
        <f>IFERROR(__xludf.DUMMYFUNCTION("""COMPUTED_VALUE"""),"")</f>
        <v/>
      </c>
      <c r="I362" s="2" t="str">
        <f>IFERROR(__xludf.DUMMYFUNCTION("""COMPUTED_VALUE"""),"")</f>
        <v/>
      </c>
      <c r="J362" s="27" t="str">
        <f>IFERROR(__xludf.DUMMYFUNCTION("""COMPUTED_VALUE"""),"")</f>
        <v/>
      </c>
      <c r="K362" s="23" t="str">
        <f>IFERROR(__xludf.DUMMYFUNCTION("""COMPUTED_VALUE"""),"")</f>
        <v/>
      </c>
      <c r="L362" s="2" t="str">
        <f>IFERROR(__xludf.DUMMYFUNCTION("""COMPUTED_VALUE"""),"")</f>
        <v/>
      </c>
      <c r="M362" s="27" t="str">
        <f>IFERROR(__xludf.DUMMYFUNCTION("""COMPUTED_VALUE"""),"")</f>
        <v/>
      </c>
      <c r="N362" s="23" t="str">
        <f>IFERROR(__xludf.DUMMYFUNCTION("""COMPUTED_VALUE"""),"")</f>
        <v/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0" t="str">
        <f>IFERROR(__xludf.DUMMYFUNCTION("""COMPUTED_VALUE"""),"575-15906-7GA-01")</f>
        <v>575-15906-7GA-01</v>
      </c>
      <c r="B363" s="22"/>
      <c r="C363" s="23">
        <f>IFERROR(__xludf.DUMMYFUNCTION("""COMPUTED_VALUE"""),0.0)</f>
        <v>0</v>
      </c>
      <c r="D363" s="2" t="str">
        <f>IFERROR(__xludf.DUMMYFUNCTION("""COMPUTED_VALUE"""),"")</f>
        <v/>
      </c>
      <c r="E363" s="25" t="str">
        <f>IFERROR(__xludf.DUMMYFUNCTION("""COMPUTED_VALUE"""),"")</f>
        <v/>
      </c>
      <c r="F363" s="2"/>
      <c r="G363" s="2" t="str">
        <f>IFERROR(__xludf.DUMMYFUNCTION("""COMPUTED_VALUE"""),"")</f>
        <v/>
      </c>
      <c r="H363" s="23" t="str">
        <f>IFERROR(__xludf.DUMMYFUNCTION("""COMPUTED_VALUE"""),"")</f>
        <v/>
      </c>
      <c r="I363" s="2" t="str">
        <f>IFERROR(__xludf.DUMMYFUNCTION("""COMPUTED_VALUE"""),"")</f>
        <v/>
      </c>
      <c r="J363" s="27" t="str">
        <f>IFERROR(__xludf.DUMMYFUNCTION("""COMPUTED_VALUE"""),"")</f>
        <v/>
      </c>
      <c r="K363" s="23" t="str">
        <f>IFERROR(__xludf.DUMMYFUNCTION("""COMPUTED_VALUE"""),"")</f>
        <v/>
      </c>
      <c r="L363" s="2" t="str">
        <f>IFERROR(__xludf.DUMMYFUNCTION("""COMPUTED_VALUE"""),"")</f>
        <v/>
      </c>
      <c r="M363" s="27" t="str">
        <f>IFERROR(__xludf.DUMMYFUNCTION("""COMPUTED_VALUE"""),"")</f>
        <v/>
      </c>
      <c r="N363" s="23" t="str">
        <f>IFERROR(__xludf.DUMMYFUNCTION("""COMPUTED_VALUE"""),"")</f>
        <v/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0" t="str">
        <f>IFERROR(__xludf.DUMMYFUNCTION("""COMPUTED_VALUE"""),"575-15906-7GB-01")</f>
        <v>575-15906-7GB-01</v>
      </c>
      <c r="B364" s="22"/>
      <c r="C364" s="23">
        <f>IFERROR(__xludf.DUMMYFUNCTION("""COMPUTED_VALUE"""),0.0)</f>
        <v>0</v>
      </c>
      <c r="D364" s="2" t="str">
        <f>IFERROR(__xludf.DUMMYFUNCTION("""COMPUTED_VALUE"""),"")</f>
        <v/>
      </c>
      <c r="E364" s="25" t="str">
        <f>IFERROR(__xludf.DUMMYFUNCTION("""COMPUTED_VALUE"""),"")</f>
        <v/>
      </c>
      <c r="F364" s="2"/>
      <c r="G364" s="2" t="str">
        <f>IFERROR(__xludf.DUMMYFUNCTION("""COMPUTED_VALUE"""),"")</f>
        <v/>
      </c>
      <c r="H364" s="23" t="str">
        <f>IFERROR(__xludf.DUMMYFUNCTION("""COMPUTED_VALUE"""),"")</f>
        <v/>
      </c>
      <c r="I364" s="2" t="str">
        <f>IFERROR(__xludf.DUMMYFUNCTION("""COMPUTED_VALUE"""),"")</f>
        <v/>
      </c>
      <c r="J364" s="27" t="str">
        <f>IFERROR(__xludf.DUMMYFUNCTION("""COMPUTED_VALUE"""),"")</f>
        <v/>
      </c>
      <c r="K364" s="23" t="str">
        <f>IFERROR(__xludf.DUMMYFUNCTION("""COMPUTED_VALUE"""),"")</f>
        <v/>
      </c>
      <c r="L364" s="2" t="str">
        <f>IFERROR(__xludf.DUMMYFUNCTION("""COMPUTED_VALUE"""),"")</f>
        <v/>
      </c>
      <c r="M364" s="27" t="str">
        <f>IFERROR(__xludf.DUMMYFUNCTION("""COMPUTED_VALUE"""),"")</f>
        <v/>
      </c>
      <c r="N364" s="23" t="str">
        <f>IFERROR(__xludf.DUMMYFUNCTION("""COMPUTED_VALUE"""),"")</f>
        <v/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0" t="str">
        <f>IFERROR(__xludf.DUMMYFUNCTION("""COMPUTED_VALUE"""),"575-15902-3A5-01")</f>
        <v>575-15902-3A5-01</v>
      </c>
      <c r="B365" s="22" t="str">
        <f>IFERROR(__xludf.DUMMYFUNCTION("""COMPUTED_VALUE"""),"For R11X-J16/3N-7 res.")</f>
        <v>For R11X-J16/3N-7 res.</v>
      </c>
      <c r="C365" s="23">
        <f>IFERROR(__xludf.DUMMYFUNCTION("""COMPUTED_VALUE"""),0.0)</f>
        <v>0</v>
      </c>
      <c r="D365" s="2" t="str">
        <f>IFERROR(__xludf.DUMMYFUNCTION("""COMPUTED_VALUE"""),"")</f>
        <v/>
      </c>
      <c r="E365" s="25" t="str">
        <f>IFERROR(__xludf.DUMMYFUNCTION("""COMPUTED_VALUE"""),"")</f>
        <v/>
      </c>
      <c r="F365" s="2"/>
      <c r="G365" s="2" t="str">
        <f>IFERROR(__xludf.DUMMYFUNCTION("""COMPUTED_VALUE"""),"")</f>
        <v/>
      </c>
      <c r="H365" s="23" t="str">
        <f>IFERROR(__xludf.DUMMYFUNCTION("""COMPUTED_VALUE"""),"")</f>
        <v/>
      </c>
      <c r="I365" s="2" t="str">
        <f>IFERROR(__xludf.DUMMYFUNCTION("""COMPUTED_VALUE"""),"")</f>
        <v/>
      </c>
      <c r="J365" s="27" t="str">
        <f>IFERROR(__xludf.DUMMYFUNCTION("""COMPUTED_VALUE"""),"")</f>
        <v/>
      </c>
      <c r="K365" s="23" t="str">
        <f>IFERROR(__xludf.DUMMYFUNCTION("""COMPUTED_VALUE"""),"")</f>
        <v/>
      </c>
      <c r="L365" s="2" t="str">
        <f>IFERROR(__xludf.DUMMYFUNCTION("""COMPUTED_VALUE"""),"")</f>
        <v/>
      </c>
      <c r="M365" s="27" t="str">
        <f>IFERROR(__xludf.DUMMYFUNCTION("""COMPUTED_VALUE"""),"")</f>
        <v/>
      </c>
      <c r="N365" s="23" t="str">
        <f>IFERROR(__xludf.DUMMYFUNCTION("""COMPUTED_VALUE"""),"")</f>
        <v/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0" t="str">
        <f>IFERROR(__xludf.DUMMYFUNCTION("""COMPUTED_VALUE"""),"575-01902-7L9-0022")</f>
        <v>575-01902-7L9-0022</v>
      </c>
      <c r="B366" s="22" t="str">
        <f>IFERROR(__xludf.DUMMYFUNCTION("""COMPUTED_VALUE"""),"OPTISYS S11")</f>
        <v>OPTISYS S11</v>
      </c>
      <c r="C366" s="23">
        <f>IFERROR(__xludf.DUMMYFUNCTION("""COMPUTED_VALUE"""),0.0)</f>
        <v>0</v>
      </c>
      <c r="D366" s="2" t="str">
        <f>IFERROR(__xludf.DUMMYFUNCTION("""COMPUTED_VALUE"""),"")</f>
        <v/>
      </c>
      <c r="E366" s="25" t="str">
        <f>IFERROR(__xludf.DUMMYFUNCTION("""COMPUTED_VALUE"""),"")</f>
        <v/>
      </c>
      <c r="F366" s="2"/>
      <c r="G366" s="2" t="str">
        <f>IFERROR(__xludf.DUMMYFUNCTION("""COMPUTED_VALUE"""),"")</f>
        <v/>
      </c>
      <c r="H366" s="23" t="str">
        <f>IFERROR(__xludf.DUMMYFUNCTION("""COMPUTED_VALUE"""),"")</f>
        <v/>
      </c>
      <c r="I366" s="2" t="str">
        <f>IFERROR(__xludf.DUMMYFUNCTION("""COMPUTED_VALUE"""),"")</f>
        <v/>
      </c>
      <c r="J366" s="27" t="str">
        <f>IFERROR(__xludf.DUMMYFUNCTION("""COMPUTED_VALUE"""),"")</f>
        <v/>
      </c>
      <c r="K366" s="23" t="str">
        <f>IFERROR(__xludf.DUMMYFUNCTION("""COMPUTED_VALUE"""),"")</f>
        <v/>
      </c>
      <c r="L366" s="2" t="str">
        <f>IFERROR(__xludf.DUMMYFUNCTION("""COMPUTED_VALUE"""),"")</f>
        <v/>
      </c>
      <c r="M366" s="27" t="str">
        <f>IFERROR(__xludf.DUMMYFUNCTION("""COMPUTED_VALUE"""),"")</f>
        <v/>
      </c>
      <c r="N366" s="23" t="str">
        <f>IFERROR(__xludf.DUMMYFUNCTION("""COMPUTED_VALUE"""),"")</f>
        <v/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0" t="str">
        <f>IFERROR(__xludf.DUMMYFUNCTION("""COMPUTED_VALUE"""),"575-01902-7А3")</f>
        <v>575-01902-7А3</v>
      </c>
      <c r="B367" s="22"/>
      <c r="C367" s="23">
        <f>IFERROR(__xludf.DUMMYFUNCTION("""COMPUTED_VALUE"""),0.0)</f>
        <v>0</v>
      </c>
      <c r="D367" s="2" t="str">
        <f>IFERROR(__xludf.DUMMYFUNCTION("""COMPUTED_VALUE"""),"")</f>
        <v/>
      </c>
      <c r="E367" s="25" t="str">
        <f>IFERROR(__xludf.DUMMYFUNCTION("""COMPUTED_VALUE"""),"")</f>
        <v/>
      </c>
      <c r="F367" s="2" t="str">
        <f>IFERROR(__xludf.DUMMYFUNCTION("""COMPUTED_VALUE"""),"Ф28 S303")</f>
        <v>Ф28 S303</v>
      </c>
      <c r="G367" s="2" t="str">
        <f>IFERROR(__xludf.DUMMYFUNCTION("""COMPUTED_VALUE"""),"")</f>
        <v/>
      </c>
      <c r="H367" s="23" t="str">
        <f>IFERROR(__xludf.DUMMYFUNCTION("""COMPUTED_VALUE"""),"")</f>
        <v/>
      </c>
      <c r="I367" s="2" t="str">
        <f>IFERROR(__xludf.DUMMYFUNCTION("""COMPUTED_VALUE"""),"")</f>
        <v/>
      </c>
      <c r="J367" s="27" t="str">
        <f>IFERROR(__xludf.DUMMYFUNCTION("""COMPUTED_VALUE"""),"")</f>
        <v/>
      </c>
      <c r="K367" s="23" t="str">
        <f>IFERROR(__xludf.DUMMYFUNCTION("""COMPUTED_VALUE"""),"")</f>
        <v/>
      </c>
      <c r="L367" s="2" t="str">
        <f>IFERROR(__xludf.DUMMYFUNCTION("""COMPUTED_VALUE"""),"")</f>
        <v/>
      </c>
      <c r="M367" s="27" t="str">
        <f>IFERROR(__xludf.DUMMYFUNCTION("""COMPUTED_VALUE"""),"")</f>
        <v/>
      </c>
      <c r="N367" s="23" t="str">
        <f>IFERROR(__xludf.DUMMYFUNCTION("""COMPUTED_VALUE"""),"")</f>
        <v/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0">
        <f>IFERROR(__xludf.DUMMYFUNCTION("""COMPUTED_VALUE"""),2.11414E8)</f>
        <v>211414000</v>
      </c>
      <c r="B368" s="22" t="str">
        <f>IFERROR(__xludf.DUMMYFUNCTION("""COMPUTED_VALUE"""),"R11 with M12 conn rear cover")</f>
        <v>R11 with M12 conn rear cover</v>
      </c>
      <c r="C368" s="23">
        <f>IFERROR(__xludf.DUMMYFUNCTION("""COMPUTED_VALUE"""),0.0)</f>
        <v>0</v>
      </c>
      <c r="D368" s="2" t="str">
        <f>IFERROR(__xludf.DUMMYFUNCTION("""COMPUTED_VALUE"""),"")</f>
        <v/>
      </c>
      <c r="E368" s="25">
        <f>IFERROR(__xludf.DUMMYFUNCTION("""COMPUTED_VALUE"""),1.0)</f>
        <v>1</v>
      </c>
      <c r="F368" s="2" t="str">
        <f>IFERROR(__xludf.DUMMYFUNCTION("""COMPUTED_VALUE"""),"")</f>
        <v/>
      </c>
      <c r="G368" s="27" t="str">
        <f>IFERROR(__xludf.DUMMYFUNCTION("""COMPUTED_VALUE"""),"")</f>
        <v/>
      </c>
      <c r="H368" s="23" t="str">
        <f>IFERROR(__xludf.DUMMYFUNCTION("""COMPUTED_VALUE"""),"")</f>
        <v/>
      </c>
      <c r="I368" s="2" t="str">
        <f>IFERROR(__xludf.DUMMYFUNCTION("""COMPUTED_VALUE"""),"")</f>
        <v/>
      </c>
      <c r="J368" s="27" t="str">
        <f>IFERROR(__xludf.DUMMYFUNCTION("""COMPUTED_VALUE"""),"")</f>
        <v/>
      </c>
      <c r="K368" s="23" t="str">
        <f>IFERROR(__xludf.DUMMYFUNCTION("""COMPUTED_VALUE"""),"")</f>
        <v/>
      </c>
      <c r="L368" s="2" t="str">
        <f>IFERROR(__xludf.DUMMYFUNCTION("""COMPUTED_VALUE"""),"Ф28 S303")</f>
        <v>Ф28 S303</v>
      </c>
      <c r="M368" s="27">
        <f>IFERROR(__xludf.DUMMYFUNCTION("""COMPUTED_VALUE"""),0.062)</f>
        <v>0.062</v>
      </c>
      <c r="N368" s="23" t="str">
        <f>IFERROR(__xludf.DUMMYFUNCTION("""COMPUTED_VALUE"""),"")</f>
        <v/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0">
        <f>IFERROR(__xludf.DUMMYFUNCTION("""COMPUTED_VALUE"""),2.11357E8)</f>
        <v>211357000</v>
      </c>
      <c r="B369" s="22" t="str">
        <f>IFERROR(__xludf.DUMMYFUNCTION("""COMPUTED_VALUE"""),"size 11 side cable option rear cover")</f>
        <v>size 11 side cable option rear cover</v>
      </c>
      <c r="C369" s="23">
        <f>IFERROR(__xludf.DUMMYFUNCTION("""COMPUTED_VALUE"""),0.0)</f>
        <v>0</v>
      </c>
      <c r="D369" s="2" t="str">
        <f>IFERROR(__xludf.DUMMYFUNCTION("""COMPUTED_VALUE"""),"")</f>
        <v/>
      </c>
      <c r="E369" s="25" t="str">
        <f>IFERROR(__xludf.DUMMYFUNCTION("""COMPUTED_VALUE"""),"")</f>
        <v/>
      </c>
      <c r="F369" s="2" t="str">
        <f>IFERROR(__xludf.DUMMYFUNCTION("""COMPUTED_VALUE"""),"")</f>
        <v/>
      </c>
      <c r="G369" s="27" t="str">
        <f>IFERROR(__xludf.DUMMYFUNCTION("""COMPUTED_VALUE"""),"")</f>
        <v/>
      </c>
      <c r="H369" s="23" t="str">
        <f>IFERROR(__xludf.DUMMYFUNCTION("""COMPUTED_VALUE"""),"")</f>
        <v/>
      </c>
      <c r="I369" s="2" t="str">
        <f>IFERROR(__xludf.DUMMYFUNCTION("""COMPUTED_VALUE"""),"")</f>
        <v/>
      </c>
      <c r="J369" s="27" t="str">
        <f>IFERROR(__xludf.DUMMYFUNCTION("""COMPUTED_VALUE"""),"")</f>
        <v/>
      </c>
      <c r="K369" s="23" t="str">
        <f>IFERROR(__xludf.DUMMYFUNCTION("""COMPUTED_VALUE"""),"")</f>
        <v/>
      </c>
      <c r="L369" s="2" t="str">
        <f>IFERROR(__xludf.DUMMYFUNCTION("""COMPUTED_VALUE"""),"Ф28 S303")</f>
        <v>Ф28 S303</v>
      </c>
      <c r="M369" s="27">
        <f>IFERROR(__xludf.DUMMYFUNCTION("""COMPUTED_VALUE"""),0.0)</f>
        <v>0</v>
      </c>
      <c r="N369" s="23" t="str">
        <f>IFERROR(__xludf.DUMMYFUNCTION("""COMPUTED_VALUE"""),"")</f>
        <v/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0" t="str">
        <f>IFERROR(__xludf.DUMMYFUNCTION("""COMPUTED_VALUE"""),"575-01912-7K0")</f>
        <v>575-01912-7K0</v>
      </c>
      <c r="B370" s="22" t="str">
        <f>IFERROR(__xludf.DUMMYFUNCTION("""COMPUTED_VALUE"""),"R11X-C10/7-H")</f>
        <v>R11X-C10/7-H</v>
      </c>
      <c r="C370" s="23">
        <f>IFERROR(__xludf.DUMMYFUNCTION("""COMPUTED_VALUE"""),0.0)</f>
        <v>0</v>
      </c>
      <c r="D370" s="2" t="str">
        <f>IFERROR(__xludf.DUMMYFUNCTION("""COMPUTED_VALUE"""),"")</f>
        <v/>
      </c>
      <c r="E370" s="25" t="str">
        <f>IFERROR(__xludf.DUMMYFUNCTION("""COMPUTED_VALUE"""),"")</f>
        <v/>
      </c>
      <c r="F370" s="2"/>
      <c r="G370" s="2" t="str">
        <f>IFERROR(__xludf.DUMMYFUNCTION("""COMPUTED_VALUE"""),"")</f>
        <v/>
      </c>
      <c r="H370" s="23" t="str">
        <f>IFERROR(__xludf.DUMMYFUNCTION("""COMPUTED_VALUE"""),"")</f>
        <v/>
      </c>
      <c r="I370" s="2" t="str">
        <f>IFERROR(__xludf.DUMMYFUNCTION("""COMPUTED_VALUE"""),"")</f>
        <v/>
      </c>
      <c r="J370" s="27" t="str">
        <f>IFERROR(__xludf.DUMMYFUNCTION("""COMPUTED_VALUE"""),"")</f>
        <v/>
      </c>
      <c r="K370" s="23" t="str">
        <f>IFERROR(__xludf.DUMMYFUNCTION("""COMPUTED_VALUE"""),"")</f>
        <v/>
      </c>
      <c r="L370" s="2" t="str">
        <f>IFERROR(__xludf.DUMMYFUNCTION("""COMPUTED_VALUE"""),"")</f>
        <v/>
      </c>
      <c r="M370" s="27" t="str">
        <f>IFERROR(__xludf.DUMMYFUNCTION("""COMPUTED_VALUE"""),"")</f>
        <v/>
      </c>
      <c r="N370" s="23" t="str">
        <f>IFERROR(__xludf.DUMMYFUNCTION("""COMPUTED_VALUE"""),"")</f>
        <v/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0" t="str">
        <f>IFERROR(__xludf.DUMMYFUNCTION("""COMPUTED_VALUE"""),"575-01920-7F9")</f>
        <v>575-01920-7F9</v>
      </c>
      <c r="B371" s="22" t="str">
        <f>IFERROR(__xludf.DUMMYFUNCTION("""COMPUTED_VALUE"""),"R11X-N")</f>
        <v>R11X-N</v>
      </c>
      <c r="C371" s="23">
        <f>IFERROR(__xludf.DUMMYFUNCTION("""COMPUTED_VALUE"""),0.0)</f>
        <v>0</v>
      </c>
      <c r="D371" s="2" t="str">
        <f>IFERROR(__xludf.DUMMYFUNCTION("""COMPUTED_VALUE"""),"")</f>
        <v/>
      </c>
      <c r="E371" s="25" t="str">
        <f>IFERROR(__xludf.DUMMYFUNCTION("""COMPUTED_VALUE"""),"")</f>
        <v/>
      </c>
      <c r="F371" s="2" t="str">
        <f>IFERROR(__xludf.DUMMYFUNCTION("""COMPUTED_VALUE"""),"")</f>
        <v/>
      </c>
      <c r="G371" s="27" t="str">
        <f>IFERROR(__xludf.DUMMYFUNCTION("""COMPUTED_VALUE"""),"")</f>
        <v/>
      </c>
      <c r="H371" s="23" t="str">
        <f>IFERROR(__xludf.DUMMYFUNCTION("""COMPUTED_VALUE"""),"")</f>
        <v/>
      </c>
      <c r="I371" s="2" t="str">
        <f>IFERROR(__xludf.DUMMYFUNCTION("""COMPUTED_VALUE"""),"")</f>
        <v/>
      </c>
      <c r="J371" s="27" t="str">
        <f>IFERROR(__xludf.DUMMYFUNCTION("""COMPUTED_VALUE"""),"")</f>
        <v/>
      </c>
      <c r="K371" s="23" t="str">
        <f>IFERROR(__xludf.DUMMYFUNCTION("""COMPUTED_VALUE"""),"")</f>
        <v/>
      </c>
      <c r="L371" s="2" t="str">
        <f>IFERROR(__xludf.DUMMYFUNCTION("""COMPUTED_VALUE"""),"")</f>
        <v/>
      </c>
      <c r="M371" s="27" t="str">
        <f>IFERROR(__xludf.DUMMYFUNCTION("""COMPUTED_VALUE"""),"")</f>
        <v/>
      </c>
      <c r="N371" s="23" t="str">
        <f>IFERROR(__xludf.DUMMYFUNCTION("""COMPUTED_VALUE"""),"")</f>
        <v/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0">
        <f>IFERROR(__xludf.DUMMYFUNCTION("""COMPUTED_VALUE"""),2.1146E8)</f>
        <v>211460000</v>
      </c>
      <c r="B372" s="22" t="str">
        <f>IFERROR(__xludf.DUMMYFUNCTION("""COMPUTED_VALUE"""),"Rear cover for R11 resolver")</f>
        <v>Rear cover for R11 resolver</v>
      </c>
      <c r="C372" s="23">
        <f>IFERROR(__xludf.DUMMYFUNCTION("""COMPUTED_VALUE"""),0.0)</f>
        <v>0</v>
      </c>
      <c r="D372" s="2" t="str">
        <f>IFERROR(__xludf.DUMMYFUNCTION("""COMPUTED_VALUE"""),"")</f>
        <v/>
      </c>
      <c r="E372" s="25" t="str">
        <f>IFERROR(__xludf.DUMMYFUNCTION("""COMPUTED_VALUE"""),"")</f>
        <v/>
      </c>
      <c r="F372" s="2" t="str">
        <f>IFERROR(__xludf.DUMMYFUNCTION("""COMPUTED_VALUE"""),"")</f>
        <v/>
      </c>
      <c r="G372" s="27" t="str">
        <f>IFERROR(__xludf.DUMMYFUNCTION("""COMPUTED_VALUE"""),"")</f>
        <v/>
      </c>
      <c r="H372" s="23" t="str">
        <f>IFERROR(__xludf.DUMMYFUNCTION("""COMPUTED_VALUE"""),"")</f>
        <v/>
      </c>
      <c r="I372" s="2" t="str">
        <f>IFERROR(__xludf.DUMMYFUNCTION("""COMPUTED_VALUE"""),"")</f>
        <v/>
      </c>
      <c r="J372" s="27" t="str">
        <f>IFERROR(__xludf.DUMMYFUNCTION("""COMPUTED_VALUE"""),"")</f>
        <v/>
      </c>
      <c r="K372" s="23" t="str">
        <f>IFERROR(__xludf.DUMMYFUNCTION("""COMPUTED_VALUE"""),"")</f>
        <v/>
      </c>
      <c r="L372" s="2" t="str">
        <f>IFERROR(__xludf.DUMMYFUNCTION("""COMPUTED_VALUE"""),"Ф28 S303")</f>
        <v>Ф28 S303</v>
      </c>
      <c r="M372" s="27">
        <f>IFERROR(__xludf.DUMMYFUNCTION("""COMPUTED_VALUE"""),0.0)</f>
        <v>0</v>
      </c>
      <c r="N372" s="23" t="str">
        <f>IFERROR(__xludf.DUMMYFUNCTION("""COMPUTED_VALUE"""),"")</f>
        <v/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0" t="str">
        <f>IFERROR(__xludf.DUMMYFUNCTION("""COMPUTED_VALUE"""),"575-15900-70C")</f>
        <v>575-15900-70C</v>
      </c>
      <c r="B373" s="22" t="str">
        <f>IFERROR(__xludf.DUMMYFUNCTION("""COMPUTED_VALUE""")," Resolver for GR11X-H")</f>
        <v> Resolver for GR11X-H</v>
      </c>
      <c r="C373" s="23">
        <f>IFERROR(__xludf.DUMMYFUNCTION("""COMPUTED_VALUE"""),0.0)</f>
        <v>0</v>
      </c>
      <c r="D373" s="2" t="str">
        <f>IFERROR(__xludf.DUMMYFUNCTION("""COMPUTED_VALUE"""),"")</f>
        <v/>
      </c>
      <c r="E373" s="25" t="str">
        <f>IFERROR(__xludf.DUMMYFUNCTION("""COMPUTED_VALUE"""),"")</f>
        <v/>
      </c>
      <c r="F373" s="2" t="str">
        <f>IFERROR(__xludf.DUMMYFUNCTION("""COMPUTED_VALUE"""),"")</f>
        <v/>
      </c>
      <c r="G373" s="27" t="str">
        <f>IFERROR(__xludf.DUMMYFUNCTION("""COMPUTED_VALUE"""),"")</f>
        <v/>
      </c>
      <c r="H373" s="23" t="str">
        <f>IFERROR(__xludf.DUMMYFUNCTION("""COMPUTED_VALUE"""),"")</f>
        <v/>
      </c>
      <c r="I373" s="2" t="str">
        <f>IFERROR(__xludf.DUMMYFUNCTION("""COMPUTED_VALUE"""),"")</f>
        <v/>
      </c>
      <c r="J373" s="27" t="str">
        <f>IFERROR(__xludf.DUMMYFUNCTION("""COMPUTED_VALUE"""),"")</f>
        <v/>
      </c>
      <c r="K373" s="23" t="str">
        <f>IFERROR(__xludf.DUMMYFUNCTION("""COMPUTED_VALUE"""),"")</f>
        <v/>
      </c>
      <c r="L373" s="2" t="str">
        <f>IFERROR(__xludf.DUMMYFUNCTION("""COMPUTED_VALUE"""),"")</f>
        <v/>
      </c>
      <c r="M373" s="27" t="str">
        <f>IFERROR(__xludf.DUMMYFUNCTION("""COMPUTED_VALUE"""),"")</f>
        <v/>
      </c>
      <c r="N373" s="23" t="str">
        <f>IFERROR(__xludf.DUMMYFUNCTION("""COMPUTED_VALUE"""),"")</f>
        <v/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0" t="str">
        <f>IFERROR(__xludf.DUMMYFUNCTION("""COMPUTED_VALUE"""),"575-01926-701")</f>
        <v>575-01926-701</v>
      </c>
      <c r="B374" s="22" t="str">
        <f>IFERROR(__xludf.DUMMYFUNCTION("""COMPUTED_VALUE"""),"R11X-J121B-7NA6-0008")</f>
        <v>R11X-J121B-7NA6-0008</v>
      </c>
      <c r="C374" s="23">
        <f>IFERROR(__xludf.DUMMYFUNCTION("""COMPUTED_VALUE"""),0.0)</f>
        <v>0</v>
      </c>
      <c r="D374" s="2" t="str">
        <f>IFERROR(__xludf.DUMMYFUNCTION("""COMPUTED_VALUE"""),"")</f>
        <v/>
      </c>
      <c r="E374" s="25" t="str">
        <f>IFERROR(__xludf.DUMMYFUNCTION("""COMPUTED_VALUE"""),"")</f>
        <v/>
      </c>
      <c r="F374" s="2" t="str">
        <f>IFERROR(__xludf.DUMMYFUNCTION("""COMPUTED_VALUE"""),"Ф28 S303")</f>
        <v>Ф28 S303</v>
      </c>
      <c r="G374" s="2" t="str">
        <f>IFERROR(__xludf.DUMMYFUNCTION("""COMPUTED_VALUE"""),"")</f>
        <v/>
      </c>
      <c r="H374" s="23" t="str">
        <f>IFERROR(__xludf.DUMMYFUNCTION("""COMPUTED_VALUE"""),"")</f>
        <v/>
      </c>
      <c r="I374" s="2" t="str">
        <f>IFERROR(__xludf.DUMMYFUNCTION("""COMPUTED_VALUE"""),"")</f>
        <v/>
      </c>
      <c r="J374" s="27" t="str">
        <f>IFERROR(__xludf.DUMMYFUNCTION("""COMPUTED_VALUE"""),"")</f>
        <v/>
      </c>
      <c r="K374" s="23" t="str">
        <f>IFERROR(__xludf.DUMMYFUNCTION("""COMPUTED_VALUE"""),"")</f>
        <v/>
      </c>
      <c r="L374" s="2" t="str">
        <f>IFERROR(__xludf.DUMMYFUNCTION("""COMPUTED_VALUE"""),"")</f>
        <v/>
      </c>
      <c r="M374" s="27" t="str">
        <f>IFERROR(__xludf.DUMMYFUNCTION("""COMPUTED_VALUE"""),"")</f>
        <v/>
      </c>
      <c r="N374" s="23" t="str">
        <f>IFERROR(__xludf.DUMMYFUNCTION("""COMPUTED_VALUE"""),"")</f>
        <v/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0" t="str">
        <f>IFERROR(__xludf.DUMMYFUNCTION("""COMPUTED_VALUE"""),"575-15906-5GA-01")</f>
        <v>575-15906-5GA-01</v>
      </c>
      <c r="B375" s="22"/>
      <c r="C375" s="23">
        <f>IFERROR(__xludf.DUMMYFUNCTION("""COMPUTED_VALUE"""),0.0)</f>
        <v>0</v>
      </c>
      <c r="D375" s="2" t="str">
        <f>IFERROR(__xludf.DUMMYFUNCTION("""COMPUTED_VALUE"""),"")</f>
        <v/>
      </c>
      <c r="E375" s="25" t="str">
        <f>IFERROR(__xludf.DUMMYFUNCTION("""COMPUTED_VALUE"""),"")</f>
        <v/>
      </c>
      <c r="F375" s="2"/>
      <c r="G375" s="2" t="str">
        <f>IFERROR(__xludf.DUMMYFUNCTION("""COMPUTED_VALUE"""),"")</f>
        <v/>
      </c>
      <c r="H375" s="23" t="str">
        <f>IFERROR(__xludf.DUMMYFUNCTION("""COMPUTED_VALUE"""),"")</f>
        <v/>
      </c>
      <c r="I375" s="2" t="str">
        <f>IFERROR(__xludf.DUMMYFUNCTION("""COMPUTED_VALUE"""),"")</f>
        <v/>
      </c>
      <c r="J375" s="27" t="str">
        <f>IFERROR(__xludf.DUMMYFUNCTION("""COMPUTED_VALUE"""),"")</f>
        <v/>
      </c>
      <c r="K375" s="23" t="str">
        <f>IFERROR(__xludf.DUMMYFUNCTION("""COMPUTED_VALUE"""),"")</f>
        <v/>
      </c>
      <c r="L375" s="2" t="str">
        <f>IFERROR(__xludf.DUMMYFUNCTION("""COMPUTED_VALUE"""),"")</f>
        <v/>
      </c>
      <c r="M375" s="27" t="str">
        <f>IFERROR(__xludf.DUMMYFUNCTION("""COMPUTED_VALUE"""),"")</f>
        <v/>
      </c>
      <c r="N375" s="23" t="str">
        <f>IFERROR(__xludf.DUMMYFUNCTION("""COMPUTED_VALUE"""),"")</f>
        <v/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0" t="str">
        <f>IFERROR(__xludf.DUMMYFUNCTION("""COMPUTED_VALUE"""),"575-15906-3GA-01")</f>
        <v>575-15906-3GA-01</v>
      </c>
      <c r="B376" s="22"/>
      <c r="C376" s="23">
        <f>IFERROR(__xludf.DUMMYFUNCTION("""COMPUTED_VALUE"""),0.0)</f>
        <v>0</v>
      </c>
      <c r="D376" s="2" t="str">
        <f>IFERROR(__xludf.DUMMYFUNCTION("""COMPUTED_VALUE"""),"")</f>
        <v/>
      </c>
      <c r="E376" s="25" t="str">
        <f>IFERROR(__xludf.DUMMYFUNCTION("""COMPUTED_VALUE"""),"")</f>
        <v/>
      </c>
      <c r="F376" s="2"/>
      <c r="G376" s="2" t="str">
        <f>IFERROR(__xludf.DUMMYFUNCTION("""COMPUTED_VALUE"""),"")</f>
        <v/>
      </c>
      <c r="H376" s="23" t="str">
        <f>IFERROR(__xludf.DUMMYFUNCTION("""COMPUTED_VALUE"""),"")</f>
        <v/>
      </c>
      <c r="I376" s="2" t="str">
        <f>IFERROR(__xludf.DUMMYFUNCTION("""COMPUTED_VALUE"""),"")</f>
        <v/>
      </c>
      <c r="J376" s="27" t="str">
        <f>IFERROR(__xludf.DUMMYFUNCTION("""COMPUTED_VALUE"""),"")</f>
        <v/>
      </c>
      <c r="K376" s="23" t="str">
        <f>IFERROR(__xludf.DUMMYFUNCTION("""COMPUTED_VALUE"""),"")</f>
        <v/>
      </c>
      <c r="L376" s="2" t="str">
        <f>IFERROR(__xludf.DUMMYFUNCTION("""COMPUTED_VALUE"""),"")</f>
        <v/>
      </c>
      <c r="M376" s="27" t="str">
        <f>IFERROR(__xludf.DUMMYFUNCTION("""COMPUTED_VALUE"""),"")</f>
        <v/>
      </c>
      <c r="N376" s="23" t="str">
        <f>IFERROR(__xludf.DUMMYFUNCTION("""COMPUTED_VALUE"""),"")</f>
        <v/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0">
        <f>IFERROR(__xludf.DUMMYFUNCTION("""COMPUTED_VALUE"""),2.11398E8)</f>
        <v>211398000</v>
      </c>
      <c r="B377" s="22" t="str">
        <f>IFERROR(__xludf.DUMMYFUNCTION("""COMPUTED_VALUE"""),"NR60 Encoder brass standoff")</f>
        <v>NR60 Encoder brass standoff</v>
      </c>
      <c r="C377" s="23">
        <f>IFERROR(__xludf.DUMMYFUNCTION("""COMPUTED_VALUE"""),0.0)</f>
        <v>0</v>
      </c>
      <c r="D377" s="2" t="str">
        <f>IFERROR(__xludf.DUMMYFUNCTION("""COMPUTED_VALUE"""),"")</f>
        <v/>
      </c>
      <c r="E377" s="25" t="str">
        <f>IFERROR(__xludf.DUMMYFUNCTION("""COMPUTED_VALUE"""),"")</f>
        <v/>
      </c>
      <c r="F377" s="2" t="str">
        <f>IFERROR(__xludf.DUMMYFUNCTION("""COMPUTED_VALUE"""),"")</f>
        <v/>
      </c>
      <c r="G377" s="27" t="str">
        <f>IFERROR(__xludf.DUMMYFUNCTION("""COMPUTED_VALUE"""),"")</f>
        <v/>
      </c>
      <c r="H377" s="23" t="str">
        <f>IFERROR(__xludf.DUMMYFUNCTION("""COMPUTED_VALUE"""),"")</f>
        <v/>
      </c>
      <c r="I377" s="2" t="str">
        <f>IFERROR(__xludf.DUMMYFUNCTION("""COMPUTED_VALUE"""),"")</f>
        <v/>
      </c>
      <c r="J377" s="27" t="str">
        <f>IFERROR(__xludf.DUMMYFUNCTION("""COMPUTED_VALUE"""),"")</f>
        <v/>
      </c>
      <c r="K377" s="23" t="str">
        <f>IFERROR(__xludf.DUMMYFUNCTION("""COMPUTED_VALUE"""),"")</f>
        <v/>
      </c>
      <c r="L377" s="2" t="str">
        <f>IFERROR(__xludf.DUMMYFUNCTION("""COMPUTED_VALUE"""),"")</f>
        <v/>
      </c>
      <c r="M377" s="27" t="str">
        <f>IFERROR(__xludf.DUMMYFUNCTION("""COMPUTED_VALUE"""),"")</f>
        <v/>
      </c>
      <c r="N377" s="23" t="str">
        <f>IFERROR(__xludf.DUMMYFUNCTION("""COMPUTED_VALUE"""),"")</f>
        <v/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0">
        <f>IFERROR(__xludf.DUMMYFUNCTION("""COMPUTED_VALUE"""),2.1129401E8)</f>
        <v>211294010</v>
      </c>
      <c r="B378" s="22"/>
      <c r="C378" s="23">
        <f>IFERROR(__xludf.DUMMYFUNCTION("""COMPUTED_VALUE"""),1.1664)</f>
        <v>1.1664</v>
      </c>
      <c r="D378" s="23">
        <f>IFERROR(__xludf.DUMMYFUNCTION("""COMPUTED_VALUE"""),1.1664)</f>
        <v>1.1664</v>
      </c>
      <c r="E378" s="25">
        <f>IFERROR(__xludf.DUMMYFUNCTION("""COMPUTED_VALUE"""),1.0)</f>
        <v>1</v>
      </c>
      <c r="F378" s="2" t="str">
        <f>IFERROR(__xludf.DUMMYFUNCTION("""COMPUTED_VALUE"""),"")</f>
        <v/>
      </c>
      <c r="G378" s="27" t="str">
        <f>IFERROR(__xludf.DUMMYFUNCTION("""COMPUTED_VALUE"""),"")</f>
        <v/>
      </c>
      <c r="H378" s="23" t="str">
        <f>IFERROR(__xludf.DUMMYFUNCTION("""COMPUTED_VALUE"""),"")</f>
        <v/>
      </c>
      <c r="I378" s="2" t="str">
        <f>IFERROR(__xludf.DUMMYFUNCTION("""COMPUTED_VALUE"""),"")</f>
        <v/>
      </c>
      <c r="J378" s="27" t="str">
        <f>IFERROR(__xludf.DUMMYFUNCTION("""COMPUTED_VALUE"""),"")</f>
        <v/>
      </c>
      <c r="K378" s="23" t="str">
        <f>IFERROR(__xludf.DUMMYFUNCTION("""COMPUTED_VALUE"""),"")</f>
        <v/>
      </c>
      <c r="L378" s="2" t="str">
        <f>IFERROR(__xludf.DUMMYFUNCTION("""COMPUTED_VALUE"""),"Ф65 AL 2017 Italy")</f>
        <v>Ф65 AL 2017 Italy</v>
      </c>
      <c r="M378" s="27">
        <f>IFERROR(__xludf.DUMMYFUNCTION("""COMPUTED_VALUE"""),0.09)</f>
        <v>0.09</v>
      </c>
      <c r="N378" s="23">
        <f>IFERROR(__xludf.DUMMYFUNCTION("""COMPUTED_VALUE"""),1.1664)</f>
        <v>1.1664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0">
        <f>IFERROR(__xludf.DUMMYFUNCTION("""COMPUTED_VALUE"""),2.1129402E8)</f>
        <v>211294020</v>
      </c>
      <c r="B379" s="22"/>
      <c r="C379" s="23">
        <f>IFERROR(__xludf.DUMMYFUNCTION("""COMPUTED_VALUE"""),0.0)</f>
        <v>0</v>
      </c>
      <c r="D379" s="2" t="str">
        <f>IFERROR(__xludf.DUMMYFUNCTION("""COMPUTED_VALUE"""),"")</f>
        <v/>
      </c>
      <c r="E379" s="25" t="str">
        <f>IFERROR(__xludf.DUMMYFUNCTION("""COMPUTED_VALUE"""),"")</f>
        <v/>
      </c>
      <c r="F379" s="2" t="str">
        <f>IFERROR(__xludf.DUMMYFUNCTION("""COMPUTED_VALUE"""),"")</f>
        <v/>
      </c>
      <c r="G379" s="27" t="str">
        <f>IFERROR(__xludf.DUMMYFUNCTION("""COMPUTED_VALUE"""),"")</f>
        <v/>
      </c>
      <c r="H379" s="23" t="str">
        <f>IFERROR(__xludf.DUMMYFUNCTION("""COMPUTED_VALUE"""),"")</f>
        <v/>
      </c>
      <c r="I379" s="2" t="str">
        <f>IFERROR(__xludf.DUMMYFUNCTION("""COMPUTED_VALUE"""),"")</f>
        <v/>
      </c>
      <c r="J379" s="27" t="str">
        <f>IFERROR(__xludf.DUMMYFUNCTION("""COMPUTED_VALUE"""),"")</f>
        <v/>
      </c>
      <c r="K379" s="23" t="str">
        <f>IFERROR(__xludf.DUMMYFUNCTION("""COMPUTED_VALUE"""),"")</f>
        <v/>
      </c>
      <c r="L379" s="2" t="str">
        <f>IFERROR(__xludf.DUMMYFUNCTION("""COMPUTED_VALUE"""),"Ф28 S303")</f>
        <v>Ф28 S303</v>
      </c>
      <c r="M379" s="27">
        <f>IFERROR(__xludf.DUMMYFUNCTION("""COMPUTED_VALUE"""),0.0)</f>
        <v>0</v>
      </c>
      <c r="N379" s="23" t="str">
        <f>IFERROR(__xludf.DUMMYFUNCTION("""COMPUTED_VALUE"""),"")</f>
        <v/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0">
        <f>IFERROR(__xludf.DUMMYFUNCTION("""COMPUTED_VALUE"""),2.1129403E8)</f>
        <v>211294030</v>
      </c>
      <c r="B380" s="22"/>
      <c r="C380" s="23">
        <f>IFERROR(__xludf.DUMMYFUNCTION("""COMPUTED_VALUE"""),0.0)</f>
        <v>0</v>
      </c>
      <c r="D380" s="2" t="str">
        <f>IFERROR(__xludf.DUMMYFUNCTION("""COMPUTED_VALUE"""),"")</f>
        <v/>
      </c>
      <c r="E380" s="25" t="str">
        <f>IFERROR(__xludf.DUMMYFUNCTION("""COMPUTED_VALUE"""),"")</f>
        <v/>
      </c>
      <c r="F380" s="2" t="str">
        <f>IFERROR(__xludf.DUMMYFUNCTION("""COMPUTED_VALUE"""),"")</f>
        <v/>
      </c>
      <c r="G380" s="27" t="str">
        <f>IFERROR(__xludf.DUMMYFUNCTION("""COMPUTED_VALUE"""),"")</f>
        <v/>
      </c>
      <c r="H380" s="23" t="str">
        <f>IFERROR(__xludf.DUMMYFUNCTION("""COMPUTED_VALUE"""),"")</f>
        <v/>
      </c>
      <c r="I380" s="2" t="str">
        <f>IFERROR(__xludf.DUMMYFUNCTION("""COMPUTED_VALUE"""),"")</f>
        <v/>
      </c>
      <c r="J380" s="27" t="str">
        <f>IFERROR(__xludf.DUMMYFUNCTION("""COMPUTED_VALUE"""),"")</f>
        <v/>
      </c>
      <c r="K380" s="23" t="str">
        <f>IFERROR(__xludf.DUMMYFUNCTION("""COMPUTED_VALUE"""),"")</f>
        <v/>
      </c>
      <c r="L380" s="2" t="str">
        <f>IFERROR(__xludf.DUMMYFUNCTION("""COMPUTED_VALUE"""),"Ф28 S303")</f>
        <v>Ф28 S303</v>
      </c>
      <c r="M380" s="27">
        <f>IFERROR(__xludf.DUMMYFUNCTION("""COMPUTED_VALUE"""),0.0)</f>
        <v>0</v>
      </c>
      <c r="N380" s="23" t="str">
        <f>IFERROR(__xludf.DUMMYFUNCTION("""COMPUTED_VALUE"""),"")</f>
        <v/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0">
        <f>IFERROR(__xludf.DUMMYFUNCTION("""COMPUTED_VALUE"""),2.1129404E8)</f>
        <v>211294040</v>
      </c>
      <c r="B381" s="22"/>
      <c r="C381" s="23">
        <f>IFERROR(__xludf.DUMMYFUNCTION("""COMPUTED_VALUE"""),0.0)</f>
        <v>0</v>
      </c>
      <c r="D381" s="2" t="str">
        <f>IFERROR(__xludf.DUMMYFUNCTION("""COMPUTED_VALUE"""),"")</f>
        <v/>
      </c>
      <c r="E381" s="25" t="str">
        <f>IFERROR(__xludf.DUMMYFUNCTION("""COMPUTED_VALUE"""),"")</f>
        <v/>
      </c>
      <c r="F381" s="2" t="str">
        <f>IFERROR(__xludf.DUMMYFUNCTION("""COMPUTED_VALUE"""),"")</f>
        <v/>
      </c>
      <c r="G381" s="27" t="str">
        <f>IFERROR(__xludf.DUMMYFUNCTION("""COMPUTED_VALUE"""),"")</f>
        <v/>
      </c>
      <c r="H381" s="23" t="str">
        <f>IFERROR(__xludf.DUMMYFUNCTION("""COMPUTED_VALUE"""),"")</f>
        <v/>
      </c>
      <c r="I381" s="2" t="str">
        <f>IFERROR(__xludf.DUMMYFUNCTION("""COMPUTED_VALUE"""),"")</f>
        <v/>
      </c>
      <c r="J381" s="27" t="str">
        <f>IFERROR(__xludf.DUMMYFUNCTION("""COMPUTED_VALUE"""),"")</f>
        <v/>
      </c>
      <c r="K381" s="23" t="str">
        <f>IFERROR(__xludf.DUMMYFUNCTION("""COMPUTED_VALUE"""),"")</f>
        <v/>
      </c>
      <c r="L381" s="2" t="str">
        <f>IFERROR(__xludf.DUMMYFUNCTION("""COMPUTED_VALUE"""),"Ф28 S303")</f>
        <v>Ф28 S303</v>
      </c>
      <c r="M381" s="27">
        <f>IFERROR(__xludf.DUMMYFUNCTION("""COMPUTED_VALUE"""),0.0)</f>
        <v>0</v>
      </c>
      <c r="N381" s="23" t="str">
        <f>IFERROR(__xludf.DUMMYFUNCTION("""COMPUTED_VALUE"""),"")</f>
        <v/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0" t="str">
        <f>IFERROR(__xludf.DUMMYFUNCTION("""COMPUTED_VALUE"""),"21129405А")</f>
        <v>21129405А</v>
      </c>
      <c r="B382" s="22"/>
      <c r="C382" s="23">
        <f>IFERROR(__xludf.DUMMYFUNCTION("""COMPUTED_VALUE"""),0.0)</f>
        <v>0</v>
      </c>
      <c r="D382" s="2" t="str">
        <f>IFERROR(__xludf.DUMMYFUNCTION("""COMPUTED_VALUE"""),"")</f>
        <v/>
      </c>
      <c r="E382" s="25" t="str">
        <f>IFERROR(__xludf.DUMMYFUNCTION("""COMPUTED_VALUE"""),"")</f>
        <v/>
      </c>
      <c r="F382" s="2" t="str">
        <f>IFERROR(__xludf.DUMMYFUNCTION("""COMPUTED_VALUE"""),"")</f>
        <v/>
      </c>
      <c r="G382" s="27" t="str">
        <f>IFERROR(__xludf.DUMMYFUNCTION("""COMPUTED_VALUE"""),"")</f>
        <v/>
      </c>
      <c r="H382" s="23" t="str">
        <f>IFERROR(__xludf.DUMMYFUNCTION("""COMPUTED_VALUE"""),"")</f>
        <v/>
      </c>
      <c r="I382" s="2" t="str">
        <f>IFERROR(__xludf.DUMMYFUNCTION("""COMPUTED_VALUE"""),"")</f>
        <v/>
      </c>
      <c r="J382" s="27" t="str">
        <f>IFERROR(__xludf.DUMMYFUNCTION("""COMPUTED_VALUE"""),"")</f>
        <v/>
      </c>
      <c r="K382" s="23" t="str">
        <f>IFERROR(__xludf.DUMMYFUNCTION("""COMPUTED_VALUE"""),"")</f>
        <v/>
      </c>
      <c r="L382" s="2" t="str">
        <f>IFERROR(__xludf.DUMMYFUNCTION("""COMPUTED_VALUE"""),"Ф28 S303")</f>
        <v>Ф28 S303</v>
      </c>
      <c r="M382" s="27">
        <f>IFERROR(__xludf.DUMMYFUNCTION("""COMPUTED_VALUE"""),0.0)</f>
        <v>0</v>
      </c>
      <c r="N382" s="23" t="str">
        <f>IFERROR(__xludf.DUMMYFUNCTION("""COMPUTED_VALUE"""),"")</f>
        <v/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0" t="str">
        <f>IFERROR(__xludf.DUMMYFUNCTION("""COMPUTED_VALUE"""),"21137800А")</f>
        <v>21137800А</v>
      </c>
      <c r="B383" s="22"/>
      <c r="C383" s="23">
        <f>IFERROR(__xludf.DUMMYFUNCTION("""COMPUTED_VALUE"""),0.0)</f>
        <v>0</v>
      </c>
      <c r="D383" s="2" t="str">
        <f>IFERROR(__xludf.DUMMYFUNCTION("""COMPUTED_VALUE"""),"")</f>
        <v/>
      </c>
      <c r="E383" s="25" t="str">
        <f>IFERROR(__xludf.DUMMYFUNCTION("""COMPUTED_VALUE"""),"")</f>
        <v/>
      </c>
      <c r="F383" s="2" t="str">
        <f>IFERROR(__xludf.DUMMYFUNCTION("""COMPUTED_VALUE"""),"")</f>
        <v/>
      </c>
      <c r="G383" s="27" t="str">
        <f>IFERROR(__xludf.DUMMYFUNCTION("""COMPUTED_VALUE"""),"")</f>
        <v/>
      </c>
      <c r="H383" s="23" t="str">
        <f>IFERROR(__xludf.DUMMYFUNCTION("""COMPUTED_VALUE"""),"")</f>
        <v/>
      </c>
      <c r="I383" s="2" t="str">
        <f>IFERROR(__xludf.DUMMYFUNCTION("""COMPUTED_VALUE"""),"")</f>
        <v/>
      </c>
      <c r="J383" s="27" t="str">
        <f>IFERROR(__xludf.DUMMYFUNCTION("""COMPUTED_VALUE"""),"")</f>
        <v/>
      </c>
      <c r="K383" s="23" t="str">
        <f>IFERROR(__xludf.DUMMYFUNCTION("""COMPUTED_VALUE"""),"")</f>
        <v/>
      </c>
      <c r="L383" s="2" t="str">
        <f>IFERROR(__xludf.DUMMYFUNCTION("""COMPUTED_VALUE"""),"Ф28 S303")</f>
        <v>Ф28 S303</v>
      </c>
      <c r="M383" s="27">
        <f>IFERROR(__xludf.DUMMYFUNCTION("""COMPUTED_VALUE"""),0.0)</f>
        <v>0</v>
      </c>
      <c r="N383" s="23" t="str">
        <f>IFERROR(__xludf.DUMMYFUNCTION("""COMPUTED_VALUE"""),"")</f>
        <v/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0" t="str">
        <f>IFERROR(__xludf.DUMMYFUNCTION("""COMPUTED_VALUE"""),"575-01924-701")</f>
        <v>575-01924-701</v>
      </c>
      <c r="B384" s="22"/>
      <c r="C384" s="23">
        <f>IFERROR(__xludf.DUMMYFUNCTION("""COMPUTED_VALUE"""),0.0)</f>
        <v>0</v>
      </c>
      <c r="D384" s="2" t="str">
        <f>IFERROR(__xludf.DUMMYFUNCTION("""COMPUTED_VALUE"""),"")</f>
        <v/>
      </c>
      <c r="E384" s="25" t="str">
        <f>IFERROR(__xludf.DUMMYFUNCTION("""COMPUTED_VALUE"""),"")</f>
        <v/>
      </c>
      <c r="F384" s="2" t="str">
        <f>IFERROR(__xludf.DUMMYFUNCTION("""COMPUTED_VALUE"""),"")</f>
        <v/>
      </c>
      <c r="G384" s="27" t="str">
        <f>IFERROR(__xludf.DUMMYFUNCTION("""COMPUTED_VALUE"""),"")</f>
        <v/>
      </c>
      <c r="H384" s="23" t="str">
        <f>IFERROR(__xludf.DUMMYFUNCTION("""COMPUTED_VALUE"""),"")</f>
        <v/>
      </c>
      <c r="I384" s="2" t="str">
        <f>IFERROR(__xludf.DUMMYFUNCTION("""COMPUTED_VALUE"""),"")</f>
        <v/>
      </c>
      <c r="J384" s="27" t="str">
        <f>IFERROR(__xludf.DUMMYFUNCTION("""COMPUTED_VALUE"""),"")</f>
        <v/>
      </c>
      <c r="K384" s="23" t="str">
        <f>IFERROR(__xludf.DUMMYFUNCTION("""COMPUTED_VALUE"""),"")</f>
        <v/>
      </c>
      <c r="L384" s="2" t="str">
        <f>IFERROR(__xludf.DUMMYFUNCTION("""COMPUTED_VALUE"""),"")</f>
        <v/>
      </c>
      <c r="M384" s="27" t="str">
        <f>IFERROR(__xludf.DUMMYFUNCTION("""COMPUTED_VALUE"""),"")</f>
        <v/>
      </c>
      <c r="N384" s="23" t="str">
        <f>IFERROR(__xludf.DUMMYFUNCTION("""COMPUTED_VALUE"""),"")</f>
        <v/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0" t="str">
        <f>IFERROR(__xludf.DUMMYFUNCTION("""COMPUTED_VALUE"""),"21129600C")</f>
        <v>21129600C</v>
      </c>
      <c r="B385" s="22"/>
      <c r="C385" s="23">
        <f>IFERROR(__xludf.DUMMYFUNCTION("""COMPUTED_VALUE"""),0.0)</f>
        <v>0</v>
      </c>
      <c r="D385" s="2" t="str">
        <f>IFERROR(__xludf.DUMMYFUNCTION("""COMPUTED_VALUE"""),"")</f>
        <v/>
      </c>
      <c r="E385" s="25" t="str">
        <f>IFERROR(__xludf.DUMMYFUNCTION("""COMPUTED_VALUE"""),"")</f>
        <v/>
      </c>
      <c r="F385" s="2" t="str">
        <f>IFERROR(__xludf.DUMMYFUNCTION("""COMPUTED_VALUE"""),"")</f>
        <v/>
      </c>
      <c r="G385" s="27" t="str">
        <f>IFERROR(__xludf.DUMMYFUNCTION("""COMPUTED_VALUE"""),"")</f>
        <v/>
      </c>
      <c r="H385" s="23" t="str">
        <f>IFERROR(__xludf.DUMMYFUNCTION("""COMPUTED_VALUE"""),"")</f>
        <v/>
      </c>
      <c r="I385" s="2" t="str">
        <f>IFERROR(__xludf.DUMMYFUNCTION("""COMPUTED_VALUE"""),"")</f>
        <v/>
      </c>
      <c r="J385" s="27" t="str">
        <f>IFERROR(__xludf.DUMMYFUNCTION("""COMPUTED_VALUE"""),"")</f>
        <v/>
      </c>
      <c r="K385" s="23" t="str">
        <f>IFERROR(__xludf.DUMMYFUNCTION("""COMPUTED_VALUE"""),"")</f>
        <v/>
      </c>
      <c r="L385" s="2" t="str">
        <f>IFERROR(__xludf.DUMMYFUNCTION("""COMPUTED_VALUE"""),"")</f>
        <v/>
      </c>
      <c r="M385" s="27" t="str">
        <f>IFERROR(__xludf.DUMMYFUNCTION("""COMPUTED_VALUE"""),"")</f>
        <v/>
      </c>
      <c r="N385" s="23" t="str">
        <f>IFERROR(__xludf.DUMMYFUNCTION("""COMPUTED_VALUE"""),"")</f>
        <v/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0" t="str">
        <f>IFERROR(__xludf.DUMMYFUNCTION("""COMPUTED_VALUE"""),"22140700A")</f>
        <v>22140700A</v>
      </c>
      <c r="B386" s="22" t="str">
        <f>IFERROR(__xludf.DUMMYFUNCTION("""COMPUTED_VALUE"""),"Special H25 BODY for HT400")</f>
        <v>Special H25 BODY for HT400</v>
      </c>
      <c r="C386" s="23">
        <f>IFERROR(__xludf.DUMMYFUNCTION("""COMPUTED_VALUE"""),4.03056)</f>
        <v>4.03056</v>
      </c>
      <c r="D386" s="23">
        <f>IFERROR(__xludf.DUMMYFUNCTION("""COMPUTED_VALUE"""),4.03056)</f>
        <v>4.03056</v>
      </c>
      <c r="E386" s="25">
        <f>IFERROR(__xludf.DUMMYFUNCTION("""COMPUTED_VALUE"""),0.771712158808933)</f>
        <v>0.7717121588</v>
      </c>
      <c r="F386" s="2" t="str">
        <f>IFERROR(__xludf.DUMMYFUNCTION("""COMPUTED_VALUE"""),"Ф65 AL 2017 Italy")</f>
        <v>Ф65 AL 2017 Italy</v>
      </c>
      <c r="G386" s="27">
        <f>IFERROR(__xludf.DUMMYFUNCTION("""COMPUTED_VALUE"""),0.311)</f>
        <v>0.311</v>
      </c>
      <c r="H386" s="23">
        <f>IFERROR(__xludf.DUMMYFUNCTION("""COMPUTED_VALUE"""),4.03056)</f>
        <v>4.03056</v>
      </c>
      <c r="I386" s="2" t="str">
        <f>IFERROR(__xludf.DUMMYFUNCTION("""COMPUTED_VALUE"""),"")</f>
        <v/>
      </c>
      <c r="J386" s="27" t="str">
        <f>IFERROR(__xludf.DUMMYFUNCTION("""COMPUTED_VALUE"""),"")</f>
        <v/>
      </c>
      <c r="K386" s="23" t="str">
        <f>IFERROR(__xludf.DUMMYFUNCTION("""COMPUTED_VALUE"""),"")</f>
        <v/>
      </c>
      <c r="L386" s="2" t="str">
        <f>IFERROR(__xludf.DUMMYFUNCTION("""COMPUTED_VALUE"""),"")</f>
        <v/>
      </c>
      <c r="M386" s="27" t="str">
        <f>IFERROR(__xludf.DUMMYFUNCTION("""COMPUTED_VALUE"""),"")</f>
        <v/>
      </c>
      <c r="N386" s="23" t="str">
        <f>IFERROR(__xludf.DUMMYFUNCTION("""COMPUTED_VALUE"""),"")</f>
        <v/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0" t="str">
        <f>IFERROR(__xludf.DUMMYFUNCTION("""COMPUTED_VALUE"""),"575-15902-5KC")</f>
        <v>575-15902-5KC</v>
      </c>
      <c r="B387" s="22" t="str">
        <f>IFERROR(__xludf.DUMMYFUNCTION("""COMPUTED_VALUE"""),"Size11, 5KHz/0.95, 5min acc modified shaft, w/ seal Nuclear, 1.88"" body length")</f>
        <v>Size11, 5KHz/0.95, 5min acc modified shaft, w/ seal Nuclear, 1.88" body length</v>
      </c>
      <c r="C387" s="23">
        <f>IFERROR(__xludf.DUMMYFUNCTION("""COMPUTED_VALUE"""),0.0)</f>
        <v>0</v>
      </c>
      <c r="D387" s="2" t="str">
        <f>IFERROR(__xludf.DUMMYFUNCTION("""COMPUTED_VALUE"""),"")</f>
        <v/>
      </c>
      <c r="E387" s="25" t="str">
        <f>IFERROR(__xludf.DUMMYFUNCTION("""COMPUTED_VALUE"""),"")</f>
        <v/>
      </c>
      <c r="F387" s="2" t="str">
        <f>IFERROR(__xludf.DUMMYFUNCTION("""COMPUTED_VALUE"""),"Ф28 S303")</f>
        <v>Ф28 S303</v>
      </c>
      <c r="G387" s="2" t="str">
        <f>IFERROR(__xludf.DUMMYFUNCTION("""COMPUTED_VALUE"""),"")</f>
        <v/>
      </c>
      <c r="H387" s="23" t="str">
        <f>IFERROR(__xludf.DUMMYFUNCTION("""COMPUTED_VALUE"""),"")</f>
        <v/>
      </c>
      <c r="I387" s="2" t="str">
        <f>IFERROR(__xludf.DUMMYFUNCTION("""COMPUTED_VALUE"""),"")</f>
        <v/>
      </c>
      <c r="J387" s="27" t="str">
        <f>IFERROR(__xludf.DUMMYFUNCTION("""COMPUTED_VALUE"""),"")</f>
        <v/>
      </c>
      <c r="K387" s="23" t="str">
        <f>IFERROR(__xludf.DUMMYFUNCTION("""COMPUTED_VALUE"""),"")</f>
        <v/>
      </c>
      <c r="L387" s="2" t="str">
        <f>IFERROR(__xludf.DUMMYFUNCTION("""COMPUTED_VALUE"""),"")</f>
        <v/>
      </c>
      <c r="M387" s="27" t="str">
        <f>IFERROR(__xludf.DUMMYFUNCTION("""COMPUTED_VALUE"""),"")</f>
        <v/>
      </c>
      <c r="N387" s="23" t="str">
        <f>IFERROR(__xludf.DUMMYFUNCTION("""COMPUTED_VALUE"""),"")</f>
        <v/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0">
        <f>IFERROR(__xludf.DUMMYFUNCTION("""COMPUTED_VALUE"""),2.21502E8)</f>
        <v>221502000</v>
      </c>
      <c r="B388" s="22"/>
      <c r="C388" s="23">
        <f>IFERROR(__xludf.DUMMYFUNCTION("""COMPUTED_VALUE"""),1.0368000000000002)</f>
        <v>1.0368</v>
      </c>
      <c r="D388" s="23">
        <f>IFERROR(__xludf.DUMMYFUNCTION("""COMPUTED_VALUE"""),1.0368000000000002)</f>
        <v>1.0368</v>
      </c>
      <c r="E388" s="25">
        <f>IFERROR(__xludf.DUMMYFUNCTION("""COMPUTED_VALUE"""),1.0)</f>
        <v>1</v>
      </c>
      <c r="F388" s="2" t="str">
        <f>IFERROR(__xludf.DUMMYFUNCTION("""COMPUTED_VALUE"""),"")</f>
        <v/>
      </c>
      <c r="G388" s="27" t="str">
        <f>IFERROR(__xludf.DUMMYFUNCTION("""COMPUTED_VALUE"""),"")</f>
        <v/>
      </c>
      <c r="H388" s="23" t="str">
        <f>IFERROR(__xludf.DUMMYFUNCTION("""COMPUTED_VALUE"""),"")</f>
        <v/>
      </c>
      <c r="I388" s="2" t="str">
        <f>IFERROR(__xludf.DUMMYFUNCTION("""COMPUTED_VALUE"""),"Ф65 AL 2017 Italy")</f>
        <v>Ф65 AL 2017 Italy</v>
      </c>
      <c r="J388" s="27">
        <f>IFERROR(__xludf.DUMMYFUNCTION("""COMPUTED_VALUE"""),0.08)</f>
        <v>0.08</v>
      </c>
      <c r="K388" s="23">
        <f>IFERROR(__xludf.DUMMYFUNCTION("""COMPUTED_VALUE"""),1.0368000000000002)</f>
        <v>1.0368</v>
      </c>
      <c r="L388" s="2" t="str">
        <f>IFERROR(__xludf.DUMMYFUNCTION("""COMPUTED_VALUE"""),"")</f>
        <v/>
      </c>
      <c r="M388" s="27" t="str">
        <f>IFERROR(__xludf.DUMMYFUNCTION("""COMPUTED_VALUE"""),"")</f>
        <v/>
      </c>
      <c r="N388" s="23" t="str">
        <f>IFERROR(__xludf.DUMMYFUNCTION("""COMPUTED_VALUE"""),"")</f>
        <v/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0">
        <f>IFERROR(__xludf.DUMMYFUNCTION("""COMPUTED_VALUE"""),2.21451E8)</f>
        <v>221451000</v>
      </c>
      <c r="B389" s="22"/>
      <c r="C389" s="23">
        <f>IFERROR(__xludf.DUMMYFUNCTION("""COMPUTED_VALUE"""),0.0)</f>
        <v>0</v>
      </c>
      <c r="D389" s="2" t="str">
        <f>IFERROR(__xludf.DUMMYFUNCTION("""COMPUTED_VALUE"""),"")</f>
        <v/>
      </c>
      <c r="E389" s="25" t="str">
        <f>IFERROR(__xludf.DUMMYFUNCTION("""COMPUTED_VALUE"""),"")</f>
        <v/>
      </c>
      <c r="F389" s="2" t="str">
        <f>IFERROR(__xludf.DUMMYFUNCTION("""COMPUTED_VALUE"""),"")</f>
        <v/>
      </c>
      <c r="G389" s="27" t="str">
        <f>IFERROR(__xludf.DUMMYFUNCTION("""COMPUTED_VALUE"""),"")</f>
        <v/>
      </c>
      <c r="H389" s="23" t="str">
        <f>IFERROR(__xludf.DUMMYFUNCTION("""COMPUTED_VALUE"""),"")</f>
        <v/>
      </c>
      <c r="I389" s="2"/>
      <c r="J389" s="27">
        <f>IFERROR(__xludf.DUMMYFUNCTION("""COMPUTED_VALUE"""),0.0)</f>
        <v>0</v>
      </c>
      <c r="K389" s="23" t="str">
        <f>IFERROR(__xludf.DUMMYFUNCTION("""COMPUTED_VALUE"""),"")</f>
        <v/>
      </c>
      <c r="L389" s="2" t="str">
        <f>IFERROR(__xludf.DUMMYFUNCTION("""COMPUTED_VALUE"""),"")</f>
        <v/>
      </c>
      <c r="M389" s="27" t="str">
        <f>IFERROR(__xludf.DUMMYFUNCTION("""COMPUTED_VALUE"""),"")</f>
        <v/>
      </c>
      <c r="N389" s="23" t="str">
        <f>IFERROR(__xludf.DUMMYFUNCTION("""COMPUTED_VALUE"""),"")</f>
        <v/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0" t="str">
        <f>IFERROR(__xludf.DUMMYFUNCTION("""COMPUTED_VALUE"""),"211398000A")</f>
        <v>211398000A</v>
      </c>
      <c r="B390" s="22"/>
      <c r="C390" s="23">
        <f>IFERROR(__xludf.DUMMYFUNCTION("""COMPUTED_VALUE"""),0.0)</f>
        <v>0</v>
      </c>
      <c r="D390" s="2" t="str">
        <f>IFERROR(__xludf.DUMMYFUNCTION("""COMPUTED_VALUE"""),"")</f>
        <v/>
      </c>
      <c r="E390" s="25" t="str">
        <f>IFERROR(__xludf.DUMMYFUNCTION("""COMPUTED_VALUE"""),"")</f>
        <v/>
      </c>
      <c r="F390" s="2" t="str">
        <f>IFERROR(__xludf.DUMMYFUNCTION("""COMPUTED_VALUE"""),"")</f>
        <v/>
      </c>
      <c r="G390" s="27" t="str">
        <f>IFERROR(__xludf.DUMMYFUNCTION("""COMPUTED_VALUE"""),"")</f>
        <v/>
      </c>
      <c r="H390" s="23" t="str">
        <f>IFERROR(__xludf.DUMMYFUNCTION("""COMPUTED_VALUE"""),"")</f>
        <v/>
      </c>
      <c r="I390" s="2" t="str">
        <f>IFERROR(__xludf.DUMMYFUNCTION("""COMPUTED_VALUE"""),"")</f>
        <v/>
      </c>
      <c r="J390" s="27" t="str">
        <f>IFERROR(__xludf.DUMMYFUNCTION("""COMPUTED_VALUE"""),"")</f>
        <v/>
      </c>
      <c r="K390" s="23" t="str">
        <f>IFERROR(__xludf.DUMMYFUNCTION("""COMPUTED_VALUE"""),"")</f>
        <v/>
      </c>
      <c r="L390" s="2" t="str">
        <f>IFERROR(__xludf.DUMMYFUNCTION("""COMPUTED_VALUE"""),"")</f>
        <v/>
      </c>
      <c r="M390" s="27" t="str">
        <f>IFERROR(__xludf.DUMMYFUNCTION("""COMPUTED_VALUE"""),"")</f>
        <v/>
      </c>
      <c r="N390" s="23" t="str">
        <f>IFERROR(__xludf.DUMMYFUNCTION("""COMPUTED_VALUE"""),"")</f>
        <v/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0" t="str">
        <f>IFERROR(__xludf.DUMMYFUNCTION("""COMPUTED_VALUE"""),"21134800A")</f>
        <v>21134800A</v>
      </c>
      <c r="B391" s="22"/>
      <c r="C391" s="23">
        <f>IFERROR(__xludf.DUMMYFUNCTION("""COMPUTED_VALUE"""),0.0)</f>
        <v>0</v>
      </c>
      <c r="D391" s="2" t="str">
        <f>IFERROR(__xludf.DUMMYFUNCTION("""COMPUTED_VALUE"""),"")</f>
        <v/>
      </c>
      <c r="E391" s="25" t="str">
        <f>IFERROR(__xludf.DUMMYFUNCTION("""COMPUTED_VALUE"""),"")</f>
        <v/>
      </c>
      <c r="F391" s="2" t="str">
        <f>IFERROR(__xludf.DUMMYFUNCTION("""COMPUTED_VALUE"""),"")</f>
        <v/>
      </c>
      <c r="G391" s="27" t="str">
        <f>IFERROR(__xludf.DUMMYFUNCTION("""COMPUTED_VALUE"""),"")</f>
        <v/>
      </c>
      <c r="H391" s="23" t="str">
        <f>IFERROR(__xludf.DUMMYFUNCTION("""COMPUTED_VALUE"""),"")</f>
        <v/>
      </c>
      <c r="I391" s="2" t="str">
        <f>IFERROR(__xludf.DUMMYFUNCTION("""COMPUTED_VALUE"""),"")</f>
        <v/>
      </c>
      <c r="J391" s="27" t="str">
        <f>IFERROR(__xludf.DUMMYFUNCTION("""COMPUTED_VALUE"""),"")</f>
        <v/>
      </c>
      <c r="K391" s="23" t="str">
        <f>IFERROR(__xludf.DUMMYFUNCTION("""COMPUTED_VALUE"""),"")</f>
        <v/>
      </c>
      <c r="L391" s="2" t="str">
        <f>IFERROR(__xludf.DUMMYFUNCTION("""COMPUTED_VALUE"""),"")</f>
        <v/>
      </c>
      <c r="M391" s="27" t="str">
        <f>IFERROR(__xludf.DUMMYFUNCTION("""COMPUTED_VALUE"""),"")</f>
        <v/>
      </c>
      <c r="N391" s="23" t="str">
        <f>IFERROR(__xludf.DUMMYFUNCTION("""COMPUTED_VALUE"""),"")</f>
        <v/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0">
        <f>IFERROR(__xludf.DUMMYFUNCTION("""COMPUTED_VALUE"""),2.21459E8)</f>
        <v>221459000</v>
      </c>
      <c r="B392" s="22"/>
      <c r="C392" s="23">
        <f>IFERROR(__xludf.DUMMYFUNCTION("""COMPUTED_VALUE"""),0.0)</f>
        <v>0</v>
      </c>
      <c r="D392" s="2" t="str">
        <f>IFERROR(__xludf.DUMMYFUNCTION("""COMPUTED_VALUE"""),"")</f>
        <v/>
      </c>
      <c r="E392" s="25">
        <f>IFERROR(__xludf.DUMMYFUNCTION("""COMPUTED_VALUE"""),1.0)</f>
        <v>1</v>
      </c>
      <c r="F392" s="2" t="str">
        <f>IFERROR(__xludf.DUMMYFUNCTION("""COMPUTED_VALUE"""),"")</f>
        <v/>
      </c>
      <c r="G392" s="27" t="str">
        <f>IFERROR(__xludf.DUMMYFUNCTION("""COMPUTED_VALUE"""),"")</f>
        <v/>
      </c>
      <c r="H392" s="23" t="str">
        <f>IFERROR(__xludf.DUMMYFUNCTION("""COMPUTED_VALUE"""),"")</f>
        <v/>
      </c>
      <c r="I392" s="2" t="str">
        <f>IFERROR(__xludf.DUMMYFUNCTION("""COMPUTED_VALUE"""),"")</f>
        <v/>
      </c>
      <c r="J392" s="27" t="str">
        <f>IFERROR(__xludf.DUMMYFUNCTION("""COMPUTED_VALUE"""),"")</f>
        <v/>
      </c>
      <c r="K392" s="23" t="str">
        <f>IFERROR(__xludf.DUMMYFUNCTION("""COMPUTED_VALUE"""),"")</f>
        <v/>
      </c>
      <c r="L392" s="2" t="str">
        <f>IFERROR(__xludf.DUMMYFUNCTION("""COMPUTED_VALUE"""),"AL cast USA (pc.)")</f>
        <v>AL cast USA (pc.)</v>
      </c>
      <c r="M392" s="27">
        <f>IFERROR(__xludf.DUMMYFUNCTION("""COMPUTED_VALUE"""),0.127)</f>
        <v>0.127</v>
      </c>
      <c r="N392" s="23" t="str">
        <f>IFERROR(__xludf.DUMMYFUNCTION("""COMPUTED_VALUE"""),"")</f>
        <v/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0">
        <f>IFERROR(__xludf.DUMMYFUNCTION("""COMPUTED_VALUE"""),2.11448E8)</f>
        <v>211448000</v>
      </c>
      <c r="B393" s="22"/>
      <c r="C393" s="23">
        <f>IFERROR(__xludf.DUMMYFUNCTION("""COMPUTED_VALUE"""),0.0)</f>
        <v>0</v>
      </c>
      <c r="D393" s="2" t="str">
        <f>IFERROR(__xludf.DUMMYFUNCTION("""COMPUTED_VALUE"""),"")</f>
        <v/>
      </c>
      <c r="E393" s="25" t="str">
        <f>IFERROR(__xludf.DUMMYFUNCTION("""COMPUTED_VALUE"""),"")</f>
        <v/>
      </c>
      <c r="F393" s="2" t="str">
        <f>IFERROR(__xludf.DUMMYFUNCTION("""COMPUTED_VALUE"""),"")</f>
        <v/>
      </c>
      <c r="G393" s="27" t="str">
        <f>IFERROR(__xludf.DUMMYFUNCTION("""COMPUTED_VALUE"""),"")</f>
        <v/>
      </c>
      <c r="H393" s="23" t="str">
        <f>IFERROR(__xludf.DUMMYFUNCTION("""COMPUTED_VALUE"""),"")</f>
        <v/>
      </c>
      <c r="I393" s="2" t="str">
        <f>IFERROR(__xludf.DUMMYFUNCTION("""COMPUTED_VALUE"""),"")</f>
        <v/>
      </c>
      <c r="J393" s="27" t="str">
        <f>IFERROR(__xludf.DUMMYFUNCTION("""COMPUTED_VALUE"""),"")</f>
        <v/>
      </c>
      <c r="K393" s="23" t="str">
        <f>IFERROR(__xludf.DUMMYFUNCTION("""COMPUTED_VALUE"""),"")</f>
        <v/>
      </c>
      <c r="L393" s="2"/>
      <c r="M393" s="27">
        <f>IFERROR(__xludf.DUMMYFUNCTION("""COMPUTED_VALUE"""),0.0)</f>
        <v>0</v>
      </c>
      <c r="N393" s="23" t="str">
        <f>IFERROR(__xludf.DUMMYFUNCTION("""COMPUTED_VALUE"""),"")</f>
        <v/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0" t="str">
        <f>IFERROR(__xludf.DUMMYFUNCTION("""COMPUTED_VALUE"""),"21131600C")</f>
        <v>21131600C</v>
      </c>
      <c r="B394" s="22"/>
      <c r="C394" s="23">
        <f>IFERROR(__xludf.DUMMYFUNCTION("""COMPUTED_VALUE"""),0.0)</f>
        <v>0</v>
      </c>
      <c r="D394" s="2" t="str">
        <f>IFERROR(__xludf.DUMMYFUNCTION("""COMPUTED_VALUE"""),"")</f>
        <v/>
      </c>
      <c r="E394" s="25" t="str">
        <f>IFERROR(__xludf.DUMMYFUNCTION("""COMPUTED_VALUE"""),"")</f>
        <v/>
      </c>
      <c r="F394" s="2" t="str">
        <f>IFERROR(__xludf.DUMMYFUNCTION("""COMPUTED_VALUE"""),"")</f>
        <v/>
      </c>
      <c r="G394" s="27" t="str">
        <f>IFERROR(__xludf.DUMMYFUNCTION("""COMPUTED_VALUE"""),"")</f>
        <v/>
      </c>
      <c r="H394" s="23" t="str">
        <f>IFERROR(__xludf.DUMMYFUNCTION("""COMPUTED_VALUE"""),"")</f>
        <v/>
      </c>
      <c r="I394" s="2" t="str">
        <f>IFERROR(__xludf.DUMMYFUNCTION("""COMPUTED_VALUE"""),"")</f>
        <v/>
      </c>
      <c r="J394" s="27" t="str">
        <f>IFERROR(__xludf.DUMMYFUNCTION("""COMPUTED_VALUE"""),"")</f>
        <v/>
      </c>
      <c r="K394" s="23" t="str">
        <f>IFERROR(__xludf.DUMMYFUNCTION("""COMPUTED_VALUE"""),"")</f>
        <v/>
      </c>
      <c r="L394" s="2" t="str">
        <f>IFERROR(__xludf.DUMMYFUNCTION("""COMPUTED_VALUE"""),"Ф65 AL 2017 Italy")</f>
        <v>Ф65 AL 2017 Italy</v>
      </c>
      <c r="M394" s="27">
        <f>IFERROR(__xludf.DUMMYFUNCTION("""COMPUTED_VALUE"""),0.0)</f>
        <v>0</v>
      </c>
      <c r="N394" s="23">
        <f>IFERROR(__xludf.DUMMYFUNCTION("""COMPUTED_VALUE"""),0.0)</f>
        <v>0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0">
        <f>IFERROR(__xludf.DUMMYFUNCTION("""COMPUTED_VALUE"""),2.21467E8)</f>
        <v>221467000</v>
      </c>
      <c r="B395" s="22"/>
      <c r="C395" s="23">
        <f>IFERROR(__xludf.DUMMYFUNCTION("""COMPUTED_VALUE"""),1.64592)</f>
        <v>1.64592</v>
      </c>
      <c r="D395" s="23">
        <f>IFERROR(__xludf.DUMMYFUNCTION("""COMPUTED_VALUE"""),1.64592)</f>
        <v>1.64592</v>
      </c>
      <c r="E395" s="25">
        <f>IFERROR(__xludf.DUMMYFUNCTION("""COMPUTED_VALUE"""),1.0)</f>
        <v>1</v>
      </c>
      <c r="F395" s="2" t="str">
        <f>IFERROR(__xludf.DUMMYFUNCTION("""COMPUTED_VALUE"""),"")</f>
        <v/>
      </c>
      <c r="G395" s="27" t="str">
        <f>IFERROR(__xludf.DUMMYFUNCTION("""COMPUTED_VALUE"""),"")</f>
        <v/>
      </c>
      <c r="H395" s="23" t="str">
        <f>IFERROR(__xludf.DUMMYFUNCTION("""COMPUTED_VALUE"""),"")</f>
        <v/>
      </c>
      <c r="I395" s="2" t="str">
        <f>IFERROR(__xludf.DUMMYFUNCTION("""COMPUTED_VALUE"""),"")</f>
        <v/>
      </c>
      <c r="J395" s="27" t="str">
        <f>IFERROR(__xludf.DUMMYFUNCTION("""COMPUTED_VALUE"""),"")</f>
        <v/>
      </c>
      <c r="K395" s="23" t="str">
        <f>IFERROR(__xludf.DUMMYFUNCTION("""COMPUTED_VALUE"""),"")</f>
        <v/>
      </c>
      <c r="L395" s="2" t="str">
        <f>IFERROR(__xludf.DUMMYFUNCTION("""COMPUTED_VALUE"""),"Ф65 AL 2017 Italy")</f>
        <v>Ф65 AL 2017 Italy</v>
      </c>
      <c r="M395" s="27">
        <f>IFERROR(__xludf.DUMMYFUNCTION("""COMPUTED_VALUE"""),0.127)</f>
        <v>0.127</v>
      </c>
      <c r="N395" s="23">
        <f>IFERROR(__xludf.DUMMYFUNCTION("""COMPUTED_VALUE"""),1.64592)</f>
        <v>1.64592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0">
        <f>IFERROR(__xludf.DUMMYFUNCTION("""COMPUTED_VALUE"""),2.11482E8)</f>
        <v>211482000</v>
      </c>
      <c r="B396" s="22" t="str">
        <f>IFERROR(__xludf.DUMMYFUNCTION("""COMPUTED_VALUE"""),"NR25 DUAL PORT MULTITURN COVER")</f>
        <v>NR25 DUAL PORT MULTITURN COVER</v>
      </c>
      <c r="C396" s="23">
        <f>IFERROR(__xludf.DUMMYFUNCTION("""COMPUTED_VALUE"""),0.7516800000000001)</f>
        <v>0.75168</v>
      </c>
      <c r="D396" s="23">
        <f>IFERROR(__xludf.DUMMYFUNCTION("""COMPUTED_VALUE"""),0.7516800000000001)</f>
        <v>0.75168</v>
      </c>
      <c r="E396" s="25">
        <f>IFERROR(__xludf.DUMMYFUNCTION("""COMPUTED_VALUE"""),1.0)</f>
        <v>1</v>
      </c>
      <c r="F396" s="2" t="str">
        <f>IFERROR(__xludf.DUMMYFUNCTION("""COMPUTED_VALUE"""),"")</f>
        <v/>
      </c>
      <c r="G396" s="27" t="str">
        <f>IFERROR(__xludf.DUMMYFUNCTION("""COMPUTED_VALUE"""),"")</f>
        <v/>
      </c>
      <c r="H396" s="23" t="str">
        <f>IFERROR(__xludf.DUMMYFUNCTION("""COMPUTED_VALUE"""),"")</f>
        <v/>
      </c>
      <c r="I396" s="2" t="str">
        <f>IFERROR(__xludf.DUMMYFUNCTION("""COMPUTED_VALUE"""),"")</f>
        <v/>
      </c>
      <c r="J396" s="27" t="str">
        <f>IFERROR(__xludf.DUMMYFUNCTION("""COMPUTED_VALUE"""),"")</f>
        <v/>
      </c>
      <c r="K396" s="23" t="str">
        <f>IFERROR(__xludf.DUMMYFUNCTION("""COMPUTED_VALUE"""),"")</f>
        <v/>
      </c>
      <c r="L396" s="2" t="str">
        <f>IFERROR(__xludf.DUMMYFUNCTION("""COMPUTED_VALUE"""),"Ф62 AL 2017 Italy")</f>
        <v>Ф62 AL 2017 Italy</v>
      </c>
      <c r="M396" s="27">
        <f>IFERROR(__xludf.DUMMYFUNCTION("""COMPUTED_VALUE"""),0.058)</f>
        <v>0.058</v>
      </c>
      <c r="N396" s="23">
        <f>IFERROR(__xludf.DUMMYFUNCTION("""COMPUTED_VALUE"""),0.7516800000000001)</f>
        <v>0.75168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0">
        <f>IFERROR(__xludf.DUMMYFUNCTION("""COMPUTED_VALUE"""),2.11394E8)</f>
        <v>211394000</v>
      </c>
      <c r="B397" s="22" t="str">
        <f>IFERROR(__xludf.DUMMYFUNCTION("""COMPUTED_VALUE"""),"NR25 Ethernet for TURCK")</f>
        <v>NR25 Ethernet for TURCK</v>
      </c>
      <c r="C397" s="23">
        <f>IFERROR(__xludf.DUMMYFUNCTION("""COMPUTED_VALUE"""),0.0)</f>
        <v>0</v>
      </c>
      <c r="D397" s="2" t="str">
        <f>IFERROR(__xludf.DUMMYFUNCTION("""COMPUTED_VALUE"""),"")</f>
        <v/>
      </c>
      <c r="E397" s="25" t="str">
        <f>IFERROR(__xludf.DUMMYFUNCTION("""COMPUTED_VALUE"""),"")</f>
        <v/>
      </c>
      <c r="F397" s="2" t="str">
        <f>IFERROR(__xludf.DUMMYFUNCTION("""COMPUTED_VALUE"""),"")</f>
        <v/>
      </c>
      <c r="G397" s="27" t="str">
        <f>IFERROR(__xludf.DUMMYFUNCTION("""COMPUTED_VALUE"""),"")</f>
        <v/>
      </c>
      <c r="H397" s="23" t="str">
        <f>IFERROR(__xludf.DUMMYFUNCTION("""COMPUTED_VALUE"""),"")</f>
        <v/>
      </c>
      <c r="I397" s="2" t="str">
        <f>IFERROR(__xludf.DUMMYFUNCTION("""COMPUTED_VALUE"""),"")</f>
        <v/>
      </c>
      <c r="J397" s="27" t="str">
        <f>IFERROR(__xludf.DUMMYFUNCTION("""COMPUTED_VALUE"""),"")</f>
        <v/>
      </c>
      <c r="K397" s="23" t="str">
        <f>IFERROR(__xludf.DUMMYFUNCTION("""COMPUTED_VALUE"""),"")</f>
        <v/>
      </c>
      <c r="L397" s="2" t="str">
        <f>IFERROR(__xludf.DUMMYFUNCTION("""COMPUTED_VALUE"""),"")</f>
        <v/>
      </c>
      <c r="M397" s="27" t="str">
        <f>IFERROR(__xludf.DUMMYFUNCTION("""COMPUTED_VALUE"""),"")</f>
        <v/>
      </c>
      <c r="N397" s="23" t="str">
        <f>IFERROR(__xludf.DUMMYFUNCTION("""COMPUTED_VALUE"""),"")</f>
        <v/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0" t="str">
        <f>IFERROR(__xludf.DUMMYFUNCTION("""COMPUTED_VALUE"""),"21100201K")</f>
        <v>21100201K</v>
      </c>
      <c r="B398" s="22"/>
      <c r="C398" s="23">
        <f>IFERROR(__xludf.DUMMYFUNCTION("""COMPUTED_VALUE"""),0.0)</f>
        <v>0</v>
      </c>
      <c r="D398" s="2" t="str">
        <f>IFERROR(__xludf.DUMMYFUNCTION("""COMPUTED_VALUE"""),"")</f>
        <v/>
      </c>
      <c r="E398" s="25" t="str">
        <f>IFERROR(__xludf.DUMMYFUNCTION("""COMPUTED_VALUE"""),"")</f>
        <v/>
      </c>
      <c r="F398" s="2" t="str">
        <f>IFERROR(__xludf.DUMMYFUNCTION("""COMPUTED_VALUE"""),"")</f>
        <v/>
      </c>
      <c r="G398" s="27" t="str">
        <f>IFERROR(__xludf.DUMMYFUNCTION("""COMPUTED_VALUE"""),"")</f>
        <v/>
      </c>
      <c r="H398" s="23" t="str">
        <f>IFERROR(__xludf.DUMMYFUNCTION("""COMPUTED_VALUE"""),"")</f>
        <v/>
      </c>
      <c r="I398" s="2" t="str">
        <f>IFERROR(__xludf.DUMMYFUNCTION("""COMPUTED_VALUE"""),"")</f>
        <v/>
      </c>
      <c r="J398" s="27" t="str">
        <f>IFERROR(__xludf.DUMMYFUNCTION("""COMPUTED_VALUE"""),"")</f>
        <v/>
      </c>
      <c r="K398" s="23" t="str">
        <f>IFERROR(__xludf.DUMMYFUNCTION("""COMPUTED_VALUE"""),"")</f>
        <v/>
      </c>
      <c r="L398" s="2" t="str">
        <f>IFERROR(__xludf.DUMMYFUNCTION("""COMPUTED_VALUE"""),"")</f>
        <v/>
      </c>
      <c r="M398" s="27" t="str">
        <f>IFERROR(__xludf.DUMMYFUNCTION("""COMPUTED_VALUE"""),"")</f>
        <v/>
      </c>
      <c r="N398" s="23" t="str">
        <f>IFERROR(__xludf.DUMMYFUNCTION("""COMPUTED_VALUE"""),"")</f>
        <v/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0" t="str">
        <f>IFERROR(__xludf.DUMMYFUNCTION("""COMPUTED_VALUE"""),"21100202N")</f>
        <v>21100202N</v>
      </c>
      <c r="B399" s="22" t="str">
        <f>IFERROR(__xludf.DUMMYFUNCTION("""COMPUTED_VALUE"""),"HT-20 TRANSDUCER BEARING/SHAFT 5/8""")</f>
        <v>HT-20 TRANSDUCER BEARING/SHAFT 5/8"</v>
      </c>
      <c r="C399" s="23">
        <f>IFERROR(__xludf.DUMMYFUNCTION("""COMPUTED_VALUE"""),0.0)</f>
        <v>0</v>
      </c>
      <c r="D399" s="2" t="str">
        <f>IFERROR(__xludf.DUMMYFUNCTION("""COMPUTED_VALUE"""),"")</f>
        <v/>
      </c>
      <c r="E399" s="25" t="str">
        <f>IFERROR(__xludf.DUMMYFUNCTION("""COMPUTED_VALUE"""),"")</f>
        <v/>
      </c>
      <c r="F399" s="2" t="str">
        <f>IFERROR(__xludf.DUMMYFUNCTION("""COMPUTED_VALUE"""),"")</f>
        <v/>
      </c>
      <c r="G399" s="27" t="str">
        <f>IFERROR(__xludf.DUMMYFUNCTION("""COMPUTED_VALUE"""),"")</f>
        <v/>
      </c>
      <c r="H399" s="23" t="str">
        <f>IFERROR(__xludf.DUMMYFUNCTION("""COMPUTED_VALUE"""),"")</f>
        <v/>
      </c>
      <c r="I399" s="2" t="str">
        <f>IFERROR(__xludf.DUMMYFUNCTION("""COMPUTED_VALUE"""),"")</f>
        <v/>
      </c>
      <c r="J399" s="27" t="str">
        <f>IFERROR(__xludf.DUMMYFUNCTION("""COMPUTED_VALUE"""),"")</f>
        <v/>
      </c>
      <c r="K399" s="23" t="str">
        <f>IFERROR(__xludf.DUMMYFUNCTION("""COMPUTED_VALUE"""),"")</f>
        <v/>
      </c>
      <c r="L399" s="2" t="str">
        <f>IFERROR(__xludf.DUMMYFUNCTION("""COMPUTED_VALUE"""),"")</f>
        <v/>
      </c>
      <c r="M399" s="27" t="str">
        <f>IFERROR(__xludf.DUMMYFUNCTION("""COMPUTED_VALUE"""),"")</f>
        <v/>
      </c>
      <c r="N399" s="23" t="str">
        <f>IFERROR(__xludf.DUMMYFUNCTION("""COMPUTED_VALUE"""),"")</f>
        <v/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0">
        <f>IFERROR(__xludf.DUMMYFUNCTION("""COMPUTED_VALUE"""),2.11446E8)</f>
        <v>211446000</v>
      </c>
      <c r="B400" s="22" t="str">
        <f>IFERROR(__xludf.DUMMYFUNCTION("""COMPUTED_VALUE"""),"DC-25 Rear Cover Switch &amp; LED for Absolute (-10 option)")</f>
        <v>DC-25 Rear Cover Switch &amp; LED for Absolute (-10 option)</v>
      </c>
      <c r="C400" s="2"/>
      <c r="D400" s="2" t="str">
        <f>IFERROR(__xludf.DUMMYFUNCTION("""COMPUTED_VALUE"""),"")</f>
        <v/>
      </c>
      <c r="E400" s="25" t="str">
        <f>IFERROR(__xludf.DUMMYFUNCTION("""COMPUTED_VALUE"""),"")</f>
        <v/>
      </c>
      <c r="F400" s="2"/>
      <c r="G400" s="2" t="str">
        <f>IFERROR(__xludf.DUMMYFUNCTION("""COMPUTED_VALUE"""),"")</f>
        <v/>
      </c>
      <c r="H400" s="23"/>
      <c r="I400" s="2"/>
      <c r="J400" s="27"/>
      <c r="K400" s="23"/>
      <c r="L400" s="2"/>
      <c r="M400" s="27"/>
      <c r="N400" s="2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0" t="str">
        <f>IFERROR(__xludf.DUMMYFUNCTION("""COMPUTED_VALUE"""),"H25-M1E-R6")</f>
        <v>H25-M1E-R6</v>
      </c>
      <c r="B401" s="2" t="str">
        <f>IFERROR(__xludf.DUMMYFUNCTION("""COMPUTED_VALUE"""),"H25-M1E Transmitter TR=0.5; f=5KHz; end conn.")</f>
        <v>H25-M1E Transmitter TR=0.5; f=5KHz; end conn.</v>
      </c>
      <c r="C401" s="2"/>
      <c r="D401" s="2" t="str">
        <f>IFERROR(__xludf.DUMMYFUNCTION("""COMPUTED_VALUE"""),"")</f>
        <v/>
      </c>
      <c r="E401" s="25" t="str">
        <f>IFERROR(__xludf.DUMMYFUNCTION("""COMPUTED_VALUE"""),"")</f>
        <v/>
      </c>
      <c r="F401" s="2"/>
      <c r="G401" s="2" t="str">
        <f>IFERROR(__xludf.DUMMYFUNCTION("""COMPUTED_VALUE"""),"")</f>
        <v/>
      </c>
      <c r="H401" s="23"/>
      <c r="I401" s="2"/>
      <c r="J401" s="27"/>
      <c r="K401" s="23"/>
      <c r="L401" s="2"/>
      <c r="M401" s="27"/>
      <c r="N401" s="2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2"/>
      <c r="B402" s="2"/>
      <c r="C402" s="2"/>
      <c r="D402" s="2" t="str">
        <f>IFERROR(__xludf.DUMMYFUNCTION("""COMPUTED_VALUE"""),"")</f>
        <v/>
      </c>
      <c r="E402" s="25" t="str">
        <f>IFERROR(__xludf.DUMMYFUNCTION("""COMPUTED_VALUE"""),"")</f>
        <v/>
      </c>
      <c r="F402" s="2" t="str">
        <f>IFERROR(__xludf.DUMMYFUNCTION("""COMPUTED_VALUE"""),"Ф65 AL 2017 Italy")</f>
        <v>Ф65 AL 2017 Italy</v>
      </c>
      <c r="G402" s="27">
        <f>IFERROR(__xludf.DUMMYFUNCTION("""COMPUTED_VALUE"""),0.311)</f>
        <v>0.311</v>
      </c>
      <c r="H402" s="23">
        <f>IFERROR(__xludf.DUMMYFUNCTION("""COMPUTED_VALUE"""),4.03056)</f>
        <v>4.03056</v>
      </c>
      <c r="I402" s="2" t="str">
        <f>IFERROR(__xludf.DUMMYFUNCTION("""COMPUTED_VALUE"""),"Ф65 AL 2017 Italy")</f>
        <v>Ф65 AL 2017 Italy</v>
      </c>
      <c r="J402" s="27">
        <f>IFERROR(__xludf.DUMMYFUNCTION("""COMPUTED_VALUE"""),0.087)</f>
        <v>0.087</v>
      </c>
      <c r="K402" s="23">
        <f>IFERROR(__xludf.DUMMYFUNCTION("""COMPUTED_VALUE"""),1.12752)</f>
        <v>1.12752</v>
      </c>
      <c r="L402" s="2" t="str">
        <f>IFERROR(__xludf.DUMMYFUNCTION("""COMPUTED_VALUE"""),"")</f>
        <v/>
      </c>
      <c r="M402" s="27" t="str">
        <f>IFERROR(__xludf.DUMMYFUNCTION("""COMPUTED_VALUE"""),"")</f>
        <v/>
      </c>
      <c r="N402" s="23" t="str">
        <f>IFERROR(__xludf.DUMMYFUNCTION("""COMPUTED_VALUE"""),"")</f>
        <v/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2"/>
      <c r="B403" s="2"/>
      <c r="C403" s="2"/>
      <c r="D403" s="2" t="str">
        <f>IFERROR(__xludf.DUMMYFUNCTION("""COMPUTED_VALUE"""),"")</f>
        <v/>
      </c>
      <c r="E403" s="25" t="str">
        <f>IFERROR(__xludf.DUMMYFUNCTION("""COMPUTED_VALUE"""),"")</f>
        <v/>
      </c>
      <c r="F403" s="2" t="str">
        <f>IFERROR(__xludf.DUMMYFUNCTION("""COMPUTED_VALUE"""),"")</f>
        <v/>
      </c>
      <c r="G403" s="27" t="str">
        <f>IFERROR(__xludf.DUMMYFUNCTION("""COMPUTED_VALUE""")," ")</f>
        <v> </v>
      </c>
      <c r="H403" s="23" t="str">
        <f>IFERROR(__xludf.DUMMYFUNCTION("""COMPUTED_VALUE"""),"")</f>
        <v/>
      </c>
      <c r="I403" s="2" t="str">
        <f>IFERROR(__xludf.DUMMYFUNCTION("""COMPUTED_VALUE"""),"")</f>
        <v/>
      </c>
      <c r="J403" s="27" t="str">
        <f>IFERROR(__xludf.DUMMYFUNCTION("""COMPUTED_VALUE""")," ")</f>
        <v> </v>
      </c>
      <c r="K403" s="23" t="str">
        <f>IFERROR(__xludf.DUMMYFUNCTION("""COMPUTED_VALUE"""),"")</f>
        <v/>
      </c>
      <c r="L403" s="2" t="str">
        <f>IFERROR(__xludf.DUMMYFUNCTION("""COMPUTED_VALUE"""),"")</f>
        <v/>
      </c>
      <c r="M403" s="27" t="str">
        <f>IFERROR(__xludf.DUMMYFUNCTION("""COMPUTED_VALUE"""),"")</f>
        <v/>
      </c>
      <c r="N403" s="23" t="str">
        <f>IFERROR(__xludf.DUMMYFUNCTION("""COMPUTED_VALUE"""),"")</f>
        <v/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2"/>
      <c r="B404" s="2"/>
      <c r="C404" s="2"/>
      <c r="D404" s="2" t="str">
        <f>IFERROR(__xludf.DUMMYFUNCTION("""COMPUTED_VALUE"""),"")</f>
        <v/>
      </c>
      <c r="E404" s="25" t="str">
        <f>IFERROR(__xludf.DUMMYFUNCTION("""COMPUTED_VALUE"""),"")</f>
        <v/>
      </c>
      <c r="F404" s="2" t="str">
        <f>IFERROR(__xludf.DUMMYFUNCTION("""COMPUTED_VALUE"""),"")</f>
        <v/>
      </c>
      <c r="G404" s="27" t="str">
        <f>IFERROR(__xludf.DUMMYFUNCTION("""COMPUTED_VALUE""")," ")</f>
        <v> </v>
      </c>
      <c r="H404" s="23" t="str">
        <f>IFERROR(__xludf.DUMMYFUNCTION("""COMPUTED_VALUE"""),"")</f>
        <v/>
      </c>
      <c r="I404" s="2" t="str">
        <f>IFERROR(__xludf.DUMMYFUNCTION("""COMPUTED_VALUE"""),"")</f>
        <v/>
      </c>
      <c r="J404" s="27" t="str">
        <f>IFERROR(__xludf.DUMMYFUNCTION("""COMPUTED_VALUE""")," ")</f>
        <v> </v>
      </c>
      <c r="K404" s="23" t="str">
        <f>IFERROR(__xludf.DUMMYFUNCTION("""COMPUTED_VALUE"""),"")</f>
        <v/>
      </c>
      <c r="L404" s="2" t="str">
        <f>IFERROR(__xludf.DUMMYFUNCTION("""COMPUTED_VALUE"""),"")</f>
        <v/>
      </c>
      <c r="M404" s="27" t="str">
        <f>IFERROR(__xludf.DUMMYFUNCTION("""COMPUTED_VALUE"""),"")</f>
        <v/>
      </c>
      <c r="N404" s="23" t="str">
        <f>IFERROR(__xludf.DUMMYFUNCTION("""COMPUTED_VALUE"""),"")</f>
        <v/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2"/>
      <c r="B405" s="2"/>
      <c r="C405" s="2"/>
      <c r="D405" s="2" t="str">
        <f>IFERROR(__xludf.DUMMYFUNCTION("""COMPUTED_VALUE"""),"")</f>
        <v/>
      </c>
      <c r="E405" s="25" t="str">
        <f>IFERROR(__xludf.DUMMYFUNCTION("""COMPUTED_VALUE"""),"")</f>
        <v/>
      </c>
      <c r="F405" s="2" t="str">
        <f>IFERROR(__xludf.DUMMYFUNCTION("""COMPUTED_VALUE"""),"")</f>
        <v/>
      </c>
      <c r="G405" s="27" t="str">
        <f>IFERROR(__xludf.DUMMYFUNCTION("""COMPUTED_VALUE""")," ")</f>
        <v> </v>
      </c>
      <c r="H405" s="23" t="str">
        <f>IFERROR(__xludf.DUMMYFUNCTION("""COMPUTED_VALUE"""),"")</f>
        <v/>
      </c>
      <c r="I405" s="2" t="str">
        <f>IFERROR(__xludf.DUMMYFUNCTION("""COMPUTED_VALUE"""),"")</f>
        <v/>
      </c>
      <c r="J405" s="27" t="str">
        <f>IFERROR(__xludf.DUMMYFUNCTION("""COMPUTED_VALUE""")," ")</f>
        <v> </v>
      </c>
      <c r="K405" s="23" t="str">
        <f>IFERROR(__xludf.DUMMYFUNCTION("""COMPUTED_VALUE"""),"")</f>
        <v/>
      </c>
      <c r="L405" s="2" t="str">
        <f>IFERROR(__xludf.DUMMYFUNCTION("""COMPUTED_VALUE"""),"")</f>
        <v/>
      </c>
      <c r="M405" s="27" t="str">
        <f>IFERROR(__xludf.DUMMYFUNCTION("""COMPUTED_VALUE"""),"")</f>
        <v/>
      </c>
      <c r="N405" s="23" t="str">
        <f>IFERROR(__xludf.DUMMYFUNCTION("""COMPUTED_VALUE"""),"")</f>
        <v/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2"/>
      <c r="B406" s="2"/>
      <c r="C406" s="2"/>
      <c r="D406" s="2" t="str">
        <f>IFERROR(__xludf.DUMMYFUNCTION("""COMPUTED_VALUE"""),"")</f>
        <v/>
      </c>
      <c r="E406" s="25" t="str">
        <f>IFERROR(__xludf.DUMMYFUNCTION("""COMPUTED_VALUE"""),"")</f>
        <v/>
      </c>
      <c r="F406" s="2" t="str">
        <f>IFERROR(__xludf.DUMMYFUNCTION("""COMPUTED_VALUE"""),"")</f>
        <v/>
      </c>
      <c r="G406" s="27" t="str">
        <f>IFERROR(__xludf.DUMMYFUNCTION("""COMPUTED_VALUE""")," ")</f>
        <v> </v>
      </c>
      <c r="H406" s="23" t="str">
        <f>IFERROR(__xludf.DUMMYFUNCTION("""COMPUTED_VALUE"""),"")</f>
        <v/>
      </c>
      <c r="I406" s="2" t="str">
        <f>IFERROR(__xludf.DUMMYFUNCTION("""COMPUTED_VALUE"""),"")</f>
        <v/>
      </c>
      <c r="J406" s="27" t="str">
        <f>IFERROR(__xludf.DUMMYFUNCTION("""COMPUTED_VALUE""")," ")</f>
        <v> </v>
      </c>
      <c r="K406" s="23" t="str">
        <f>IFERROR(__xludf.DUMMYFUNCTION("""COMPUTED_VALUE"""),"")</f>
        <v/>
      </c>
      <c r="L406" s="2" t="str">
        <f>IFERROR(__xludf.DUMMYFUNCTION("""COMPUTED_VALUE"""),"")</f>
        <v/>
      </c>
      <c r="M406" s="27" t="str">
        <f>IFERROR(__xludf.DUMMYFUNCTION("""COMPUTED_VALUE"""),"")</f>
        <v/>
      </c>
      <c r="N406" s="23" t="str">
        <f>IFERROR(__xludf.DUMMYFUNCTION("""COMPUTED_VALUE"""),"")</f>
        <v/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2"/>
      <c r="B407" s="2"/>
      <c r="C407" s="2"/>
      <c r="D407" s="2" t="str">
        <f>IFERROR(__xludf.DUMMYFUNCTION("""COMPUTED_VALUE"""),"")</f>
        <v/>
      </c>
      <c r="E407" s="25" t="str">
        <f>IFERROR(__xludf.DUMMYFUNCTION("""COMPUTED_VALUE"""),"")</f>
        <v/>
      </c>
      <c r="F407" s="2" t="str">
        <f>IFERROR(__xludf.DUMMYFUNCTION("""COMPUTED_VALUE"""),"")</f>
        <v/>
      </c>
      <c r="G407" s="27" t="str">
        <f>IFERROR(__xludf.DUMMYFUNCTION("""COMPUTED_VALUE""")," ")</f>
        <v> </v>
      </c>
      <c r="H407" s="23" t="str">
        <f>IFERROR(__xludf.DUMMYFUNCTION("""COMPUTED_VALUE"""),"")</f>
        <v/>
      </c>
      <c r="I407" s="2" t="str">
        <f>IFERROR(__xludf.DUMMYFUNCTION("""COMPUTED_VALUE"""),"")</f>
        <v/>
      </c>
      <c r="J407" s="27" t="str">
        <f>IFERROR(__xludf.DUMMYFUNCTION("""COMPUTED_VALUE""")," ")</f>
        <v> </v>
      </c>
      <c r="K407" s="23" t="str">
        <f>IFERROR(__xludf.DUMMYFUNCTION("""COMPUTED_VALUE"""),"")</f>
        <v/>
      </c>
      <c r="L407" s="2" t="str">
        <f>IFERROR(__xludf.DUMMYFUNCTION("""COMPUTED_VALUE"""),"")</f>
        <v/>
      </c>
      <c r="M407" s="27" t="str">
        <f>IFERROR(__xludf.DUMMYFUNCTION("""COMPUTED_VALUE"""),"")</f>
        <v/>
      </c>
      <c r="N407" s="23" t="str">
        <f>IFERROR(__xludf.DUMMYFUNCTION("""COMPUTED_VALUE"""),"")</f>
        <v/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2"/>
      <c r="B408" s="2"/>
      <c r="C408" s="2"/>
      <c r="D408" s="2" t="str">
        <f>IFERROR(__xludf.DUMMYFUNCTION("""COMPUTED_VALUE"""),"")</f>
        <v/>
      </c>
      <c r="E408" s="25" t="str">
        <f>IFERROR(__xludf.DUMMYFUNCTION("""COMPUTED_VALUE"""),"")</f>
        <v/>
      </c>
      <c r="F408" s="2" t="str">
        <f>IFERROR(__xludf.DUMMYFUNCTION("""COMPUTED_VALUE"""),"")</f>
        <v/>
      </c>
      <c r="G408" s="27" t="str">
        <f>IFERROR(__xludf.DUMMYFUNCTION("""COMPUTED_VALUE""")," ")</f>
        <v> </v>
      </c>
      <c r="H408" s="23" t="str">
        <f>IFERROR(__xludf.DUMMYFUNCTION("""COMPUTED_VALUE"""),"")</f>
        <v/>
      </c>
      <c r="I408" s="2" t="str">
        <f>IFERROR(__xludf.DUMMYFUNCTION("""COMPUTED_VALUE"""),"")</f>
        <v/>
      </c>
      <c r="J408" s="27" t="str">
        <f>IFERROR(__xludf.DUMMYFUNCTION("""COMPUTED_VALUE""")," ")</f>
        <v> </v>
      </c>
      <c r="K408" s="23" t="str">
        <f>IFERROR(__xludf.DUMMYFUNCTION("""COMPUTED_VALUE"""),"")</f>
        <v/>
      </c>
      <c r="L408" s="2" t="str">
        <f>IFERROR(__xludf.DUMMYFUNCTION("""COMPUTED_VALUE"""),"")</f>
        <v/>
      </c>
      <c r="M408" s="27" t="str">
        <f>IFERROR(__xludf.DUMMYFUNCTION("""COMPUTED_VALUE"""),"")</f>
        <v/>
      </c>
      <c r="N408" s="23" t="str">
        <f>IFERROR(__xludf.DUMMYFUNCTION("""COMPUTED_VALUE"""),"")</f>
        <v/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2"/>
      <c r="B409" s="2"/>
      <c r="C409" s="2"/>
      <c r="D409" s="2" t="str">
        <f>IFERROR(__xludf.DUMMYFUNCTION("""COMPUTED_VALUE"""),"")</f>
        <v/>
      </c>
      <c r="E409" s="25" t="str">
        <f>IFERROR(__xludf.DUMMYFUNCTION("""COMPUTED_VALUE"""),"")</f>
        <v/>
      </c>
      <c r="F409" s="2" t="str">
        <f>IFERROR(__xludf.DUMMYFUNCTION("""COMPUTED_VALUE"""),"")</f>
        <v/>
      </c>
      <c r="G409" s="27" t="str">
        <f>IFERROR(__xludf.DUMMYFUNCTION("""COMPUTED_VALUE""")," ")</f>
        <v> </v>
      </c>
      <c r="H409" s="23" t="str">
        <f>IFERROR(__xludf.DUMMYFUNCTION("""COMPUTED_VALUE"""),"")</f>
        <v/>
      </c>
      <c r="I409" s="2" t="str">
        <f>IFERROR(__xludf.DUMMYFUNCTION("""COMPUTED_VALUE"""),"")</f>
        <v/>
      </c>
      <c r="J409" s="27" t="str">
        <f>IFERROR(__xludf.DUMMYFUNCTION("""COMPUTED_VALUE""")," ")</f>
        <v> </v>
      </c>
      <c r="K409" s="23" t="str">
        <f>IFERROR(__xludf.DUMMYFUNCTION("""COMPUTED_VALUE"""),"")</f>
        <v/>
      </c>
      <c r="L409" s="2" t="str">
        <f>IFERROR(__xludf.DUMMYFUNCTION("""COMPUTED_VALUE"""),"")</f>
        <v/>
      </c>
      <c r="M409" s="27" t="str">
        <f>IFERROR(__xludf.DUMMYFUNCTION("""COMPUTED_VALUE"""),"")</f>
        <v/>
      </c>
      <c r="N409" s="23" t="str">
        <f>IFERROR(__xludf.DUMMYFUNCTION("""COMPUTED_VALUE"""),"")</f>
        <v/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2"/>
      <c r="B410" s="2"/>
      <c r="C410" s="2"/>
      <c r="D410" s="2" t="str">
        <f>IFERROR(__xludf.DUMMYFUNCTION("""COMPUTED_VALUE"""),"")</f>
        <v/>
      </c>
      <c r="E410" s="25" t="str">
        <f>IFERROR(__xludf.DUMMYFUNCTION("""COMPUTED_VALUE"""),"")</f>
        <v/>
      </c>
      <c r="F410" s="2" t="str">
        <f>IFERROR(__xludf.DUMMYFUNCTION("""COMPUTED_VALUE"""),"")</f>
        <v/>
      </c>
      <c r="G410" s="27" t="str">
        <f>IFERROR(__xludf.DUMMYFUNCTION("""COMPUTED_VALUE""")," ")</f>
        <v> </v>
      </c>
      <c r="H410" s="23" t="str">
        <f>IFERROR(__xludf.DUMMYFUNCTION("""COMPUTED_VALUE"""),"")</f>
        <v/>
      </c>
      <c r="I410" s="2" t="str">
        <f>IFERROR(__xludf.DUMMYFUNCTION("""COMPUTED_VALUE"""),"")</f>
        <v/>
      </c>
      <c r="J410" s="27" t="str">
        <f>IFERROR(__xludf.DUMMYFUNCTION("""COMPUTED_VALUE""")," ")</f>
        <v> </v>
      </c>
      <c r="K410" s="23" t="str">
        <f>IFERROR(__xludf.DUMMYFUNCTION("""COMPUTED_VALUE"""),"")</f>
        <v/>
      </c>
      <c r="L410" s="2" t="str">
        <f>IFERROR(__xludf.DUMMYFUNCTION("""COMPUTED_VALUE"""),"")</f>
        <v/>
      </c>
      <c r="M410" s="27" t="str">
        <f>IFERROR(__xludf.DUMMYFUNCTION("""COMPUTED_VALUE"""),"")</f>
        <v/>
      </c>
      <c r="N410" s="23" t="str">
        <f>IFERROR(__xludf.DUMMYFUNCTION("""COMPUTED_VALUE"""),"")</f>
        <v/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2"/>
      <c r="B411" s="2"/>
      <c r="C411" s="2"/>
      <c r="D411" s="2" t="str">
        <f>IFERROR(__xludf.DUMMYFUNCTION("""COMPUTED_VALUE"""),"")</f>
        <v/>
      </c>
      <c r="E411" s="25" t="str">
        <f>IFERROR(__xludf.DUMMYFUNCTION("""COMPUTED_VALUE"""),"")</f>
        <v/>
      </c>
      <c r="F411" s="2" t="str">
        <f>IFERROR(__xludf.DUMMYFUNCTION("""COMPUTED_VALUE"""),"")</f>
        <v/>
      </c>
      <c r="G411" s="27" t="str">
        <f>IFERROR(__xludf.DUMMYFUNCTION("""COMPUTED_VALUE""")," ")</f>
        <v> </v>
      </c>
      <c r="H411" s="23" t="str">
        <f>IFERROR(__xludf.DUMMYFUNCTION("""COMPUTED_VALUE"""),"")</f>
        <v/>
      </c>
      <c r="I411" s="2" t="str">
        <f>IFERROR(__xludf.DUMMYFUNCTION("""COMPUTED_VALUE"""),"")</f>
        <v/>
      </c>
      <c r="J411" s="27" t="str">
        <f>IFERROR(__xludf.DUMMYFUNCTION("""COMPUTED_VALUE""")," ")</f>
        <v> </v>
      </c>
      <c r="K411" s="23" t="str">
        <f>IFERROR(__xludf.DUMMYFUNCTION("""COMPUTED_VALUE"""),"")</f>
        <v/>
      </c>
      <c r="L411" s="2" t="str">
        <f>IFERROR(__xludf.DUMMYFUNCTION("""COMPUTED_VALUE"""),"")</f>
        <v/>
      </c>
      <c r="M411" s="27" t="str">
        <f>IFERROR(__xludf.DUMMYFUNCTION("""COMPUTED_VALUE"""),"")</f>
        <v/>
      </c>
      <c r="N411" s="23" t="str">
        <f>IFERROR(__xludf.DUMMYFUNCTION("""COMPUTED_VALUE"""),"")</f>
        <v/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2"/>
      <c r="B412" s="2"/>
      <c r="C412" s="2"/>
      <c r="D412" s="2" t="str">
        <f>IFERROR(__xludf.DUMMYFUNCTION("""COMPUTED_VALUE"""),"")</f>
        <v/>
      </c>
      <c r="E412" s="25" t="str">
        <f>IFERROR(__xludf.DUMMYFUNCTION("""COMPUTED_VALUE"""),"")</f>
        <v/>
      </c>
      <c r="F412" s="2" t="str">
        <f>IFERROR(__xludf.DUMMYFUNCTION("""COMPUTED_VALUE"""),"")</f>
        <v/>
      </c>
      <c r="G412" s="27" t="str">
        <f>IFERROR(__xludf.DUMMYFUNCTION("""COMPUTED_VALUE""")," ")</f>
        <v> </v>
      </c>
      <c r="H412" s="23" t="str">
        <f>IFERROR(__xludf.DUMMYFUNCTION("""COMPUTED_VALUE"""),"")</f>
        <v/>
      </c>
      <c r="I412" s="2" t="str">
        <f>IFERROR(__xludf.DUMMYFUNCTION("""COMPUTED_VALUE"""),"")</f>
        <v/>
      </c>
      <c r="J412" s="27" t="str">
        <f>IFERROR(__xludf.DUMMYFUNCTION("""COMPUTED_VALUE""")," ")</f>
        <v> </v>
      </c>
      <c r="K412" s="23" t="str">
        <f>IFERROR(__xludf.DUMMYFUNCTION("""COMPUTED_VALUE"""),"")</f>
        <v/>
      </c>
      <c r="L412" s="2" t="str">
        <f>IFERROR(__xludf.DUMMYFUNCTION("""COMPUTED_VALUE"""),"")</f>
        <v/>
      </c>
      <c r="M412" s="27" t="str">
        <f>IFERROR(__xludf.DUMMYFUNCTION("""COMPUTED_VALUE"""),"")</f>
        <v/>
      </c>
      <c r="N412" s="23" t="str">
        <f>IFERROR(__xludf.DUMMYFUNCTION("""COMPUTED_VALUE"""),"")</f>
        <v/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2"/>
      <c r="B413" s="2"/>
      <c r="C413" s="2"/>
      <c r="D413" s="2" t="str">
        <f>IFERROR(__xludf.DUMMYFUNCTION("""COMPUTED_VALUE"""),"")</f>
        <v/>
      </c>
      <c r="E413" s="25" t="str">
        <f>IFERROR(__xludf.DUMMYFUNCTION("""COMPUTED_VALUE"""),"")</f>
        <v/>
      </c>
      <c r="F413" s="2" t="str">
        <f>IFERROR(__xludf.DUMMYFUNCTION("""COMPUTED_VALUE"""),"")</f>
        <v/>
      </c>
      <c r="G413" s="27" t="str">
        <f>IFERROR(__xludf.DUMMYFUNCTION("""COMPUTED_VALUE""")," ")</f>
        <v> </v>
      </c>
      <c r="H413" s="23" t="str">
        <f>IFERROR(__xludf.DUMMYFUNCTION("""COMPUTED_VALUE"""),"")</f>
        <v/>
      </c>
      <c r="I413" s="2" t="str">
        <f>IFERROR(__xludf.DUMMYFUNCTION("""COMPUTED_VALUE"""),"")</f>
        <v/>
      </c>
      <c r="J413" s="27" t="str">
        <f>IFERROR(__xludf.DUMMYFUNCTION("""COMPUTED_VALUE""")," ")</f>
        <v> </v>
      </c>
      <c r="K413" s="23" t="str">
        <f>IFERROR(__xludf.DUMMYFUNCTION("""COMPUTED_VALUE"""),"")</f>
        <v/>
      </c>
      <c r="L413" s="2" t="str">
        <f>IFERROR(__xludf.DUMMYFUNCTION("""COMPUTED_VALUE"""),"")</f>
        <v/>
      </c>
      <c r="M413" s="27" t="str">
        <f>IFERROR(__xludf.DUMMYFUNCTION("""COMPUTED_VALUE"""),"")</f>
        <v/>
      </c>
      <c r="N413" s="23" t="str">
        <f>IFERROR(__xludf.DUMMYFUNCTION("""COMPUTED_VALUE"""),"")</f>
        <v/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2"/>
      <c r="B414" s="2"/>
      <c r="C414" s="2"/>
      <c r="D414" s="2" t="str">
        <f>IFERROR(__xludf.DUMMYFUNCTION("""COMPUTED_VALUE"""),"")</f>
        <v/>
      </c>
      <c r="E414" s="25" t="str">
        <f>IFERROR(__xludf.DUMMYFUNCTION("""COMPUTED_VALUE"""),"")</f>
        <v/>
      </c>
      <c r="F414" s="2" t="str">
        <f>IFERROR(__xludf.DUMMYFUNCTION("""COMPUTED_VALUE"""),"")</f>
        <v/>
      </c>
      <c r="G414" s="27" t="str">
        <f>IFERROR(__xludf.DUMMYFUNCTION("""COMPUTED_VALUE""")," ")</f>
        <v> </v>
      </c>
      <c r="H414" s="23" t="str">
        <f>IFERROR(__xludf.DUMMYFUNCTION("""COMPUTED_VALUE"""),"")</f>
        <v/>
      </c>
      <c r="I414" s="2" t="str">
        <f>IFERROR(__xludf.DUMMYFUNCTION("""COMPUTED_VALUE"""),"")</f>
        <v/>
      </c>
      <c r="J414" s="27" t="str">
        <f>IFERROR(__xludf.DUMMYFUNCTION("""COMPUTED_VALUE""")," ")</f>
        <v> </v>
      </c>
      <c r="K414" s="23" t="str">
        <f>IFERROR(__xludf.DUMMYFUNCTION("""COMPUTED_VALUE"""),"")</f>
        <v/>
      </c>
      <c r="L414" s="2" t="str">
        <f>IFERROR(__xludf.DUMMYFUNCTION("""COMPUTED_VALUE"""),"")</f>
        <v/>
      </c>
      <c r="M414" s="27" t="str">
        <f>IFERROR(__xludf.DUMMYFUNCTION("""COMPUTED_VALUE"""),"")</f>
        <v/>
      </c>
      <c r="N414" s="23" t="str">
        <f>IFERROR(__xludf.DUMMYFUNCTION("""COMPUTED_VALUE"""),"")</f>
        <v/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2"/>
      <c r="B415" s="2"/>
      <c r="C415" s="2"/>
      <c r="D415" s="2" t="str">
        <f>IFERROR(__xludf.DUMMYFUNCTION("""COMPUTED_VALUE"""),"")</f>
        <v/>
      </c>
      <c r="E415" s="25" t="str">
        <f>IFERROR(__xludf.DUMMYFUNCTION("""COMPUTED_VALUE"""),"")</f>
        <v/>
      </c>
      <c r="F415" s="2" t="str">
        <f>IFERROR(__xludf.DUMMYFUNCTION("""COMPUTED_VALUE"""),"")</f>
        <v/>
      </c>
      <c r="G415" s="27" t="str">
        <f>IFERROR(__xludf.DUMMYFUNCTION("""COMPUTED_VALUE""")," ")</f>
        <v> </v>
      </c>
      <c r="H415" s="23" t="str">
        <f>IFERROR(__xludf.DUMMYFUNCTION("""COMPUTED_VALUE"""),"")</f>
        <v/>
      </c>
      <c r="I415" s="2" t="str">
        <f>IFERROR(__xludf.DUMMYFUNCTION("""COMPUTED_VALUE"""),"")</f>
        <v/>
      </c>
      <c r="J415" s="27" t="str">
        <f>IFERROR(__xludf.DUMMYFUNCTION("""COMPUTED_VALUE""")," ")</f>
        <v> </v>
      </c>
      <c r="K415" s="23" t="str">
        <f>IFERROR(__xludf.DUMMYFUNCTION("""COMPUTED_VALUE"""),"")</f>
        <v/>
      </c>
      <c r="L415" s="2" t="str">
        <f>IFERROR(__xludf.DUMMYFUNCTION("""COMPUTED_VALUE"""),"")</f>
        <v/>
      </c>
      <c r="M415" s="27" t="str">
        <f>IFERROR(__xludf.DUMMYFUNCTION("""COMPUTED_VALUE"""),"")</f>
        <v/>
      </c>
      <c r="N415" s="23" t="str">
        <f>IFERROR(__xludf.DUMMYFUNCTION("""COMPUTED_VALUE"""),"")</f>
        <v/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2"/>
      <c r="B416" s="2"/>
      <c r="C416" s="2"/>
      <c r="D416" s="2" t="str">
        <f>IFERROR(__xludf.DUMMYFUNCTION("""COMPUTED_VALUE"""),"")</f>
        <v/>
      </c>
      <c r="E416" s="25" t="str">
        <f>IFERROR(__xludf.DUMMYFUNCTION("""COMPUTED_VALUE"""),"")</f>
        <v/>
      </c>
      <c r="F416" s="2" t="str">
        <f>IFERROR(__xludf.DUMMYFUNCTION("""COMPUTED_VALUE"""),"")</f>
        <v/>
      </c>
      <c r="G416" s="27" t="str">
        <f>IFERROR(__xludf.DUMMYFUNCTION("""COMPUTED_VALUE""")," ")</f>
        <v> </v>
      </c>
      <c r="H416" s="23" t="str">
        <f>IFERROR(__xludf.DUMMYFUNCTION("""COMPUTED_VALUE"""),"")</f>
        <v/>
      </c>
      <c r="I416" s="2" t="str">
        <f>IFERROR(__xludf.DUMMYFUNCTION("""COMPUTED_VALUE"""),"")</f>
        <v/>
      </c>
      <c r="J416" s="27" t="str">
        <f>IFERROR(__xludf.DUMMYFUNCTION("""COMPUTED_VALUE""")," ")</f>
        <v> </v>
      </c>
      <c r="K416" s="23" t="str">
        <f>IFERROR(__xludf.DUMMYFUNCTION("""COMPUTED_VALUE"""),"")</f>
        <v/>
      </c>
      <c r="L416" s="2" t="str">
        <f>IFERROR(__xludf.DUMMYFUNCTION("""COMPUTED_VALUE"""),"")</f>
        <v/>
      </c>
      <c r="M416" s="27" t="str">
        <f>IFERROR(__xludf.DUMMYFUNCTION("""COMPUTED_VALUE"""),"")</f>
        <v/>
      </c>
      <c r="N416" s="23" t="str">
        <f>IFERROR(__xludf.DUMMYFUNCTION("""COMPUTED_VALUE"""),"")</f>
        <v/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2"/>
      <c r="B417" s="2"/>
      <c r="C417" s="2"/>
      <c r="D417" s="2" t="str">
        <f>IFERROR(__xludf.DUMMYFUNCTION("""COMPUTED_VALUE"""),"")</f>
        <v/>
      </c>
      <c r="E417" s="25" t="str">
        <f>IFERROR(__xludf.DUMMYFUNCTION("""COMPUTED_VALUE"""),"")</f>
        <v/>
      </c>
      <c r="F417" s="2" t="str">
        <f>IFERROR(__xludf.DUMMYFUNCTION("""COMPUTED_VALUE"""),"")</f>
        <v/>
      </c>
      <c r="G417" s="27" t="str">
        <f>IFERROR(__xludf.DUMMYFUNCTION("""COMPUTED_VALUE""")," ")</f>
        <v> </v>
      </c>
      <c r="H417" s="23" t="str">
        <f>IFERROR(__xludf.DUMMYFUNCTION("""COMPUTED_VALUE"""),"")</f>
        <v/>
      </c>
      <c r="I417" s="2" t="str">
        <f>IFERROR(__xludf.DUMMYFUNCTION("""COMPUTED_VALUE"""),"")</f>
        <v/>
      </c>
      <c r="J417" s="27" t="str">
        <f>IFERROR(__xludf.DUMMYFUNCTION("""COMPUTED_VALUE""")," ")</f>
        <v> </v>
      </c>
      <c r="K417" s="23" t="str">
        <f>IFERROR(__xludf.DUMMYFUNCTION("""COMPUTED_VALUE"""),"")</f>
        <v/>
      </c>
      <c r="L417" s="2" t="str">
        <f>IFERROR(__xludf.DUMMYFUNCTION("""COMPUTED_VALUE"""),"")</f>
        <v/>
      </c>
      <c r="M417" s="27" t="str">
        <f>IFERROR(__xludf.DUMMYFUNCTION("""COMPUTED_VALUE"""),"")</f>
        <v/>
      </c>
      <c r="N417" s="23" t="str">
        <f>IFERROR(__xludf.DUMMYFUNCTION("""COMPUTED_VALUE"""),"")</f>
        <v/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2"/>
      <c r="B418" s="2"/>
      <c r="C418" s="2"/>
      <c r="D418" s="2" t="str">
        <f>IFERROR(__xludf.DUMMYFUNCTION("""COMPUTED_VALUE"""),"")</f>
        <v/>
      </c>
      <c r="E418" s="25" t="str">
        <f>IFERROR(__xludf.DUMMYFUNCTION("""COMPUTED_VALUE"""),"")</f>
        <v/>
      </c>
      <c r="F418" s="2" t="str">
        <f>IFERROR(__xludf.DUMMYFUNCTION("""COMPUTED_VALUE"""),"")</f>
        <v/>
      </c>
      <c r="G418" s="27" t="str">
        <f>IFERROR(__xludf.DUMMYFUNCTION("""COMPUTED_VALUE""")," ")</f>
        <v> </v>
      </c>
      <c r="H418" s="23" t="str">
        <f>IFERROR(__xludf.DUMMYFUNCTION("""COMPUTED_VALUE"""),"")</f>
        <v/>
      </c>
      <c r="I418" s="2" t="str">
        <f>IFERROR(__xludf.DUMMYFUNCTION("""COMPUTED_VALUE"""),"")</f>
        <v/>
      </c>
      <c r="J418" s="27" t="str">
        <f>IFERROR(__xludf.DUMMYFUNCTION("""COMPUTED_VALUE""")," ")</f>
        <v> </v>
      </c>
      <c r="K418" s="23" t="str">
        <f>IFERROR(__xludf.DUMMYFUNCTION("""COMPUTED_VALUE"""),"")</f>
        <v/>
      </c>
      <c r="L418" s="2" t="str">
        <f>IFERROR(__xludf.DUMMYFUNCTION("""COMPUTED_VALUE"""),"")</f>
        <v/>
      </c>
      <c r="M418" s="27" t="str">
        <f>IFERROR(__xludf.DUMMYFUNCTION("""COMPUTED_VALUE"""),"")</f>
        <v/>
      </c>
      <c r="N418" s="23" t="str">
        <f>IFERROR(__xludf.DUMMYFUNCTION("""COMPUTED_VALUE"""),"")</f>
        <v/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2"/>
      <c r="B419" s="2"/>
      <c r="C419" s="2"/>
      <c r="D419" s="2" t="str">
        <f>IFERROR(__xludf.DUMMYFUNCTION("""COMPUTED_VALUE"""),"")</f>
        <v/>
      </c>
      <c r="E419" s="25" t="str">
        <f>IFERROR(__xludf.DUMMYFUNCTION("""COMPUTED_VALUE"""),"")</f>
        <v/>
      </c>
      <c r="F419" s="2" t="str">
        <f>IFERROR(__xludf.DUMMYFUNCTION("""COMPUTED_VALUE"""),"")</f>
        <v/>
      </c>
      <c r="G419" s="27" t="str">
        <f>IFERROR(__xludf.DUMMYFUNCTION("""COMPUTED_VALUE""")," ")</f>
        <v> </v>
      </c>
      <c r="H419" s="23" t="str">
        <f>IFERROR(__xludf.DUMMYFUNCTION("""COMPUTED_VALUE"""),"")</f>
        <v/>
      </c>
      <c r="I419" s="2" t="str">
        <f>IFERROR(__xludf.DUMMYFUNCTION("""COMPUTED_VALUE"""),"")</f>
        <v/>
      </c>
      <c r="J419" s="27" t="str">
        <f>IFERROR(__xludf.DUMMYFUNCTION("""COMPUTED_VALUE""")," ")</f>
        <v> </v>
      </c>
      <c r="K419" s="23" t="str">
        <f>IFERROR(__xludf.DUMMYFUNCTION("""COMPUTED_VALUE"""),"")</f>
        <v/>
      </c>
      <c r="L419" s="2" t="str">
        <f>IFERROR(__xludf.DUMMYFUNCTION("""COMPUTED_VALUE"""),"")</f>
        <v/>
      </c>
      <c r="M419" s="27" t="str">
        <f>IFERROR(__xludf.DUMMYFUNCTION("""COMPUTED_VALUE"""),"")</f>
        <v/>
      </c>
      <c r="N419" s="23" t="str">
        <f>IFERROR(__xludf.DUMMYFUNCTION("""COMPUTED_VALUE"""),"")</f>
        <v/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2"/>
      <c r="B420" s="2"/>
      <c r="C420" s="2"/>
      <c r="D420" s="2" t="str">
        <f>IFERROR(__xludf.DUMMYFUNCTION("""COMPUTED_VALUE"""),"")</f>
        <v/>
      </c>
      <c r="E420" s="25" t="str">
        <f>IFERROR(__xludf.DUMMYFUNCTION("""COMPUTED_VALUE"""),"")</f>
        <v/>
      </c>
      <c r="F420" s="2" t="str">
        <f>IFERROR(__xludf.DUMMYFUNCTION("""COMPUTED_VALUE"""),"")</f>
        <v/>
      </c>
      <c r="G420" s="27" t="str">
        <f>IFERROR(__xludf.DUMMYFUNCTION("""COMPUTED_VALUE""")," ")</f>
        <v> </v>
      </c>
      <c r="H420" s="23" t="str">
        <f>IFERROR(__xludf.DUMMYFUNCTION("""COMPUTED_VALUE"""),"")</f>
        <v/>
      </c>
      <c r="I420" s="2" t="str">
        <f>IFERROR(__xludf.DUMMYFUNCTION("""COMPUTED_VALUE"""),"")</f>
        <v/>
      </c>
      <c r="J420" s="27" t="str">
        <f>IFERROR(__xludf.DUMMYFUNCTION("""COMPUTED_VALUE""")," ")</f>
        <v> </v>
      </c>
      <c r="K420" s="23" t="str">
        <f>IFERROR(__xludf.DUMMYFUNCTION("""COMPUTED_VALUE"""),"")</f>
        <v/>
      </c>
      <c r="L420" s="2" t="str">
        <f>IFERROR(__xludf.DUMMYFUNCTION("""COMPUTED_VALUE"""),"")</f>
        <v/>
      </c>
      <c r="M420" s="27" t="str">
        <f>IFERROR(__xludf.DUMMYFUNCTION("""COMPUTED_VALUE"""),"")</f>
        <v/>
      </c>
      <c r="N420" s="23" t="str">
        <f>IFERROR(__xludf.DUMMYFUNCTION("""COMPUTED_VALUE"""),"")</f>
        <v/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2"/>
      <c r="B421" s="2"/>
      <c r="C421" s="2"/>
      <c r="D421" s="2" t="str">
        <f>IFERROR(__xludf.DUMMYFUNCTION("""COMPUTED_VALUE"""),"")</f>
        <v/>
      </c>
      <c r="E421" s="25" t="str">
        <f>IFERROR(__xludf.DUMMYFUNCTION("""COMPUTED_VALUE"""),"")</f>
        <v/>
      </c>
      <c r="F421" s="2" t="str">
        <f>IFERROR(__xludf.DUMMYFUNCTION("""COMPUTED_VALUE"""),"")</f>
        <v/>
      </c>
      <c r="G421" s="27" t="str">
        <f>IFERROR(__xludf.DUMMYFUNCTION("""COMPUTED_VALUE""")," ")</f>
        <v> </v>
      </c>
      <c r="H421" s="23" t="str">
        <f>IFERROR(__xludf.DUMMYFUNCTION("""COMPUTED_VALUE"""),"")</f>
        <v/>
      </c>
      <c r="I421" s="2" t="str">
        <f>IFERROR(__xludf.DUMMYFUNCTION("""COMPUTED_VALUE"""),"")</f>
        <v/>
      </c>
      <c r="J421" s="27" t="str">
        <f>IFERROR(__xludf.DUMMYFUNCTION("""COMPUTED_VALUE""")," ")</f>
        <v> </v>
      </c>
      <c r="K421" s="23" t="str">
        <f>IFERROR(__xludf.DUMMYFUNCTION("""COMPUTED_VALUE"""),"")</f>
        <v/>
      </c>
      <c r="L421" s="2" t="str">
        <f>IFERROR(__xludf.DUMMYFUNCTION("""COMPUTED_VALUE"""),"")</f>
        <v/>
      </c>
      <c r="M421" s="27" t="str">
        <f>IFERROR(__xludf.DUMMYFUNCTION("""COMPUTED_VALUE"""),"")</f>
        <v/>
      </c>
      <c r="N421" s="23" t="str">
        <f>IFERROR(__xludf.DUMMYFUNCTION("""COMPUTED_VALUE"""),"")</f>
        <v/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2"/>
      <c r="B422" s="2"/>
      <c r="C422" s="2"/>
      <c r="D422" s="2" t="str">
        <f>IFERROR(__xludf.DUMMYFUNCTION("""COMPUTED_VALUE"""),"")</f>
        <v/>
      </c>
      <c r="E422" s="25" t="str">
        <f>IFERROR(__xludf.DUMMYFUNCTION("""COMPUTED_VALUE"""),"")</f>
        <v/>
      </c>
      <c r="F422" s="2" t="str">
        <f>IFERROR(__xludf.DUMMYFUNCTION("""COMPUTED_VALUE"""),"")</f>
        <v/>
      </c>
      <c r="G422" s="27" t="str">
        <f>IFERROR(__xludf.DUMMYFUNCTION("""COMPUTED_VALUE""")," ")</f>
        <v> </v>
      </c>
      <c r="H422" s="23" t="str">
        <f>IFERROR(__xludf.DUMMYFUNCTION("""COMPUTED_VALUE"""),"")</f>
        <v/>
      </c>
      <c r="I422" s="2" t="str">
        <f>IFERROR(__xludf.DUMMYFUNCTION("""COMPUTED_VALUE"""),"")</f>
        <v/>
      </c>
      <c r="J422" s="27" t="str">
        <f>IFERROR(__xludf.DUMMYFUNCTION("""COMPUTED_VALUE""")," ")</f>
        <v> </v>
      </c>
      <c r="K422" s="23" t="str">
        <f>IFERROR(__xludf.DUMMYFUNCTION("""COMPUTED_VALUE"""),"")</f>
        <v/>
      </c>
      <c r="L422" s="2" t="str">
        <f>IFERROR(__xludf.DUMMYFUNCTION("""COMPUTED_VALUE"""),"")</f>
        <v/>
      </c>
      <c r="M422" s="27" t="str">
        <f>IFERROR(__xludf.DUMMYFUNCTION("""COMPUTED_VALUE"""),"")</f>
        <v/>
      </c>
      <c r="N422" s="23" t="str">
        <f>IFERROR(__xludf.DUMMYFUNCTION("""COMPUTED_VALUE"""),"")</f>
        <v/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2"/>
      <c r="B423" s="2"/>
      <c r="C423" s="2"/>
      <c r="D423" s="2" t="str">
        <f>IFERROR(__xludf.DUMMYFUNCTION("""COMPUTED_VALUE"""),"")</f>
        <v/>
      </c>
      <c r="E423" s="25" t="str">
        <f>IFERROR(__xludf.DUMMYFUNCTION("""COMPUTED_VALUE"""),"")</f>
        <v/>
      </c>
      <c r="F423" s="2" t="str">
        <f>IFERROR(__xludf.DUMMYFUNCTION("""COMPUTED_VALUE"""),"")</f>
        <v/>
      </c>
      <c r="G423" s="27" t="str">
        <f>IFERROR(__xludf.DUMMYFUNCTION("""COMPUTED_VALUE""")," ")</f>
        <v> </v>
      </c>
      <c r="H423" s="23" t="str">
        <f>IFERROR(__xludf.DUMMYFUNCTION("""COMPUTED_VALUE"""),"")</f>
        <v/>
      </c>
      <c r="I423" s="2" t="str">
        <f>IFERROR(__xludf.DUMMYFUNCTION("""COMPUTED_VALUE"""),"")</f>
        <v/>
      </c>
      <c r="J423" s="27" t="str">
        <f>IFERROR(__xludf.DUMMYFUNCTION("""COMPUTED_VALUE""")," ")</f>
        <v> </v>
      </c>
      <c r="K423" s="23" t="str">
        <f>IFERROR(__xludf.DUMMYFUNCTION("""COMPUTED_VALUE"""),"")</f>
        <v/>
      </c>
      <c r="L423" s="2" t="str">
        <f>IFERROR(__xludf.DUMMYFUNCTION("""COMPUTED_VALUE"""),"")</f>
        <v/>
      </c>
      <c r="M423" s="27" t="str">
        <f>IFERROR(__xludf.DUMMYFUNCTION("""COMPUTED_VALUE"""),"")</f>
        <v/>
      </c>
      <c r="N423" s="23" t="str">
        <f>IFERROR(__xludf.DUMMYFUNCTION("""COMPUTED_VALUE"""),"")</f>
        <v/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2"/>
      <c r="B424" s="2"/>
      <c r="C424" s="2"/>
      <c r="D424" s="2" t="str">
        <f>IFERROR(__xludf.DUMMYFUNCTION("""COMPUTED_VALUE"""),"")</f>
        <v/>
      </c>
      <c r="E424" s="25" t="str">
        <f>IFERROR(__xludf.DUMMYFUNCTION("""COMPUTED_VALUE"""),"")</f>
        <v/>
      </c>
      <c r="F424" s="2" t="str">
        <f>IFERROR(__xludf.DUMMYFUNCTION("""COMPUTED_VALUE"""),"")</f>
        <v/>
      </c>
      <c r="G424" s="27" t="str">
        <f>IFERROR(__xludf.DUMMYFUNCTION("""COMPUTED_VALUE""")," ")</f>
        <v> </v>
      </c>
      <c r="H424" s="23" t="str">
        <f>IFERROR(__xludf.DUMMYFUNCTION("""COMPUTED_VALUE"""),"")</f>
        <v/>
      </c>
      <c r="I424" s="2" t="str">
        <f>IFERROR(__xludf.DUMMYFUNCTION("""COMPUTED_VALUE"""),"")</f>
        <v/>
      </c>
      <c r="J424" s="27" t="str">
        <f>IFERROR(__xludf.DUMMYFUNCTION("""COMPUTED_VALUE""")," ")</f>
        <v> </v>
      </c>
      <c r="K424" s="23" t="str">
        <f>IFERROR(__xludf.DUMMYFUNCTION("""COMPUTED_VALUE"""),"")</f>
        <v/>
      </c>
      <c r="L424" s="2" t="str">
        <f>IFERROR(__xludf.DUMMYFUNCTION("""COMPUTED_VALUE"""),"")</f>
        <v/>
      </c>
      <c r="M424" s="27" t="str">
        <f>IFERROR(__xludf.DUMMYFUNCTION("""COMPUTED_VALUE"""),"")</f>
        <v/>
      </c>
      <c r="N424" s="23" t="str">
        <f>IFERROR(__xludf.DUMMYFUNCTION("""COMPUTED_VALUE"""),"")</f>
        <v/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2"/>
      <c r="B425" s="2"/>
      <c r="C425" s="2"/>
      <c r="D425" s="2" t="str">
        <f>IFERROR(__xludf.DUMMYFUNCTION("""COMPUTED_VALUE"""),"")</f>
        <v/>
      </c>
      <c r="E425" s="25" t="str">
        <f>IFERROR(__xludf.DUMMYFUNCTION("""COMPUTED_VALUE"""),"")</f>
        <v/>
      </c>
      <c r="F425" s="2" t="str">
        <f>IFERROR(__xludf.DUMMYFUNCTION("""COMPUTED_VALUE"""),"")</f>
        <v/>
      </c>
      <c r="G425" s="27" t="str">
        <f>IFERROR(__xludf.DUMMYFUNCTION("""COMPUTED_VALUE""")," ")</f>
        <v> </v>
      </c>
      <c r="H425" s="23" t="str">
        <f>IFERROR(__xludf.DUMMYFUNCTION("""COMPUTED_VALUE"""),"")</f>
        <v/>
      </c>
      <c r="I425" s="2" t="str">
        <f>IFERROR(__xludf.DUMMYFUNCTION("""COMPUTED_VALUE"""),"")</f>
        <v/>
      </c>
      <c r="J425" s="27" t="str">
        <f>IFERROR(__xludf.DUMMYFUNCTION("""COMPUTED_VALUE""")," ")</f>
        <v> </v>
      </c>
      <c r="K425" s="23" t="str">
        <f>IFERROR(__xludf.DUMMYFUNCTION("""COMPUTED_VALUE"""),"")</f>
        <v/>
      </c>
      <c r="L425" s="2" t="str">
        <f>IFERROR(__xludf.DUMMYFUNCTION("""COMPUTED_VALUE"""),"")</f>
        <v/>
      </c>
      <c r="M425" s="27" t="str">
        <f>IFERROR(__xludf.DUMMYFUNCTION("""COMPUTED_VALUE"""),"")</f>
        <v/>
      </c>
      <c r="N425" s="23" t="str">
        <f>IFERROR(__xludf.DUMMYFUNCTION("""COMPUTED_VALUE"""),"")</f>
        <v/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2"/>
      <c r="B426" s="2"/>
      <c r="C426" s="2"/>
      <c r="D426" s="2" t="str">
        <f>IFERROR(__xludf.DUMMYFUNCTION("""COMPUTED_VALUE"""),"")</f>
        <v/>
      </c>
      <c r="E426" s="25" t="str">
        <f>IFERROR(__xludf.DUMMYFUNCTION("""COMPUTED_VALUE"""),"")</f>
        <v/>
      </c>
      <c r="F426" s="2" t="str">
        <f>IFERROR(__xludf.DUMMYFUNCTION("""COMPUTED_VALUE"""),"")</f>
        <v/>
      </c>
      <c r="G426" s="27" t="str">
        <f>IFERROR(__xludf.DUMMYFUNCTION("""COMPUTED_VALUE""")," ")</f>
        <v> </v>
      </c>
      <c r="H426" s="23" t="str">
        <f>IFERROR(__xludf.DUMMYFUNCTION("""COMPUTED_VALUE"""),"")</f>
        <v/>
      </c>
      <c r="I426" s="2" t="str">
        <f>IFERROR(__xludf.DUMMYFUNCTION("""COMPUTED_VALUE"""),"")</f>
        <v/>
      </c>
      <c r="J426" s="27" t="str">
        <f>IFERROR(__xludf.DUMMYFUNCTION("""COMPUTED_VALUE""")," ")</f>
        <v> </v>
      </c>
      <c r="K426" s="23" t="str">
        <f>IFERROR(__xludf.DUMMYFUNCTION("""COMPUTED_VALUE"""),"")</f>
        <v/>
      </c>
      <c r="L426" s="2" t="str">
        <f>IFERROR(__xludf.DUMMYFUNCTION("""COMPUTED_VALUE"""),"")</f>
        <v/>
      </c>
      <c r="M426" s="27" t="str">
        <f>IFERROR(__xludf.DUMMYFUNCTION("""COMPUTED_VALUE"""),"")</f>
        <v/>
      </c>
      <c r="N426" s="23" t="str">
        <f>IFERROR(__xludf.DUMMYFUNCTION("""COMPUTED_VALUE"""),"")</f>
        <v/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2"/>
      <c r="B427" s="2"/>
      <c r="C427" s="2"/>
      <c r="D427" s="2" t="str">
        <f>IFERROR(__xludf.DUMMYFUNCTION("""COMPUTED_VALUE"""),"")</f>
        <v/>
      </c>
      <c r="E427" s="25" t="str">
        <f>IFERROR(__xludf.DUMMYFUNCTION("""COMPUTED_VALUE"""),"")</f>
        <v/>
      </c>
      <c r="F427" s="2" t="str">
        <f>IFERROR(__xludf.DUMMYFUNCTION("""COMPUTED_VALUE"""),"")</f>
        <v/>
      </c>
      <c r="G427" s="27" t="str">
        <f>IFERROR(__xludf.DUMMYFUNCTION("""COMPUTED_VALUE""")," ")</f>
        <v> </v>
      </c>
      <c r="H427" s="23" t="str">
        <f>IFERROR(__xludf.DUMMYFUNCTION("""COMPUTED_VALUE"""),"")</f>
        <v/>
      </c>
      <c r="I427" s="2" t="str">
        <f>IFERROR(__xludf.DUMMYFUNCTION("""COMPUTED_VALUE"""),"")</f>
        <v/>
      </c>
      <c r="J427" s="27" t="str">
        <f>IFERROR(__xludf.DUMMYFUNCTION("""COMPUTED_VALUE""")," ")</f>
        <v> </v>
      </c>
      <c r="K427" s="23" t="str">
        <f>IFERROR(__xludf.DUMMYFUNCTION("""COMPUTED_VALUE"""),"")</f>
        <v/>
      </c>
      <c r="L427" s="2" t="str">
        <f>IFERROR(__xludf.DUMMYFUNCTION("""COMPUTED_VALUE"""),"")</f>
        <v/>
      </c>
      <c r="M427" s="27" t="str">
        <f>IFERROR(__xludf.DUMMYFUNCTION("""COMPUTED_VALUE"""),"")</f>
        <v/>
      </c>
      <c r="N427" s="23" t="str">
        <f>IFERROR(__xludf.DUMMYFUNCTION("""COMPUTED_VALUE"""),"")</f>
        <v/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2"/>
      <c r="B428" s="2"/>
      <c r="C428" s="2"/>
      <c r="D428" s="2" t="str">
        <f>IFERROR(__xludf.DUMMYFUNCTION("""COMPUTED_VALUE"""),"")</f>
        <v/>
      </c>
      <c r="E428" s="25" t="str">
        <f>IFERROR(__xludf.DUMMYFUNCTION("""COMPUTED_VALUE"""),"")</f>
        <v/>
      </c>
      <c r="F428" s="2" t="str">
        <f>IFERROR(__xludf.DUMMYFUNCTION("""COMPUTED_VALUE"""),"")</f>
        <v/>
      </c>
      <c r="G428" s="27" t="str">
        <f>IFERROR(__xludf.DUMMYFUNCTION("""COMPUTED_VALUE""")," ")</f>
        <v> </v>
      </c>
      <c r="H428" s="23" t="str">
        <f>IFERROR(__xludf.DUMMYFUNCTION("""COMPUTED_VALUE"""),"")</f>
        <v/>
      </c>
      <c r="I428" s="2" t="str">
        <f>IFERROR(__xludf.DUMMYFUNCTION("""COMPUTED_VALUE"""),"")</f>
        <v/>
      </c>
      <c r="J428" s="27" t="str">
        <f>IFERROR(__xludf.DUMMYFUNCTION("""COMPUTED_VALUE""")," ")</f>
        <v> </v>
      </c>
      <c r="K428" s="23" t="str">
        <f>IFERROR(__xludf.DUMMYFUNCTION("""COMPUTED_VALUE"""),"")</f>
        <v/>
      </c>
      <c r="L428" s="2" t="str">
        <f>IFERROR(__xludf.DUMMYFUNCTION("""COMPUTED_VALUE"""),"")</f>
        <v/>
      </c>
      <c r="M428" s="27" t="str">
        <f>IFERROR(__xludf.DUMMYFUNCTION("""COMPUTED_VALUE"""),"")</f>
        <v/>
      </c>
      <c r="N428" s="23" t="str">
        <f>IFERROR(__xludf.DUMMYFUNCTION("""COMPUTED_VALUE"""),"")</f>
        <v/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2"/>
      <c r="B429" s="2"/>
      <c r="C429" s="2"/>
      <c r="D429" s="2" t="str">
        <f>IFERROR(__xludf.DUMMYFUNCTION("""COMPUTED_VALUE"""),"")</f>
        <v/>
      </c>
      <c r="E429" s="25" t="str">
        <f>IFERROR(__xludf.DUMMYFUNCTION("""COMPUTED_VALUE"""),"")</f>
        <v/>
      </c>
      <c r="F429" s="2" t="str">
        <f>IFERROR(__xludf.DUMMYFUNCTION("""COMPUTED_VALUE"""),"")</f>
        <v/>
      </c>
      <c r="G429" s="27" t="str">
        <f>IFERROR(__xludf.DUMMYFUNCTION("""COMPUTED_VALUE""")," ")</f>
        <v> </v>
      </c>
      <c r="H429" s="23" t="str">
        <f>IFERROR(__xludf.DUMMYFUNCTION("""COMPUTED_VALUE"""),"")</f>
        <v/>
      </c>
      <c r="I429" s="2" t="str">
        <f>IFERROR(__xludf.DUMMYFUNCTION("""COMPUTED_VALUE"""),"")</f>
        <v/>
      </c>
      <c r="J429" s="27" t="str">
        <f>IFERROR(__xludf.DUMMYFUNCTION("""COMPUTED_VALUE""")," ")</f>
        <v> </v>
      </c>
      <c r="K429" s="23" t="str">
        <f>IFERROR(__xludf.DUMMYFUNCTION("""COMPUTED_VALUE"""),"")</f>
        <v/>
      </c>
      <c r="L429" s="2" t="str">
        <f>IFERROR(__xludf.DUMMYFUNCTION("""COMPUTED_VALUE"""),"")</f>
        <v/>
      </c>
      <c r="M429" s="27" t="str">
        <f>IFERROR(__xludf.DUMMYFUNCTION("""COMPUTED_VALUE"""),"")</f>
        <v/>
      </c>
      <c r="N429" s="23" t="str">
        <f>IFERROR(__xludf.DUMMYFUNCTION("""COMPUTED_VALUE"""),"")</f>
        <v/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2"/>
      <c r="B430" s="2"/>
      <c r="C430" s="2"/>
      <c r="D430" s="2" t="str">
        <f>IFERROR(__xludf.DUMMYFUNCTION("""COMPUTED_VALUE"""),"")</f>
        <v/>
      </c>
      <c r="E430" s="25" t="str">
        <f>IFERROR(__xludf.DUMMYFUNCTION("""COMPUTED_VALUE"""),"")</f>
        <v/>
      </c>
      <c r="F430" s="2" t="str">
        <f>IFERROR(__xludf.DUMMYFUNCTION("""COMPUTED_VALUE"""),"")</f>
        <v/>
      </c>
      <c r="G430" s="27" t="str">
        <f>IFERROR(__xludf.DUMMYFUNCTION("""COMPUTED_VALUE""")," ")</f>
        <v> </v>
      </c>
      <c r="H430" s="23" t="str">
        <f>IFERROR(__xludf.DUMMYFUNCTION("""COMPUTED_VALUE"""),"")</f>
        <v/>
      </c>
      <c r="I430" s="2" t="str">
        <f>IFERROR(__xludf.DUMMYFUNCTION("""COMPUTED_VALUE"""),"")</f>
        <v/>
      </c>
      <c r="J430" s="27" t="str">
        <f>IFERROR(__xludf.DUMMYFUNCTION("""COMPUTED_VALUE""")," ")</f>
        <v> </v>
      </c>
      <c r="K430" s="23" t="str">
        <f>IFERROR(__xludf.DUMMYFUNCTION("""COMPUTED_VALUE"""),"")</f>
        <v/>
      </c>
      <c r="L430" s="2" t="str">
        <f>IFERROR(__xludf.DUMMYFUNCTION("""COMPUTED_VALUE"""),"")</f>
        <v/>
      </c>
      <c r="M430" s="27" t="str">
        <f>IFERROR(__xludf.DUMMYFUNCTION("""COMPUTED_VALUE"""),"")</f>
        <v/>
      </c>
      <c r="N430" s="23" t="str">
        <f>IFERROR(__xludf.DUMMYFUNCTION("""COMPUTED_VALUE"""),"")</f>
        <v/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2"/>
      <c r="B431" s="2"/>
      <c r="C431" s="2"/>
      <c r="D431" s="2" t="str">
        <f>IFERROR(__xludf.DUMMYFUNCTION("""COMPUTED_VALUE"""),"")</f>
        <v/>
      </c>
      <c r="E431" s="25" t="str">
        <f>IFERROR(__xludf.DUMMYFUNCTION("""COMPUTED_VALUE"""),"")</f>
        <v/>
      </c>
      <c r="F431" s="2" t="str">
        <f>IFERROR(__xludf.DUMMYFUNCTION("""COMPUTED_VALUE"""),"")</f>
        <v/>
      </c>
      <c r="G431" s="27" t="str">
        <f>IFERROR(__xludf.DUMMYFUNCTION("""COMPUTED_VALUE""")," ")</f>
        <v> </v>
      </c>
      <c r="H431" s="23" t="str">
        <f>IFERROR(__xludf.DUMMYFUNCTION("""COMPUTED_VALUE"""),"")</f>
        <v/>
      </c>
      <c r="I431" s="2" t="str">
        <f>IFERROR(__xludf.DUMMYFUNCTION("""COMPUTED_VALUE"""),"")</f>
        <v/>
      </c>
      <c r="J431" s="27" t="str">
        <f>IFERROR(__xludf.DUMMYFUNCTION("""COMPUTED_VALUE""")," ")</f>
        <v> </v>
      </c>
      <c r="K431" s="23" t="str">
        <f>IFERROR(__xludf.DUMMYFUNCTION("""COMPUTED_VALUE"""),"")</f>
        <v/>
      </c>
      <c r="L431" s="2" t="str">
        <f>IFERROR(__xludf.DUMMYFUNCTION("""COMPUTED_VALUE"""),"")</f>
        <v/>
      </c>
      <c r="M431" s="27" t="str">
        <f>IFERROR(__xludf.DUMMYFUNCTION("""COMPUTED_VALUE"""),"")</f>
        <v/>
      </c>
      <c r="N431" s="23" t="str">
        <f>IFERROR(__xludf.DUMMYFUNCTION("""COMPUTED_VALUE"""),"")</f>
        <v/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2"/>
      <c r="B432" s="2"/>
      <c r="C432" s="2"/>
      <c r="D432" s="2" t="str">
        <f>IFERROR(__xludf.DUMMYFUNCTION("""COMPUTED_VALUE"""),"")</f>
        <v/>
      </c>
      <c r="E432" s="25" t="str">
        <f>IFERROR(__xludf.DUMMYFUNCTION("""COMPUTED_VALUE"""),"")</f>
        <v/>
      </c>
      <c r="F432" s="2" t="str">
        <f>IFERROR(__xludf.DUMMYFUNCTION("""COMPUTED_VALUE"""),"")</f>
        <v/>
      </c>
      <c r="G432" s="27" t="str">
        <f>IFERROR(__xludf.DUMMYFUNCTION("""COMPUTED_VALUE""")," ")</f>
        <v> </v>
      </c>
      <c r="H432" s="23" t="str">
        <f>IFERROR(__xludf.DUMMYFUNCTION("""COMPUTED_VALUE"""),"")</f>
        <v/>
      </c>
      <c r="I432" s="2" t="str">
        <f>IFERROR(__xludf.DUMMYFUNCTION("""COMPUTED_VALUE"""),"")</f>
        <v/>
      </c>
      <c r="J432" s="27" t="str">
        <f>IFERROR(__xludf.DUMMYFUNCTION("""COMPUTED_VALUE""")," ")</f>
        <v> </v>
      </c>
      <c r="K432" s="23" t="str">
        <f>IFERROR(__xludf.DUMMYFUNCTION("""COMPUTED_VALUE"""),"")</f>
        <v/>
      </c>
      <c r="L432" s="2" t="str">
        <f>IFERROR(__xludf.DUMMYFUNCTION("""COMPUTED_VALUE"""),"")</f>
        <v/>
      </c>
      <c r="M432" s="27" t="str">
        <f>IFERROR(__xludf.DUMMYFUNCTION("""COMPUTED_VALUE"""),"")</f>
        <v/>
      </c>
      <c r="N432" s="23" t="str">
        <f>IFERROR(__xludf.DUMMYFUNCTION("""COMPUTED_VALUE"""),"")</f>
        <v/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2"/>
      <c r="B433" s="2"/>
      <c r="C433" s="2"/>
      <c r="D433" s="2" t="str">
        <f>IFERROR(__xludf.DUMMYFUNCTION("""COMPUTED_VALUE"""),"")</f>
        <v/>
      </c>
      <c r="E433" s="25" t="str">
        <f>IFERROR(__xludf.DUMMYFUNCTION("""COMPUTED_VALUE"""),"")</f>
        <v/>
      </c>
      <c r="F433" s="2" t="str">
        <f>IFERROR(__xludf.DUMMYFUNCTION("""COMPUTED_VALUE"""),"")</f>
        <v/>
      </c>
      <c r="G433" s="27" t="str">
        <f>IFERROR(__xludf.DUMMYFUNCTION("""COMPUTED_VALUE""")," ")</f>
        <v> </v>
      </c>
      <c r="H433" s="23" t="str">
        <f>IFERROR(__xludf.DUMMYFUNCTION("""COMPUTED_VALUE"""),"")</f>
        <v/>
      </c>
      <c r="I433" s="2" t="str">
        <f>IFERROR(__xludf.DUMMYFUNCTION("""COMPUTED_VALUE"""),"")</f>
        <v/>
      </c>
      <c r="J433" s="27" t="str">
        <f>IFERROR(__xludf.DUMMYFUNCTION("""COMPUTED_VALUE""")," ")</f>
        <v> </v>
      </c>
      <c r="K433" s="23" t="str">
        <f>IFERROR(__xludf.DUMMYFUNCTION("""COMPUTED_VALUE"""),"")</f>
        <v/>
      </c>
      <c r="L433" s="2" t="str">
        <f>IFERROR(__xludf.DUMMYFUNCTION("""COMPUTED_VALUE"""),"")</f>
        <v/>
      </c>
      <c r="M433" s="27" t="str">
        <f>IFERROR(__xludf.DUMMYFUNCTION("""COMPUTED_VALUE"""),"")</f>
        <v/>
      </c>
      <c r="N433" s="23" t="str">
        <f>IFERROR(__xludf.DUMMYFUNCTION("""COMPUTED_VALUE"""),"")</f>
        <v/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2"/>
      <c r="B434" s="2"/>
      <c r="C434" s="2"/>
      <c r="D434" s="2" t="str">
        <f>IFERROR(__xludf.DUMMYFUNCTION("""COMPUTED_VALUE"""),"")</f>
        <v/>
      </c>
      <c r="E434" s="25" t="str">
        <f>IFERROR(__xludf.DUMMYFUNCTION("""COMPUTED_VALUE"""),"")</f>
        <v/>
      </c>
      <c r="F434" s="2" t="str">
        <f>IFERROR(__xludf.DUMMYFUNCTION("""COMPUTED_VALUE"""),"")</f>
        <v/>
      </c>
      <c r="G434" s="27" t="str">
        <f>IFERROR(__xludf.DUMMYFUNCTION("""COMPUTED_VALUE""")," ")</f>
        <v> </v>
      </c>
      <c r="H434" s="23" t="str">
        <f>IFERROR(__xludf.DUMMYFUNCTION("""COMPUTED_VALUE"""),"")</f>
        <v/>
      </c>
      <c r="I434" s="2" t="str">
        <f>IFERROR(__xludf.DUMMYFUNCTION("""COMPUTED_VALUE"""),"")</f>
        <v/>
      </c>
      <c r="J434" s="27" t="str">
        <f>IFERROR(__xludf.DUMMYFUNCTION("""COMPUTED_VALUE""")," ")</f>
        <v> </v>
      </c>
      <c r="K434" s="23" t="str">
        <f>IFERROR(__xludf.DUMMYFUNCTION("""COMPUTED_VALUE"""),"")</f>
        <v/>
      </c>
      <c r="L434" s="2" t="str">
        <f>IFERROR(__xludf.DUMMYFUNCTION("""COMPUTED_VALUE"""),"")</f>
        <v/>
      </c>
      <c r="M434" s="27" t="str">
        <f>IFERROR(__xludf.DUMMYFUNCTION("""COMPUTED_VALUE"""),"")</f>
        <v/>
      </c>
      <c r="N434" s="23" t="str">
        <f>IFERROR(__xludf.DUMMYFUNCTION("""COMPUTED_VALUE"""),"")</f>
        <v/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2"/>
      <c r="B435" s="2"/>
      <c r="C435" s="2"/>
      <c r="D435" s="2" t="str">
        <f>IFERROR(__xludf.DUMMYFUNCTION("""COMPUTED_VALUE"""),"")</f>
        <v/>
      </c>
      <c r="E435" s="25" t="str">
        <f>IFERROR(__xludf.DUMMYFUNCTION("""COMPUTED_VALUE"""),"")</f>
        <v/>
      </c>
      <c r="F435" s="2" t="str">
        <f>IFERROR(__xludf.DUMMYFUNCTION("""COMPUTED_VALUE"""),"")</f>
        <v/>
      </c>
      <c r="G435" s="27" t="str">
        <f>IFERROR(__xludf.DUMMYFUNCTION("""COMPUTED_VALUE""")," ")</f>
        <v> </v>
      </c>
      <c r="H435" s="23" t="str">
        <f>IFERROR(__xludf.DUMMYFUNCTION("""COMPUTED_VALUE"""),"")</f>
        <v/>
      </c>
      <c r="I435" s="2" t="str">
        <f>IFERROR(__xludf.DUMMYFUNCTION("""COMPUTED_VALUE"""),"")</f>
        <v/>
      </c>
      <c r="J435" s="27" t="str">
        <f>IFERROR(__xludf.DUMMYFUNCTION("""COMPUTED_VALUE""")," ")</f>
        <v> </v>
      </c>
      <c r="K435" s="23" t="str">
        <f>IFERROR(__xludf.DUMMYFUNCTION("""COMPUTED_VALUE"""),"")</f>
        <v/>
      </c>
      <c r="L435" s="2" t="str">
        <f>IFERROR(__xludf.DUMMYFUNCTION("""COMPUTED_VALUE"""),"")</f>
        <v/>
      </c>
      <c r="M435" s="27" t="str">
        <f>IFERROR(__xludf.DUMMYFUNCTION("""COMPUTED_VALUE"""),"")</f>
        <v/>
      </c>
      <c r="N435" s="23" t="str">
        <f>IFERROR(__xludf.DUMMYFUNCTION("""COMPUTED_VALUE"""),"")</f>
        <v/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2"/>
      <c r="B436" s="2"/>
      <c r="C436" s="2"/>
      <c r="D436" s="2" t="str">
        <f>IFERROR(__xludf.DUMMYFUNCTION("""COMPUTED_VALUE"""),"")</f>
        <v/>
      </c>
      <c r="E436" s="25" t="str">
        <f>IFERROR(__xludf.DUMMYFUNCTION("""COMPUTED_VALUE"""),"")</f>
        <v/>
      </c>
      <c r="F436" s="2" t="str">
        <f>IFERROR(__xludf.DUMMYFUNCTION("""COMPUTED_VALUE"""),"")</f>
        <v/>
      </c>
      <c r="G436" s="27" t="str">
        <f>IFERROR(__xludf.DUMMYFUNCTION("""COMPUTED_VALUE""")," ")</f>
        <v> </v>
      </c>
      <c r="H436" s="23" t="str">
        <f>IFERROR(__xludf.DUMMYFUNCTION("""COMPUTED_VALUE"""),"")</f>
        <v/>
      </c>
      <c r="I436" s="2" t="str">
        <f>IFERROR(__xludf.DUMMYFUNCTION("""COMPUTED_VALUE"""),"")</f>
        <v/>
      </c>
      <c r="J436" s="27" t="str">
        <f>IFERROR(__xludf.DUMMYFUNCTION("""COMPUTED_VALUE""")," ")</f>
        <v> </v>
      </c>
      <c r="K436" s="23" t="str">
        <f>IFERROR(__xludf.DUMMYFUNCTION("""COMPUTED_VALUE"""),"")</f>
        <v/>
      </c>
      <c r="L436" s="2" t="str">
        <f>IFERROR(__xludf.DUMMYFUNCTION("""COMPUTED_VALUE"""),"")</f>
        <v/>
      </c>
      <c r="M436" s="27" t="str">
        <f>IFERROR(__xludf.DUMMYFUNCTION("""COMPUTED_VALUE"""),"")</f>
        <v/>
      </c>
      <c r="N436" s="23" t="str">
        <f>IFERROR(__xludf.DUMMYFUNCTION("""COMPUTED_VALUE"""),"")</f>
        <v/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2"/>
      <c r="B437" s="2"/>
      <c r="C437" s="2"/>
      <c r="D437" s="2" t="str">
        <f>IFERROR(__xludf.DUMMYFUNCTION("""COMPUTED_VALUE"""),"")</f>
        <v/>
      </c>
      <c r="E437" s="25" t="str">
        <f>IFERROR(__xludf.DUMMYFUNCTION("""COMPUTED_VALUE"""),"")</f>
        <v/>
      </c>
      <c r="F437" s="2" t="str">
        <f>IFERROR(__xludf.DUMMYFUNCTION("""COMPUTED_VALUE"""),"")</f>
        <v/>
      </c>
      <c r="G437" s="27" t="str">
        <f>IFERROR(__xludf.DUMMYFUNCTION("""COMPUTED_VALUE""")," ")</f>
        <v> </v>
      </c>
      <c r="H437" s="23" t="str">
        <f>IFERROR(__xludf.DUMMYFUNCTION("""COMPUTED_VALUE"""),"")</f>
        <v/>
      </c>
      <c r="I437" s="2" t="str">
        <f>IFERROR(__xludf.DUMMYFUNCTION("""COMPUTED_VALUE"""),"")</f>
        <v/>
      </c>
      <c r="J437" s="27" t="str">
        <f>IFERROR(__xludf.DUMMYFUNCTION("""COMPUTED_VALUE""")," ")</f>
        <v> </v>
      </c>
      <c r="K437" s="23" t="str">
        <f>IFERROR(__xludf.DUMMYFUNCTION("""COMPUTED_VALUE"""),"")</f>
        <v/>
      </c>
      <c r="L437" s="2" t="str">
        <f>IFERROR(__xludf.DUMMYFUNCTION("""COMPUTED_VALUE"""),"")</f>
        <v/>
      </c>
      <c r="M437" s="27" t="str">
        <f>IFERROR(__xludf.DUMMYFUNCTION("""COMPUTED_VALUE"""),"")</f>
        <v/>
      </c>
      <c r="N437" s="23" t="str">
        <f>IFERROR(__xludf.DUMMYFUNCTION("""COMPUTED_VALUE"""),"")</f>
        <v/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2"/>
      <c r="B438" s="2"/>
      <c r="C438" s="2"/>
      <c r="D438" s="2" t="str">
        <f>IFERROR(__xludf.DUMMYFUNCTION("""COMPUTED_VALUE"""),"")</f>
        <v/>
      </c>
      <c r="E438" s="25" t="str">
        <f>IFERROR(__xludf.DUMMYFUNCTION("""COMPUTED_VALUE"""),"")</f>
        <v/>
      </c>
      <c r="F438" s="2" t="str">
        <f>IFERROR(__xludf.DUMMYFUNCTION("""COMPUTED_VALUE"""),"")</f>
        <v/>
      </c>
      <c r="G438" s="27" t="str">
        <f>IFERROR(__xludf.DUMMYFUNCTION("""COMPUTED_VALUE""")," ")</f>
        <v> </v>
      </c>
      <c r="H438" s="23" t="str">
        <f>IFERROR(__xludf.DUMMYFUNCTION("""COMPUTED_VALUE"""),"")</f>
        <v/>
      </c>
      <c r="I438" s="2" t="str">
        <f>IFERROR(__xludf.DUMMYFUNCTION("""COMPUTED_VALUE"""),"")</f>
        <v/>
      </c>
      <c r="J438" s="27" t="str">
        <f>IFERROR(__xludf.DUMMYFUNCTION("""COMPUTED_VALUE""")," ")</f>
        <v> </v>
      </c>
      <c r="K438" s="23" t="str">
        <f>IFERROR(__xludf.DUMMYFUNCTION("""COMPUTED_VALUE"""),"")</f>
        <v/>
      </c>
      <c r="L438" s="2" t="str">
        <f>IFERROR(__xludf.DUMMYFUNCTION("""COMPUTED_VALUE"""),"")</f>
        <v/>
      </c>
      <c r="M438" s="27" t="str">
        <f>IFERROR(__xludf.DUMMYFUNCTION("""COMPUTED_VALUE"""),"")</f>
        <v/>
      </c>
      <c r="N438" s="23" t="str">
        <f>IFERROR(__xludf.DUMMYFUNCTION("""COMPUTED_VALUE"""),"")</f>
        <v/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2"/>
      <c r="B439" s="2"/>
      <c r="C439" s="2"/>
      <c r="D439" s="2" t="str">
        <f>IFERROR(__xludf.DUMMYFUNCTION("""COMPUTED_VALUE"""),"")</f>
        <v/>
      </c>
      <c r="E439" s="25" t="str">
        <f>IFERROR(__xludf.DUMMYFUNCTION("""COMPUTED_VALUE"""),"")</f>
        <v/>
      </c>
      <c r="F439" s="2" t="str">
        <f>IFERROR(__xludf.DUMMYFUNCTION("""COMPUTED_VALUE"""),"")</f>
        <v/>
      </c>
      <c r="G439" s="27" t="str">
        <f>IFERROR(__xludf.DUMMYFUNCTION("""COMPUTED_VALUE""")," ")</f>
        <v> </v>
      </c>
      <c r="H439" s="23" t="str">
        <f>IFERROR(__xludf.DUMMYFUNCTION("""COMPUTED_VALUE"""),"")</f>
        <v/>
      </c>
      <c r="I439" s="2" t="str">
        <f>IFERROR(__xludf.DUMMYFUNCTION("""COMPUTED_VALUE"""),"")</f>
        <v/>
      </c>
      <c r="J439" s="27" t="str">
        <f>IFERROR(__xludf.DUMMYFUNCTION("""COMPUTED_VALUE""")," ")</f>
        <v> </v>
      </c>
      <c r="K439" s="23" t="str">
        <f>IFERROR(__xludf.DUMMYFUNCTION("""COMPUTED_VALUE"""),"")</f>
        <v/>
      </c>
      <c r="L439" s="2" t="str">
        <f>IFERROR(__xludf.DUMMYFUNCTION("""COMPUTED_VALUE"""),"")</f>
        <v/>
      </c>
      <c r="M439" s="27" t="str">
        <f>IFERROR(__xludf.DUMMYFUNCTION("""COMPUTED_VALUE"""),"")</f>
        <v/>
      </c>
      <c r="N439" s="23" t="str">
        <f>IFERROR(__xludf.DUMMYFUNCTION("""COMPUTED_VALUE"""),"")</f>
        <v/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2"/>
      <c r="B440" s="2"/>
      <c r="C440" s="2"/>
      <c r="D440" s="2" t="str">
        <f>IFERROR(__xludf.DUMMYFUNCTION("""COMPUTED_VALUE"""),"")</f>
        <v/>
      </c>
      <c r="E440" s="25" t="str">
        <f>IFERROR(__xludf.DUMMYFUNCTION("""COMPUTED_VALUE"""),"")</f>
        <v/>
      </c>
      <c r="F440" s="2" t="str">
        <f>IFERROR(__xludf.DUMMYFUNCTION("""COMPUTED_VALUE"""),"")</f>
        <v/>
      </c>
      <c r="G440" s="27" t="str">
        <f>IFERROR(__xludf.DUMMYFUNCTION("""COMPUTED_VALUE""")," ")</f>
        <v> </v>
      </c>
      <c r="H440" s="23" t="str">
        <f>IFERROR(__xludf.DUMMYFUNCTION("""COMPUTED_VALUE"""),"")</f>
        <v/>
      </c>
      <c r="I440" s="2" t="str">
        <f>IFERROR(__xludf.DUMMYFUNCTION("""COMPUTED_VALUE"""),"")</f>
        <v/>
      </c>
      <c r="J440" s="27" t="str">
        <f>IFERROR(__xludf.DUMMYFUNCTION("""COMPUTED_VALUE""")," ")</f>
        <v> </v>
      </c>
      <c r="K440" s="23" t="str">
        <f>IFERROR(__xludf.DUMMYFUNCTION("""COMPUTED_VALUE"""),"")</f>
        <v/>
      </c>
      <c r="L440" s="2" t="str">
        <f>IFERROR(__xludf.DUMMYFUNCTION("""COMPUTED_VALUE"""),"")</f>
        <v/>
      </c>
      <c r="M440" s="27" t="str">
        <f>IFERROR(__xludf.DUMMYFUNCTION("""COMPUTED_VALUE"""),"")</f>
        <v/>
      </c>
      <c r="N440" s="23" t="str">
        <f>IFERROR(__xludf.DUMMYFUNCTION("""COMPUTED_VALUE"""),"")</f>
        <v/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2"/>
      <c r="B441" s="2"/>
      <c r="C441" s="2"/>
      <c r="D441" s="2" t="str">
        <f>IFERROR(__xludf.DUMMYFUNCTION("""COMPUTED_VALUE"""),"")</f>
        <v/>
      </c>
      <c r="E441" s="25" t="str">
        <f>IFERROR(__xludf.DUMMYFUNCTION("""COMPUTED_VALUE"""),"")</f>
        <v/>
      </c>
      <c r="F441" s="2" t="str">
        <f>IFERROR(__xludf.DUMMYFUNCTION("""COMPUTED_VALUE"""),"")</f>
        <v/>
      </c>
      <c r="G441" s="27" t="str">
        <f>IFERROR(__xludf.DUMMYFUNCTION("""COMPUTED_VALUE""")," ")</f>
        <v> </v>
      </c>
      <c r="H441" s="23" t="str">
        <f>IFERROR(__xludf.DUMMYFUNCTION("""COMPUTED_VALUE"""),"")</f>
        <v/>
      </c>
      <c r="I441" s="2" t="str">
        <f>IFERROR(__xludf.DUMMYFUNCTION("""COMPUTED_VALUE"""),"")</f>
        <v/>
      </c>
      <c r="J441" s="27" t="str">
        <f>IFERROR(__xludf.DUMMYFUNCTION("""COMPUTED_VALUE""")," ")</f>
        <v> </v>
      </c>
      <c r="K441" s="23" t="str">
        <f>IFERROR(__xludf.DUMMYFUNCTION("""COMPUTED_VALUE"""),"")</f>
        <v/>
      </c>
      <c r="L441" s="2" t="str">
        <f>IFERROR(__xludf.DUMMYFUNCTION("""COMPUTED_VALUE"""),"")</f>
        <v/>
      </c>
      <c r="M441" s="27" t="str">
        <f>IFERROR(__xludf.DUMMYFUNCTION("""COMPUTED_VALUE"""),"")</f>
        <v/>
      </c>
      <c r="N441" s="23" t="str">
        <f>IFERROR(__xludf.DUMMYFUNCTION("""COMPUTED_VALUE"""),"")</f>
        <v/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2"/>
      <c r="B442" s="2"/>
      <c r="C442" s="2"/>
      <c r="D442" s="2" t="str">
        <f>IFERROR(__xludf.DUMMYFUNCTION("""COMPUTED_VALUE"""),"")</f>
        <v/>
      </c>
      <c r="E442" s="25" t="str">
        <f>IFERROR(__xludf.DUMMYFUNCTION("""COMPUTED_VALUE"""),"")</f>
        <v/>
      </c>
      <c r="F442" s="2" t="str">
        <f>IFERROR(__xludf.DUMMYFUNCTION("""COMPUTED_VALUE"""),"")</f>
        <v/>
      </c>
      <c r="G442" s="27" t="str">
        <f>IFERROR(__xludf.DUMMYFUNCTION("""COMPUTED_VALUE""")," ")</f>
        <v> </v>
      </c>
      <c r="H442" s="23" t="str">
        <f>IFERROR(__xludf.DUMMYFUNCTION("""COMPUTED_VALUE"""),"")</f>
        <v/>
      </c>
      <c r="I442" s="2" t="str">
        <f>IFERROR(__xludf.DUMMYFUNCTION("""COMPUTED_VALUE"""),"")</f>
        <v/>
      </c>
      <c r="J442" s="27" t="str">
        <f>IFERROR(__xludf.DUMMYFUNCTION("""COMPUTED_VALUE""")," ")</f>
        <v> </v>
      </c>
      <c r="K442" s="23" t="str">
        <f>IFERROR(__xludf.DUMMYFUNCTION("""COMPUTED_VALUE"""),"")</f>
        <v/>
      </c>
      <c r="L442" s="2" t="str">
        <f>IFERROR(__xludf.DUMMYFUNCTION("""COMPUTED_VALUE"""),"")</f>
        <v/>
      </c>
      <c r="M442" s="27" t="str">
        <f>IFERROR(__xludf.DUMMYFUNCTION("""COMPUTED_VALUE"""),"")</f>
        <v/>
      </c>
      <c r="N442" s="23" t="str">
        <f>IFERROR(__xludf.DUMMYFUNCTION("""COMPUTED_VALUE"""),"")</f>
        <v/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2"/>
      <c r="B443" s="2"/>
      <c r="C443" s="2"/>
      <c r="D443" s="2" t="str">
        <f>IFERROR(__xludf.DUMMYFUNCTION("""COMPUTED_VALUE"""),"")</f>
        <v/>
      </c>
      <c r="E443" s="25" t="str">
        <f>IFERROR(__xludf.DUMMYFUNCTION("""COMPUTED_VALUE"""),"")</f>
        <v/>
      </c>
      <c r="F443" s="2" t="str">
        <f>IFERROR(__xludf.DUMMYFUNCTION("""COMPUTED_VALUE"""),"")</f>
        <v/>
      </c>
      <c r="G443" s="27" t="str">
        <f>IFERROR(__xludf.DUMMYFUNCTION("""COMPUTED_VALUE""")," ")</f>
        <v> </v>
      </c>
      <c r="H443" s="23" t="str">
        <f>IFERROR(__xludf.DUMMYFUNCTION("""COMPUTED_VALUE"""),"")</f>
        <v/>
      </c>
      <c r="I443" s="2" t="str">
        <f>IFERROR(__xludf.DUMMYFUNCTION("""COMPUTED_VALUE"""),"")</f>
        <v/>
      </c>
      <c r="J443" s="27" t="str">
        <f>IFERROR(__xludf.DUMMYFUNCTION("""COMPUTED_VALUE""")," ")</f>
        <v> </v>
      </c>
      <c r="K443" s="23" t="str">
        <f>IFERROR(__xludf.DUMMYFUNCTION("""COMPUTED_VALUE"""),"")</f>
        <v/>
      </c>
      <c r="L443" s="2" t="str">
        <f>IFERROR(__xludf.DUMMYFUNCTION("""COMPUTED_VALUE"""),"")</f>
        <v/>
      </c>
      <c r="M443" s="27" t="str">
        <f>IFERROR(__xludf.DUMMYFUNCTION("""COMPUTED_VALUE"""),"")</f>
        <v/>
      </c>
      <c r="N443" s="23" t="str">
        <f>IFERROR(__xludf.DUMMYFUNCTION("""COMPUTED_VALUE"""),"")</f>
        <v/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2"/>
      <c r="B444" s="2"/>
      <c r="C444" s="2"/>
      <c r="D444" s="2" t="str">
        <f>IFERROR(__xludf.DUMMYFUNCTION("""COMPUTED_VALUE"""),"")</f>
        <v/>
      </c>
      <c r="E444" s="25" t="str">
        <f>IFERROR(__xludf.DUMMYFUNCTION("""COMPUTED_VALUE"""),"")</f>
        <v/>
      </c>
      <c r="F444" s="2" t="str">
        <f>IFERROR(__xludf.DUMMYFUNCTION("""COMPUTED_VALUE"""),"")</f>
        <v/>
      </c>
      <c r="G444" s="27" t="str">
        <f>IFERROR(__xludf.DUMMYFUNCTION("""COMPUTED_VALUE""")," ")</f>
        <v> </v>
      </c>
      <c r="H444" s="23" t="str">
        <f>IFERROR(__xludf.DUMMYFUNCTION("""COMPUTED_VALUE"""),"")</f>
        <v/>
      </c>
      <c r="I444" s="2" t="str">
        <f>IFERROR(__xludf.DUMMYFUNCTION("""COMPUTED_VALUE"""),"")</f>
        <v/>
      </c>
      <c r="J444" s="27" t="str">
        <f>IFERROR(__xludf.DUMMYFUNCTION("""COMPUTED_VALUE""")," ")</f>
        <v> </v>
      </c>
      <c r="K444" s="23" t="str">
        <f>IFERROR(__xludf.DUMMYFUNCTION("""COMPUTED_VALUE"""),"")</f>
        <v/>
      </c>
      <c r="L444" s="2" t="str">
        <f>IFERROR(__xludf.DUMMYFUNCTION("""COMPUTED_VALUE"""),"")</f>
        <v/>
      </c>
      <c r="M444" s="27" t="str">
        <f>IFERROR(__xludf.DUMMYFUNCTION("""COMPUTED_VALUE"""),"")</f>
        <v/>
      </c>
      <c r="N444" s="23" t="str">
        <f>IFERROR(__xludf.DUMMYFUNCTION("""COMPUTED_VALUE"""),"")</f>
        <v/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2"/>
      <c r="B445" s="2"/>
      <c r="C445" s="2"/>
      <c r="D445" s="2" t="str">
        <f>IFERROR(__xludf.DUMMYFUNCTION("""COMPUTED_VALUE"""),"")</f>
        <v/>
      </c>
      <c r="E445" s="25" t="str">
        <f>IFERROR(__xludf.DUMMYFUNCTION("""COMPUTED_VALUE"""),"")</f>
        <v/>
      </c>
      <c r="F445" s="2" t="str">
        <f>IFERROR(__xludf.DUMMYFUNCTION("""COMPUTED_VALUE"""),"")</f>
        <v/>
      </c>
      <c r="G445" s="27" t="str">
        <f>IFERROR(__xludf.DUMMYFUNCTION("""COMPUTED_VALUE""")," ")</f>
        <v> </v>
      </c>
      <c r="H445" s="23" t="str">
        <f>IFERROR(__xludf.DUMMYFUNCTION("""COMPUTED_VALUE"""),"")</f>
        <v/>
      </c>
      <c r="I445" s="2" t="str">
        <f>IFERROR(__xludf.DUMMYFUNCTION("""COMPUTED_VALUE"""),"")</f>
        <v/>
      </c>
      <c r="J445" s="27" t="str">
        <f>IFERROR(__xludf.DUMMYFUNCTION("""COMPUTED_VALUE""")," ")</f>
        <v> </v>
      </c>
      <c r="K445" s="23" t="str">
        <f>IFERROR(__xludf.DUMMYFUNCTION("""COMPUTED_VALUE"""),"")</f>
        <v/>
      </c>
      <c r="L445" s="2" t="str">
        <f>IFERROR(__xludf.DUMMYFUNCTION("""COMPUTED_VALUE"""),"")</f>
        <v/>
      </c>
      <c r="M445" s="27" t="str">
        <f>IFERROR(__xludf.DUMMYFUNCTION("""COMPUTED_VALUE"""),"")</f>
        <v/>
      </c>
      <c r="N445" s="23" t="str">
        <f>IFERROR(__xludf.DUMMYFUNCTION("""COMPUTED_VALUE"""),"")</f>
        <v/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2"/>
      <c r="B446" s="2"/>
      <c r="C446" s="2"/>
      <c r="D446" s="2" t="str">
        <f>IFERROR(__xludf.DUMMYFUNCTION("""COMPUTED_VALUE"""),"")</f>
        <v/>
      </c>
      <c r="E446" s="25" t="str">
        <f>IFERROR(__xludf.DUMMYFUNCTION("""COMPUTED_VALUE"""),"")</f>
        <v/>
      </c>
      <c r="F446" s="2" t="str">
        <f>IFERROR(__xludf.DUMMYFUNCTION("""COMPUTED_VALUE"""),"")</f>
        <v/>
      </c>
      <c r="G446" s="27" t="str">
        <f>IFERROR(__xludf.DUMMYFUNCTION("""COMPUTED_VALUE""")," ")</f>
        <v> </v>
      </c>
      <c r="H446" s="23" t="str">
        <f>IFERROR(__xludf.DUMMYFUNCTION("""COMPUTED_VALUE"""),"")</f>
        <v/>
      </c>
      <c r="I446" s="2" t="str">
        <f>IFERROR(__xludf.DUMMYFUNCTION("""COMPUTED_VALUE"""),"")</f>
        <v/>
      </c>
      <c r="J446" s="27" t="str">
        <f>IFERROR(__xludf.DUMMYFUNCTION("""COMPUTED_VALUE""")," ")</f>
        <v> </v>
      </c>
      <c r="K446" s="23" t="str">
        <f>IFERROR(__xludf.DUMMYFUNCTION("""COMPUTED_VALUE"""),"")</f>
        <v/>
      </c>
      <c r="L446" s="2" t="str">
        <f>IFERROR(__xludf.DUMMYFUNCTION("""COMPUTED_VALUE"""),"")</f>
        <v/>
      </c>
      <c r="M446" s="27" t="str">
        <f>IFERROR(__xludf.DUMMYFUNCTION("""COMPUTED_VALUE"""),"")</f>
        <v/>
      </c>
      <c r="N446" s="23" t="str">
        <f>IFERROR(__xludf.DUMMYFUNCTION("""COMPUTED_VALUE"""),"")</f>
        <v/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2"/>
      <c r="B447" s="2"/>
      <c r="C447" s="2"/>
      <c r="D447" s="2" t="str">
        <f>IFERROR(__xludf.DUMMYFUNCTION("""COMPUTED_VALUE"""),"")</f>
        <v/>
      </c>
      <c r="E447" s="25" t="str">
        <f>IFERROR(__xludf.DUMMYFUNCTION("""COMPUTED_VALUE"""),"")</f>
        <v/>
      </c>
      <c r="F447" s="2" t="str">
        <f>IFERROR(__xludf.DUMMYFUNCTION("""COMPUTED_VALUE"""),"")</f>
        <v/>
      </c>
      <c r="G447" s="27" t="str">
        <f>IFERROR(__xludf.DUMMYFUNCTION("""COMPUTED_VALUE""")," ")</f>
        <v> </v>
      </c>
      <c r="H447" s="23" t="str">
        <f>IFERROR(__xludf.DUMMYFUNCTION("""COMPUTED_VALUE"""),"")</f>
        <v/>
      </c>
      <c r="I447" s="2" t="str">
        <f>IFERROR(__xludf.DUMMYFUNCTION("""COMPUTED_VALUE"""),"")</f>
        <v/>
      </c>
      <c r="J447" s="27" t="str">
        <f>IFERROR(__xludf.DUMMYFUNCTION("""COMPUTED_VALUE""")," ")</f>
        <v> </v>
      </c>
      <c r="K447" s="23" t="str">
        <f>IFERROR(__xludf.DUMMYFUNCTION("""COMPUTED_VALUE"""),"")</f>
        <v/>
      </c>
      <c r="L447" s="2" t="str">
        <f>IFERROR(__xludf.DUMMYFUNCTION("""COMPUTED_VALUE"""),"")</f>
        <v/>
      </c>
      <c r="M447" s="27" t="str">
        <f>IFERROR(__xludf.DUMMYFUNCTION("""COMPUTED_VALUE"""),"")</f>
        <v/>
      </c>
      <c r="N447" s="23" t="str">
        <f>IFERROR(__xludf.DUMMYFUNCTION("""COMPUTED_VALUE"""),"")</f>
        <v/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2"/>
      <c r="B448" s="2"/>
      <c r="C448" s="2"/>
      <c r="D448" s="2" t="str">
        <f>IFERROR(__xludf.DUMMYFUNCTION("""COMPUTED_VALUE"""),"")</f>
        <v/>
      </c>
      <c r="E448" s="25" t="str">
        <f>IFERROR(__xludf.DUMMYFUNCTION("""COMPUTED_VALUE"""),"")</f>
        <v/>
      </c>
      <c r="F448" s="2" t="str">
        <f>IFERROR(__xludf.DUMMYFUNCTION("""COMPUTED_VALUE"""),"")</f>
        <v/>
      </c>
      <c r="G448" s="27" t="str">
        <f>IFERROR(__xludf.DUMMYFUNCTION("""COMPUTED_VALUE""")," ")</f>
        <v> </v>
      </c>
      <c r="H448" s="23" t="str">
        <f>IFERROR(__xludf.DUMMYFUNCTION("""COMPUTED_VALUE"""),"")</f>
        <v/>
      </c>
      <c r="I448" s="2" t="str">
        <f>IFERROR(__xludf.DUMMYFUNCTION("""COMPUTED_VALUE"""),"")</f>
        <v/>
      </c>
      <c r="J448" s="27" t="str">
        <f>IFERROR(__xludf.DUMMYFUNCTION("""COMPUTED_VALUE""")," ")</f>
        <v> </v>
      </c>
      <c r="K448" s="23" t="str">
        <f>IFERROR(__xludf.DUMMYFUNCTION("""COMPUTED_VALUE"""),"")</f>
        <v/>
      </c>
      <c r="L448" s="2" t="str">
        <f>IFERROR(__xludf.DUMMYFUNCTION("""COMPUTED_VALUE"""),"")</f>
        <v/>
      </c>
      <c r="M448" s="27" t="str">
        <f>IFERROR(__xludf.DUMMYFUNCTION("""COMPUTED_VALUE"""),"")</f>
        <v/>
      </c>
      <c r="N448" s="23" t="str">
        <f>IFERROR(__xludf.DUMMYFUNCTION("""COMPUTED_VALUE"""),"")</f>
        <v/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2"/>
      <c r="B449" s="2"/>
      <c r="C449" s="2"/>
      <c r="D449" s="2" t="str">
        <f>IFERROR(__xludf.DUMMYFUNCTION("""COMPUTED_VALUE"""),"")</f>
        <v/>
      </c>
      <c r="E449" s="25" t="str">
        <f>IFERROR(__xludf.DUMMYFUNCTION("""COMPUTED_VALUE"""),"")</f>
        <v/>
      </c>
      <c r="F449" s="2" t="str">
        <f>IFERROR(__xludf.DUMMYFUNCTION("""COMPUTED_VALUE"""),"")</f>
        <v/>
      </c>
      <c r="G449" s="27" t="str">
        <f>IFERROR(__xludf.DUMMYFUNCTION("""COMPUTED_VALUE""")," ")</f>
        <v> </v>
      </c>
      <c r="H449" s="23" t="str">
        <f>IFERROR(__xludf.DUMMYFUNCTION("""COMPUTED_VALUE"""),"")</f>
        <v/>
      </c>
      <c r="I449" s="2" t="str">
        <f>IFERROR(__xludf.DUMMYFUNCTION("""COMPUTED_VALUE"""),"")</f>
        <v/>
      </c>
      <c r="J449" s="27" t="str">
        <f>IFERROR(__xludf.DUMMYFUNCTION("""COMPUTED_VALUE""")," ")</f>
        <v> </v>
      </c>
      <c r="K449" s="23" t="str">
        <f>IFERROR(__xludf.DUMMYFUNCTION("""COMPUTED_VALUE"""),"")</f>
        <v/>
      </c>
      <c r="L449" s="2" t="str">
        <f>IFERROR(__xludf.DUMMYFUNCTION("""COMPUTED_VALUE"""),"")</f>
        <v/>
      </c>
      <c r="M449" s="27" t="str">
        <f>IFERROR(__xludf.DUMMYFUNCTION("""COMPUTED_VALUE"""),"")</f>
        <v/>
      </c>
      <c r="N449" s="23" t="str">
        <f>IFERROR(__xludf.DUMMYFUNCTION("""COMPUTED_VALUE"""),"")</f>
        <v/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2"/>
      <c r="B450" s="2"/>
      <c r="C450" s="2"/>
      <c r="D450" s="2" t="str">
        <f>IFERROR(__xludf.DUMMYFUNCTION("""COMPUTED_VALUE"""),"")</f>
        <v/>
      </c>
      <c r="E450" s="25" t="str">
        <f>IFERROR(__xludf.DUMMYFUNCTION("""COMPUTED_VALUE"""),"")</f>
        <v/>
      </c>
      <c r="F450" s="2" t="str">
        <f>IFERROR(__xludf.DUMMYFUNCTION("""COMPUTED_VALUE"""),"")</f>
        <v/>
      </c>
      <c r="G450" s="27" t="str">
        <f>IFERROR(__xludf.DUMMYFUNCTION("""COMPUTED_VALUE""")," ")</f>
        <v> </v>
      </c>
      <c r="H450" s="23" t="str">
        <f>IFERROR(__xludf.DUMMYFUNCTION("""COMPUTED_VALUE"""),"")</f>
        <v/>
      </c>
      <c r="I450" s="2" t="str">
        <f>IFERROR(__xludf.DUMMYFUNCTION("""COMPUTED_VALUE"""),"")</f>
        <v/>
      </c>
      <c r="J450" s="27" t="str">
        <f>IFERROR(__xludf.DUMMYFUNCTION("""COMPUTED_VALUE""")," ")</f>
        <v> </v>
      </c>
      <c r="K450" s="23" t="str">
        <f>IFERROR(__xludf.DUMMYFUNCTION("""COMPUTED_VALUE"""),"")</f>
        <v/>
      </c>
      <c r="L450" s="2" t="str">
        <f>IFERROR(__xludf.DUMMYFUNCTION("""COMPUTED_VALUE"""),"")</f>
        <v/>
      </c>
      <c r="M450" s="27" t="str">
        <f>IFERROR(__xludf.DUMMYFUNCTION("""COMPUTED_VALUE"""),"")</f>
        <v/>
      </c>
      <c r="N450" s="23" t="str">
        <f>IFERROR(__xludf.DUMMYFUNCTION("""COMPUTED_VALUE"""),"")</f>
        <v/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2"/>
      <c r="B451" s="2"/>
      <c r="C451" s="2"/>
      <c r="D451" s="2" t="str">
        <f>IFERROR(__xludf.DUMMYFUNCTION("""COMPUTED_VALUE"""),"")</f>
        <v/>
      </c>
      <c r="E451" s="25" t="str">
        <f>IFERROR(__xludf.DUMMYFUNCTION("""COMPUTED_VALUE"""),"")</f>
        <v/>
      </c>
      <c r="F451" s="2" t="str">
        <f>IFERROR(__xludf.DUMMYFUNCTION("""COMPUTED_VALUE"""),"")</f>
        <v/>
      </c>
      <c r="G451" s="27" t="str">
        <f>IFERROR(__xludf.DUMMYFUNCTION("""COMPUTED_VALUE""")," ")</f>
        <v> </v>
      </c>
      <c r="H451" s="23" t="str">
        <f>IFERROR(__xludf.DUMMYFUNCTION("""COMPUTED_VALUE"""),"")</f>
        <v/>
      </c>
      <c r="I451" s="2" t="str">
        <f>IFERROR(__xludf.DUMMYFUNCTION("""COMPUTED_VALUE"""),"")</f>
        <v/>
      </c>
      <c r="J451" s="27" t="str">
        <f>IFERROR(__xludf.DUMMYFUNCTION("""COMPUTED_VALUE""")," ")</f>
        <v> </v>
      </c>
      <c r="K451" s="23" t="str">
        <f>IFERROR(__xludf.DUMMYFUNCTION("""COMPUTED_VALUE"""),"")</f>
        <v/>
      </c>
      <c r="L451" s="2" t="str">
        <f>IFERROR(__xludf.DUMMYFUNCTION("""COMPUTED_VALUE"""),"")</f>
        <v/>
      </c>
      <c r="M451" s="27" t="str">
        <f>IFERROR(__xludf.DUMMYFUNCTION("""COMPUTED_VALUE"""),"")</f>
        <v/>
      </c>
      <c r="N451" s="23" t="str">
        <f>IFERROR(__xludf.DUMMYFUNCTION("""COMPUTED_VALUE"""),"")</f>
        <v/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2"/>
      <c r="B452" s="2"/>
      <c r="C452" s="2"/>
      <c r="D452" s="2" t="str">
        <f>IFERROR(__xludf.DUMMYFUNCTION("""COMPUTED_VALUE"""),"")</f>
        <v/>
      </c>
      <c r="E452" s="25" t="str">
        <f>IFERROR(__xludf.DUMMYFUNCTION("""COMPUTED_VALUE"""),"")</f>
        <v/>
      </c>
      <c r="F452" s="2" t="str">
        <f>IFERROR(__xludf.DUMMYFUNCTION("""COMPUTED_VALUE"""),"")</f>
        <v/>
      </c>
      <c r="G452" s="27" t="str">
        <f>IFERROR(__xludf.DUMMYFUNCTION("""COMPUTED_VALUE""")," ")</f>
        <v> </v>
      </c>
      <c r="H452" s="23" t="str">
        <f>IFERROR(__xludf.DUMMYFUNCTION("""COMPUTED_VALUE"""),"")</f>
        <v/>
      </c>
      <c r="I452" s="2" t="str">
        <f>IFERROR(__xludf.DUMMYFUNCTION("""COMPUTED_VALUE"""),"")</f>
        <v/>
      </c>
      <c r="J452" s="27" t="str">
        <f>IFERROR(__xludf.DUMMYFUNCTION("""COMPUTED_VALUE""")," ")</f>
        <v> </v>
      </c>
      <c r="K452" s="23" t="str">
        <f>IFERROR(__xludf.DUMMYFUNCTION("""COMPUTED_VALUE"""),"")</f>
        <v/>
      </c>
      <c r="L452" s="2" t="str">
        <f>IFERROR(__xludf.DUMMYFUNCTION("""COMPUTED_VALUE"""),"")</f>
        <v/>
      </c>
      <c r="M452" s="27" t="str">
        <f>IFERROR(__xludf.DUMMYFUNCTION("""COMPUTED_VALUE"""),"")</f>
        <v/>
      </c>
      <c r="N452" s="23" t="str">
        <f>IFERROR(__xludf.DUMMYFUNCTION("""COMPUTED_VALUE"""),"")</f>
        <v/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2"/>
      <c r="B453" s="2"/>
      <c r="C453" s="2"/>
      <c r="D453" s="2" t="str">
        <f>IFERROR(__xludf.DUMMYFUNCTION("""COMPUTED_VALUE"""),"")</f>
        <v/>
      </c>
      <c r="E453" s="25" t="str">
        <f>IFERROR(__xludf.DUMMYFUNCTION("""COMPUTED_VALUE"""),"")</f>
        <v/>
      </c>
      <c r="F453" s="2" t="str">
        <f>IFERROR(__xludf.DUMMYFUNCTION("""COMPUTED_VALUE"""),"")</f>
        <v/>
      </c>
      <c r="G453" s="27" t="str">
        <f>IFERROR(__xludf.DUMMYFUNCTION("""COMPUTED_VALUE""")," ")</f>
        <v> </v>
      </c>
      <c r="H453" s="23" t="str">
        <f>IFERROR(__xludf.DUMMYFUNCTION("""COMPUTED_VALUE"""),"")</f>
        <v/>
      </c>
      <c r="I453" s="2" t="str">
        <f>IFERROR(__xludf.DUMMYFUNCTION("""COMPUTED_VALUE"""),"")</f>
        <v/>
      </c>
      <c r="J453" s="27" t="str">
        <f>IFERROR(__xludf.DUMMYFUNCTION("""COMPUTED_VALUE""")," ")</f>
        <v> </v>
      </c>
      <c r="K453" s="23" t="str">
        <f>IFERROR(__xludf.DUMMYFUNCTION("""COMPUTED_VALUE"""),"")</f>
        <v/>
      </c>
      <c r="L453" s="2" t="str">
        <f>IFERROR(__xludf.DUMMYFUNCTION("""COMPUTED_VALUE"""),"")</f>
        <v/>
      </c>
      <c r="M453" s="27" t="str">
        <f>IFERROR(__xludf.DUMMYFUNCTION("""COMPUTED_VALUE"""),"")</f>
        <v/>
      </c>
      <c r="N453" s="23" t="str">
        <f>IFERROR(__xludf.DUMMYFUNCTION("""COMPUTED_VALUE"""),"")</f>
        <v/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2"/>
      <c r="B454" s="2"/>
      <c r="C454" s="2"/>
      <c r="D454" s="2" t="str">
        <f>IFERROR(__xludf.DUMMYFUNCTION("""COMPUTED_VALUE"""),"")</f>
        <v/>
      </c>
      <c r="E454" s="25" t="str">
        <f>IFERROR(__xludf.DUMMYFUNCTION("""COMPUTED_VALUE"""),"")</f>
        <v/>
      </c>
      <c r="F454" s="2" t="str">
        <f>IFERROR(__xludf.DUMMYFUNCTION("""COMPUTED_VALUE"""),"")</f>
        <v/>
      </c>
      <c r="G454" s="27" t="str">
        <f>IFERROR(__xludf.DUMMYFUNCTION("""COMPUTED_VALUE""")," ")</f>
        <v> </v>
      </c>
      <c r="H454" s="23" t="str">
        <f>IFERROR(__xludf.DUMMYFUNCTION("""COMPUTED_VALUE"""),"")</f>
        <v/>
      </c>
      <c r="I454" s="2" t="str">
        <f>IFERROR(__xludf.DUMMYFUNCTION("""COMPUTED_VALUE"""),"")</f>
        <v/>
      </c>
      <c r="J454" s="27" t="str">
        <f>IFERROR(__xludf.DUMMYFUNCTION("""COMPUTED_VALUE""")," ")</f>
        <v> </v>
      </c>
      <c r="K454" s="23" t="str">
        <f>IFERROR(__xludf.DUMMYFUNCTION("""COMPUTED_VALUE"""),"")</f>
        <v/>
      </c>
      <c r="L454" s="2" t="str">
        <f>IFERROR(__xludf.DUMMYFUNCTION("""COMPUTED_VALUE"""),"")</f>
        <v/>
      </c>
      <c r="M454" s="27" t="str">
        <f>IFERROR(__xludf.DUMMYFUNCTION("""COMPUTED_VALUE"""),"")</f>
        <v/>
      </c>
      <c r="N454" s="23" t="str">
        <f>IFERROR(__xludf.DUMMYFUNCTION("""COMPUTED_VALUE"""),"")</f>
        <v/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2"/>
      <c r="B455" s="2"/>
      <c r="C455" s="2"/>
      <c r="D455" s="2" t="str">
        <f>IFERROR(__xludf.DUMMYFUNCTION("""COMPUTED_VALUE"""),"")</f>
        <v/>
      </c>
      <c r="E455" s="25" t="str">
        <f>IFERROR(__xludf.DUMMYFUNCTION("""COMPUTED_VALUE"""),"")</f>
        <v/>
      </c>
      <c r="F455" s="2" t="str">
        <f>IFERROR(__xludf.DUMMYFUNCTION("""COMPUTED_VALUE"""),"")</f>
        <v/>
      </c>
      <c r="G455" s="27" t="str">
        <f>IFERROR(__xludf.DUMMYFUNCTION("""COMPUTED_VALUE""")," ")</f>
        <v> </v>
      </c>
      <c r="H455" s="23" t="str">
        <f>IFERROR(__xludf.DUMMYFUNCTION("""COMPUTED_VALUE"""),"")</f>
        <v/>
      </c>
      <c r="I455" s="2" t="str">
        <f>IFERROR(__xludf.DUMMYFUNCTION("""COMPUTED_VALUE"""),"")</f>
        <v/>
      </c>
      <c r="J455" s="27" t="str">
        <f>IFERROR(__xludf.DUMMYFUNCTION("""COMPUTED_VALUE""")," ")</f>
        <v> </v>
      </c>
      <c r="K455" s="23" t="str">
        <f>IFERROR(__xludf.DUMMYFUNCTION("""COMPUTED_VALUE"""),"")</f>
        <v/>
      </c>
      <c r="L455" s="2" t="str">
        <f>IFERROR(__xludf.DUMMYFUNCTION("""COMPUTED_VALUE"""),"")</f>
        <v/>
      </c>
      <c r="M455" s="27" t="str">
        <f>IFERROR(__xludf.DUMMYFUNCTION("""COMPUTED_VALUE"""),"")</f>
        <v/>
      </c>
      <c r="N455" s="23" t="str">
        <f>IFERROR(__xludf.DUMMYFUNCTION("""COMPUTED_VALUE"""),"")</f>
        <v/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2"/>
      <c r="B456" s="2"/>
      <c r="C456" s="2"/>
      <c r="D456" s="2" t="str">
        <f>IFERROR(__xludf.DUMMYFUNCTION("""COMPUTED_VALUE"""),"")</f>
        <v/>
      </c>
      <c r="E456" s="25" t="str">
        <f>IFERROR(__xludf.DUMMYFUNCTION("""COMPUTED_VALUE"""),"")</f>
        <v/>
      </c>
      <c r="F456" s="2" t="str">
        <f>IFERROR(__xludf.DUMMYFUNCTION("""COMPUTED_VALUE"""),"")</f>
        <v/>
      </c>
      <c r="G456" s="27" t="str">
        <f>IFERROR(__xludf.DUMMYFUNCTION("""COMPUTED_VALUE""")," ")</f>
        <v> </v>
      </c>
      <c r="H456" s="23" t="str">
        <f>IFERROR(__xludf.DUMMYFUNCTION("""COMPUTED_VALUE"""),"")</f>
        <v/>
      </c>
      <c r="I456" s="2" t="str">
        <f>IFERROR(__xludf.DUMMYFUNCTION("""COMPUTED_VALUE"""),"")</f>
        <v/>
      </c>
      <c r="J456" s="27" t="str">
        <f>IFERROR(__xludf.DUMMYFUNCTION("""COMPUTED_VALUE""")," ")</f>
        <v> </v>
      </c>
      <c r="K456" s="23" t="str">
        <f>IFERROR(__xludf.DUMMYFUNCTION("""COMPUTED_VALUE"""),"")</f>
        <v/>
      </c>
      <c r="L456" s="2" t="str">
        <f>IFERROR(__xludf.DUMMYFUNCTION("""COMPUTED_VALUE"""),"")</f>
        <v/>
      </c>
      <c r="M456" s="27" t="str">
        <f>IFERROR(__xludf.DUMMYFUNCTION("""COMPUTED_VALUE"""),"")</f>
        <v/>
      </c>
      <c r="N456" s="23" t="str">
        <f>IFERROR(__xludf.DUMMYFUNCTION("""COMPUTED_VALUE"""),"")</f>
        <v/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2"/>
      <c r="B457" s="2"/>
      <c r="C457" s="2"/>
      <c r="D457" s="2" t="str">
        <f>IFERROR(__xludf.DUMMYFUNCTION("""COMPUTED_VALUE"""),"")</f>
        <v/>
      </c>
      <c r="E457" s="25" t="str">
        <f>IFERROR(__xludf.DUMMYFUNCTION("""COMPUTED_VALUE"""),"")</f>
        <v/>
      </c>
      <c r="F457" s="2" t="str">
        <f>IFERROR(__xludf.DUMMYFUNCTION("""COMPUTED_VALUE"""),"")</f>
        <v/>
      </c>
      <c r="G457" s="27" t="str">
        <f>IFERROR(__xludf.DUMMYFUNCTION("""COMPUTED_VALUE""")," ")</f>
        <v> </v>
      </c>
      <c r="H457" s="23" t="str">
        <f>IFERROR(__xludf.DUMMYFUNCTION("""COMPUTED_VALUE"""),"")</f>
        <v/>
      </c>
      <c r="I457" s="2" t="str">
        <f>IFERROR(__xludf.DUMMYFUNCTION("""COMPUTED_VALUE"""),"")</f>
        <v/>
      </c>
      <c r="J457" s="27" t="str">
        <f>IFERROR(__xludf.DUMMYFUNCTION("""COMPUTED_VALUE""")," ")</f>
        <v> </v>
      </c>
      <c r="K457" s="23" t="str">
        <f>IFERROR(__xludf.DUMMYFUNCTION("""COMPUTED_VALUE"""),"")</f>
        <v/>
      </c>
      <c r="L457" s="2" t="str">
        <f>IFERROR(__xludf.DUMMYFUNCTION("""COMPUTED_VALUE"""),"")</f>
        <v/>
      </c>
      <c r="M457" s="27" t="str">
        <f>IFERROR(__xludf.DUMMYFUNCTION("""COMPUTED_VALUE"""),"")</f>
        <v/>
      </c>
      <c r="N457" s="23" t="str">
        <f>IFERROR(__xludf.DUMMYFUNCTION("""COMPUTED_VALUE"""),"")</f>
        <v/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2"/>
      <c r="B458" s="2"/>
      <c r="C458" s="2"/>
      <c r="D458" s="2" t="str">
        <f>IFERROR(__xludf.DUMMYFUNCTION("""COMPUTED_VALUE"""),"")</f>
        <v/>
      </c>
      <c r="E458" s="25" t="str">
        <f>IFERROR(__xludf.DUMMYFUNCTION("""COMPUTED_VALUE"""),"")</f>
        <v/>
      </c>
      <c r="F458" s="2" t="str">
        <f>IFERROR(__xludf.DUMMYFUNCTION("""COMPUTED_VALUE"""),"")</f>
        <v/>
      </c>
      <c r="G458" s="27" t="str">
        <f>IFERROR(__xludf.DUMMYFUNCTION("""COMPUTED_VALUE""")," ")</f>
        <v> </v>
      </c>
      <c r="H458" s="23" t="str">
        <f>IFERROR(__xludf.DUMMYFUNCTION("""COMPUTED_VALUE"""),"")</f>
        <v/>
      </c>
      <c r="I458" s="2" t="str">
        <f>IFERROR(__xludf.DUMMYFUNCTION("""COMPUTED_VALUE"""),"")</f>
        <v/>
      </c>
      <c r="J458" s="27" t="str">
        <f>IFERROR(__xludf.DUMMYFUNCTION("""COMPUTED_VALUE""")," ")</f>
        <v> </v>
      </c>
      <c r="K458" s="23" t="str">
        <f>IFERROR(__xludf.DUMMYFUNCTION("""COMPUTED_VALUE"""),"")</f>
        <v/>
      </c>
      <c r="L458" s="2" t="str">
        <f>IFERROR(__xludf.DUMMYFUNCTION("""COMPUTED_VALUE"""),"")</f>
        <v/>
      </c>
      <c r="M458" s="27" t="str">
        <f>IFERROR(__xludf.DUMMYFUNCTION("""COMPUTED_VALUE"""),"")</f>
        <v/>
      </c>
      <c r="N458" s="23" t="str">
        <f>IFERROR(__xludf.DUMMYFUNCTION("""COMPUTED_VALUE"""),"")</f>
        <v/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2"/>
      <c r="B459" s="2"/>
      <c r="C459" s="2"/>
      <c r="D459" s="2" t="str">
        <f>IFERROR(__xludf.DUMMYFUNCTION("""COMPUTED_VALUE"""),"")</f>
        <v/>
      </c>
      <c r="E459" s="25" t="str">
        <f>IFERROR(__xludf.DUMMYFUNCTION("""COMPUTED_VALUE"""),"")</f>
        <v/>
      </c>
      <c r="F459" s="2" t="str">
        <f>IFERROR(__xludf.DUMMYFUNCTION("""COMPUTED_VALUE"""),"")</f>
        <v/>
      </c>
      <c r="G459" s="27" t="str">
        <f>IFERROR(__xludf.DUMMYFUNCTION("""COMPUTED_VALUE""")," ")</f>
        <v> </v>
      </c>
      <c r="H459" s="23" t="str">
        <f>IFERROR(__xludf.DUMMYFUNCTION("""COMPUTED_VALUE"""),"")</f>
        <v/>
      </c>
      <c r="I459" s="2" t="str">
        <f>IFERROR(__xludf.DUMMYFUNCTION("""COMPUTED_VALUE"""),"")</f>
        <v/>
      </c>
      <c r="J459" s="27" t="str">
        <f>IFERROR(__xludf.DUMMYFUNCTION("""COMPUTED_VALUE""")," ")</f>
        <v> </v>
      </c>
      <c r="K459" s="23" t="str">
        <f>IFERROR(__xludf.DUMMYFUNCTION("""COMPUTED_VALUE"""),"")</f>
        <v/>
      </c>
      <c r="L459" s="2" t="str">
        <f>IFERROR(__xludf.DUMMYFUNCTION("""COMPUTED_VALUE"""),"")</f>
        <v/>
      </c>
      <c r="M459" s="27" t="str">
        <f>IFERROR(__xludf.DUMMYFUNCTION("""COMPUTED_VALUE"""),"")</f>
        <v/>
      </c>
      <c r="N459" s="23" t="str">
        <f>IFERROR(__xludf.DUMMYFUNCTION("""COMPUTED_VALUE"""),"")</f>
        <v/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2"/>
      <c r="B460" s="2"/>
      <c r="C460" s="2"/>
      <c r="D460" s="2" t="str">
        <f>IFERROR(__xludf.DUMMYFUNCTION("""COMPUTED_VALUE"""),"")</f>
        <v/>
      </c>
      <c r="E460" s="25" t="str">
        <f>IFERROR(__xludf.DUMMYFUNCTION("""COMPUTED_VALUE"""),"")</f>
        <v/>
      </c>
      <c r="F460" s="2" t="str">
        <f>IFERROR(__xludf.DUMMYFUNCTION("""COMPUTED_VALUE"""),"")</f>
        <v/>
      </c>
      <c r="G460" s="27" t="str">
        <f>IFERROR(__xludf.DUMMYFUNCTION("""COMPUTED_VALUE""")," ")</f>
        <v> </v>
      </c>
      <c r="H460" s="23" t="str">
        <f>IFERROR(__xludf.DUMMYFUNCTION("""COMPUTED_VALUE"""),"")</f>
        <v/>
      </c>
      <c r="I460" s="2" t="str">
        <f>IFERROR(__xludf.DUMMYFUNCTION("""COMPUTED_VALUE"""),"")</f>
        <v/>
      </c>
      <c r="J460" s="27" t="str">
        <f>IFERROR(__xludf.DUMMYFUNCTION("""COMPUTED_VALUE""")," ")</f>
        <v> </v>
      </c>
      <c r="K460" s="23" t="str">
        <f>IFERROR(__xludf.DUMMYFUNCTION("""COMPUTED_VALUE"""),"")</f>
        <v/>
      </c>
      <c r="L460" s="2" t="str">
        <f>IFERROR(__xludf.DUMMYFUNCTION("""COMPUTED_VALUE"""),"")</f>
        <v/>
      </c>
      <c r="M460" s="27" t="str">
        <f>IFERROR(__xludf.DUMMYFUNCTION("""COMPUTED_VALUE"""),"")</f>
        <v/>
      </c>
      <c r="N460" s="23" t="str">
        <f>IFERROR(__xludf.DUMMYFUNCTION("""COMPUTED_VALUE"""),"")</f>
        <v/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2"/>
      <c r="B461" s="2"/>
      <c r="C461" s="2"/>
      <c r="D461" s="2" t="str">
        <f>IFERROR(__xludf.DUMMYFUNCTION("""COMPUTED_VALUE"""),"")</f>
        <v/>
      </c>
      <c r="E461" s="25" t="str">
        <f>IFERROR(__xludf.DUMMYFUNCTION("""COMPUTED_VALUE"""),"")</f>
        <v/>
      </c>
      <c r="F461" s="2" t="str">
        <f>IFERROR(__xludf.DUMMYFUNCTION("""COMPUTED_VALUE"""),"")</f>
        <v/>
      </c>
      <c r="G461" s="27" t="str">
        <f>IFERROR(__xludf.DUMMYFUNCTION("""COMPUTED_VALUE""")," ")</f>
        <v> </v>
      </c>
      <c r="H461" s="23" t="str">
        <f>IFERROR(__xludf.DUMMYFUNCTION("""COMPUTED_VALUE"""),"")</f>
        <v/>
      </c>
      <c r="I461" s="2" t="str">
        <f>IFERROR(__xludf.DUMMYFUNCTION("""COMPUTED_VALUE"""),"")</f>
        <v/>
      </c>
      <c r="J461" s="27" t="str">
        <f>IFERROR(__xludf.DUMMYFUNCTION("""COMPUTED_VALUE""")," ")</f>
        <v> </v>
      </c>
      <c r="K461" s="23" t="str">
        <f>IFERROR(__xludf.DUMMYFUNCTION("""COMPUTED_VALUE"""),"")</f>
        <v/>
      </c>
      <c r="L461" s="2" t="str">
        <f>IFERROR(__xludf.DUMMYFUNCTION("""COMPUTED_VALUE"""),"")</f>
        <v/>
      </c>
      <c r="M461" s="27" t="str">
        <f>IFERROR(__xludf.DUMMYFUNCTION("""COMPUTED_VALUE"""),"")</f>
        <v/>
      </c>
      <c r="N461" s="23" t="str">
        <f>IFERROR(__xludf.DUMMYFUNCTION("""COMPUTED_VALUE"""),"")</f>
        <v/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2"/>
      <c r="B462" s="2"/>
      <c r="C462" s="2"/>
      <c r="D462" s="2" t="str">
        <f>IFERROR(__xludf.DUMMYFUNCTION("""COMPUTED_VALUE"""),"")</f>
        <v/>
      </c>
      <c r="E462" s="25" t="str">
        <f>IFERROR(__xludf.DUMMYFUNCTION("""COMPUTED_VALUE"""),"")</f>
        <v/>
      </c>
      <c r="F462" s="2" t="str">
        <f>IFERROR(__xludf.DUMMYFUNCTION("""COMPUTED_VALUE"""),"")</f>
        <v/>
      </c>
      <c r="G462" s="27" t="str">
        <f>IFERROR(__xludf.DUMMYFUNCTION("""COMPUTED_VALUE""")," ")</f>
        <v> </v>
      </c>
      <c r="H462" s="23" t="str">
        <f>IFERROR(__xludf.DUMMYFUNCTION("""COMPUTED_VALUE"""),"")</f>
        <v/>
      </c>
      <c r="I462" s="2" t="str">
        <f>IFERROR(__xludf.DUMMYFUNCTION("""COMPUTED_VALUE"""),"")</f>
        <v/>
      </c>
      <c r="J462" s="27" t="str">
        <f>IFERROR(__xludf.DUMMYFUNCTION("""COMPUTED_VALUE""")," ")</f>
        <v> </v>
      </c>
      <c r="K462" s="23" t="str">
        <f>IFERROR(__xludf.DUMMYFUNCTION("""COMPUTED_VALUE"""),"")</f>
        <v/>
      </c>
      <c r="L462" s="2" t="str">
        <f>IFERROR(__xludf.DUMMYFUNCTION("""COMPUTED_VALUE"""),"")</f>
        <v/>
      </c>
      <c r="M462" s="27" t="str">
        <f>IFERROR(__xludf.DUMMYFUNCTION("""COMPUTED_VALUE"""),"")</f>
        <v/>
      </c>
      <c r="N462" s="23" t="str">
        <f>IFERROR(__xludf.DUMMYFUNCTION("""COMPUTED_VALUE"""),"")</f>
        <v/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2"/>
      <c r="B463" s="2"/>
      <c r="C463" s="2"/>
      <c r="D463" s="2" t="str">
        <f>IFERROR(__xludf.DUMMYFUNCTION("""COMPUTED_VALUE"""),"")</f>
        <v/>
      </c>
      <c r="E463" s="2"/>
      <c r="F463" s="2" t="str">
        <f>IFERROR(__xludf.DUMMYFUNCTION("""COMPUTED_VALUE"""),"  ")</f>
        <v>  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2"/>
      <c r="B464" s="2"/>
      <c r="C464" s="2"/>
      <c r="D464" s="2" t="str">
        <f>IFERROR(__xludf.DUMMYFUNCTION("""COMPUTED_VALUE"""),"")</f>
        <v/>
      </c>
      <c r="E464" s="2"/>
      <c r="F464" s="2" t="str">
        <f>IFERROR(__xludf.DUMMYFUNCTION("""COMPUTED_VALUE"""),"  ")</f>
        <v>  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2"/>
      <c r="B465" s="2"/>
      <c r="C465" s="2"/>
      <c r="D465" s="2" t="str">
        <f>IFERROR(__xludf.DUMMYFUNCTION("""COMPUTED_VALUE"""),"")</f>
        <v/>
      </c>
      <c r="E465" s="2"/>
      <c r="F465" s="2" t="str">
        <f>IFERROR(__xludf.DUMMYFUNCTION("""COMPUTED_VALUE"""),"  ")</f>
        <v>  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2"/>
      <c r="B466" s="2"/>
      <c r="C466" s="2"/>
      <c r="D466" s="2" t="str">
        <f>IFERROR(__xludf.DUMMYFUNCTION("""COMPUTED_VALUE"""),"")</f>
        <v/>
      </c>
      <c r="E466" s="2"/>
      <c r="F466" s="2" t="str">
        <f>IFERROR(__xludf.DUMMYFUNCTION("""COMPUTED_VALUE"""),"  ")</f>
        <v>  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2"/>
      <c r="B467" s="2"/>
      <c r="C467" s="2"/>
      <c r="D467" s="2" t="str">
        <f>IFERROR(__xludf.DUMMYFUNCTION("""COMPUTED_VALUE"""),"")</f>
        <v/>
      </c>
      <c r="E467" s="2"/>
      <c r="F467" s="2" t="str">
        <f>IFERROR(__xludf.DUMMYFUNCTION("""COMPUTED_VALUE"""),"  ")</f>
        <v>  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2"/>
      <c r="B468" s="2"/>
      <c r="C468" s="2"/>
      <c r="D468" s="2" t="str">
        <f>IFERROR(__xludf.DUMMYFUNCTION("""COMPUTED_VALUE"""),"")</f>
        <v/>
      </c>
      <c r="E468" s="2"/>
      <c r="F468" s="2" t="str">
        <f>IFERROR(__xludf.DUMMYFUNCTION("""COMPUTED_VALUE"""),"  ")</f>
        <v>  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2"/>
      <c r="B469" s="2"/>
      <c r="C469" s="2"/>
      <c r="D469" s="2" t="str">
        <f>IFERROR(__xludf.DUMMYFUNCTION("""COMPUTED_VALUE"""),"")</f>
        <v/>
      </c>
      <c r="E469" s="2"/>
      <c r="F469" s="2" t="str">
        <f>IFERROR(__xludf.DUMMYFUNCTION("""COMPUTED_VALUE"""),"  ")</f>
        <v>  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2"/>
      <c r="B470" s="2"/>
      <c r="C470" s="2"/>
      <c r="D470" s="2" t="str">
        <f>IFERROR(__xludf.DUMMYFUNCTION("""COMPUTED_VALUE"""),"")</f>
        <v/>
      </c>
      <c r="E470" s="2"/>
      <c r="F470" s="2" t="str">
        <f>IFERROR(__xludf.DUMMYFUNCTION("""COMPUTED_VALUE"""),"  ")</f>
        <v>  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2"/>
      <c r="B471" s="2"/>
      <c r="C471" s="2"/>
      <c r="D471" s="2" t="str">
        <f>IFERROR(__xludf.DUMMYFUNCTION("""COMPUTED_VALUE"""),"")</f>
        <v/>
      </c>
      <c r="E471" s="2"/>
      <c r="F471" s="2" t="str">
        <f>IFERROR(__xludf.DUMMYFUNCTION("""COMPUTED_VALUE"""),"  ")</f>
        <v>  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2"/>
      <c r="B472" s="2"/>
      <c r="C472" s="2"/>
      <c r="D472" s="2" t="str">
        <f>IFERROR(__xludf.DUMMYFUNCTION("""COMPUTED_VALUE"""),"")</f>
        <v/>
      </c>
      <c r="E472" s="2"/>
      <c r="F472" s="2" t="str">
        <f>IFERROR(__xludf.DUMMYFUNCTION("""COMPUTED_VALUE"""),"  ")</f>
        <v>  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2"/>
      <c r="B473" s="2"/>
      <c r="C473" s="2"/>
      <c r="D473" s="2" t="str">
        <f>IFERROR(__xludf.DUMMYFUNCTION("""COMPUTED_VALUE"""),"")</f>
        <v/>
      </c>
      <c r="E473" s="2"/>
      <c r="F473" s="2" t="str">
        <f>IFERROR(__xludf.DUMMYFUNCTION("""COMPUTED_VALUE"""),"  ")</f>
        <v>  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2"/>
      <c r="B474" s="2"/>
      <c r="C474" s="2"/>
      <c r="D474" s="2" t="str">
        <f>IFERROR(__xludf.DUMMYFUNCTION("""COMPUTED_VALUE"""),"")</f>
        <v/>
      </c>
      <c r="E474" s="2"/>
      <c r="F474" s="2" t="str">
        <f>IFERROR(__xludf.DUMMYFUNCTION("""COMPUTED_VALUE"""),"  ")</f>
        <v>  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2"/>
      <c r="B475" s="2"/>
      <c r="C475" s="2"/>
      <c r="D475" s="2" t="str">
        <f>IFERROR(__xludf.DUMMYFUNCTION("""COMPUTED_VALUE"""),"")</f>
        <v/>
      </c>
      <c r="E475" s="2"/>
      <c r="F475" s="2" t="str">
        <f>IFERROR(__xludf.DUMMYFUNCTION("""COMPUTED_VALUE"""),"  ")</f>
        <v>  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2"/>
      <c r="B476" s="2"/>
      <c r="C476" s="2"/>
      <c r="D476" s="2" t="str">
        <f>IFERROR(__xludf.DUMMYFUNCTION("""COMPUTED_VALUE"""),"")</f>
        <v/>
      </c>
      <c r="E476" s="2"/>
      <c r="F476" s="2" t="str">
        <f>IFERROR(__xludf.DUMMYFUNCTION("""COMPUTED_VALUE"""),"  ")</f>
        <v>  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2"/>
      <c r="B477" s="2"/>
      <c r="C477" s="2"/>
      <c r="D477" s="2" t="str">
        <f>IFERROR(__xludf.DUMMYFUNCTION("""COMPUTED_VALUE"""),"")</f>
        <v/>
      </c>
      <c r="E477" s="2"/>
      <c r="F477" s="2" t="str">
        <f>IFERROR(__xludf.DUMMYFUNCTION("""COMPUTED_VALUE"""),"  ")</f>
        <v>  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2"/>
      <c r="B478" s="2"/>
      <c r="C478" s="2"/>
      <c r="D478" s="2" t="str">
        <f>IFERROR(__xludf.DUMMYFUNCTION("""COMPUTED_VALUE"""),"")</f>
        <v/>
      </c>
      <c r="E478" s="2"/>
      <c r="F478" s="2" t="str">
        <f>IFERROR(__xludf.DUMMYFUNCTION("""COMPUTED_VALUE"""),"  ")</f>
        <v>  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2"/>
      <c r="B479" s="2"/>
      <c r="C479" s="2"/>
      <c r="D479" s="2" t="str">
        <f>IFERROR(__xludf.DUMMYFUNCTION("""COMPUTED_VALUE"""),"")</f>
        <v/>
      </c>
      <c r="E479" s="2"/>
      <c r="F479" s="2" t="str">
        <f>IFERROR(__xludf.DUMMYFUNCTION("""COMPUTED_VALUE"""),"  ")</f>
        <v>  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2"/>
      <c r="B480" s="2"/>
      <c r="C480" s="2"/>
      <c r="D480" s="2" t="str">
        <f>IFERROR(__xludf.DUMMYFUNCTION("""COMPUTED_VALUE"""),"")</f>
        <v/>
      </c>
      <c r="E480" s="2"/>
      <c r="F480" s="2" t="str">
        <f>IFERROR(__xludf.DUMMYFUNCTION("""COMPUTED_VALUE"""),"  ")</f>
        <v>  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2"/>
      <c r="B481" s="2"/>
      <c r="C481" s="2"/>
      <c r="D481" s="2" t="str">
        <f>IFERROR(__xludf.DUMMYFUNCTION("""COMPUTED_VALUE"""),"")</f>
        <v/>
      </c>
      <c r="E481" s="2"/>
      <c r="F481" s="2" t="str">
        <f>IFERROR(__xludf.DUMMYFUNCTION("""COMPUTED_VALUE"""),"  ")</f>
        <v>  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2"/>
      <c r="B482" s="2"/>
      <c r="C482" s="2"/>
      <c r="D482" s="2" t="str">
        <f>IFERROR(__xludf.DUMMYFUNCTION("""COMPUTED_VALUE"""),"")</f>
        <v/>
      </c>
      <c r="E482" s="2"/>
      <c r="F482" s="2" t="str">
        <f>IFERROR(__xludf.DUMMYFUNCTION("""COMPUTED_VALUE"""),"  ")</f>
        <v>  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2"/>
      <c r="B483" s="2"/>
      <c r="C483" s="2"/>
      <c r="D483" s="2" t="str">
        <f>IFERROR(__xludf.DUMMYFUNCTION("""COMPUTED_VALUE"""),"")</f>
        <v/>
      </c>
      <c r="E483" s="2"/>
      <c r="F483" s="2" t="str">
        <f>IFERROR(__xludf.DUMMYFUNCTION("""COMPUTED_VALUE"""),"  ")</f>
        <v>  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2"/>
      <c r="B484" s="2"/>
      <c r="C484" s="2"/>
      <c r="D484" s="2" t="str">
        <f>IFERROR(__xludf.DUMMYFUNCTION("""COMPUTED_VALUE"""),"")</f>
        <v/>
      </c>
      <c r="E484" s="2"/>
      <c r="F484" s="2" t="str">
        <f>IFERROR(__xludf.DUMMYFUNCTION("""COMPUTED_VALUE"""),"  ")</f>
        <v>  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2"/>
      <c r="B485" s="2"/>
      <c r="C485" s="2"/>
      <c r="D485" s="2" t="str">
        <f>IFERROR(__xludf.DUMMYFUNCTION("""COMPUTED_VALUE"""),"")</f>
        <v/>
      </c>
      <c r="E485" s="2"/>
      <c r="F485" s="2" t="str">
        <f>IFERROR(__xludf.DUMMYFUNCTION("""COMPUTED_VALUE"""),"  ")</f>
        <v>  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2"/>
      <c r="B486" s="2"/>
      <c r="C486" s="2"/>
      <c r="D486" s="2" t="str">
        <f>IFERROR(__xludf.DUMMYFUNCTION("""COMPUTED_VALUE"""),"")</f>
        <v/>
      </c>
      <c r="E486" s="2"/>
      <c r="F486" s="2" t="str">
        <f>IFERROR(__xludf.DUMMYFUNCTION("""COMPUTED_VALUE"""),"  ")</f>
        <v>  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2"/>
      <c r="B487" s="2"/>
      <c r="C487" s="2"/>
      <c r="D487" s="2" t="str">
        <f>IFERROR(__xludf.DUMMYFUNCTION("""COMPUTED_VALUE"""),"")</f>
        <v/>
      </c>
      <c r="E487" s="2"/>
      <c r="F487" s="2" t="str">
        <f>IFERROR(__xludf.DUMMYFUNCTION("""COMPUTED_VALUE"""),"  ")</f>
        <v>  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2"/>
      <c r="B488" s="2"/>
      <c r="C488" s="2"/>
      <c r="D488" s="2" t="str">
        <f>IFERROR(__xludf.DUMMYFUNCTION("""COMPUTED_VALUE"""),"")</f>
        <v/>
      </c>
      <c r="E488" s="2"/>
      <c r="F488" s="2" t="str">
        <f>IFERROR(__xludf.DUMMYFUNCTION("""COMPUTED_VALUE"""),"  ")</f>
        <v>  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2"/>
      <c r="B489" s="2"/>
      <c r="C489" s="2"/>
      <c r="D489" s="2" t="str">
        <f>IFERROR(__xludf.DUMMYFUNCTION("""COMPUTED_VALUE"""),"")</f>
        <v/>
      </c>
      <c r="E489" s="2"/>
      <c r="F489" s="2" t="str">
        <f>IFERROR(__xludf.DUMMYFUNCTION("""COMPUTED_VALUE"""),"  ")</f>
        <v>  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2"/>
      <c r="B490" s="2"/>
      <c r="C490" s="2"/>
      <c r="D490" s="2" t="str">
        <f>IFERROR(__xludf.DUMMYFUNCTION("""COMPUTED_VALUE"""),"")</f>
        <v/>
      </c>
      <c r="E490" s="2"/>
      <c r="F490" s="2" t="str">
        <f>IFERROR(__xludf.DUMMYFUNCTION("""COMPUTED_VALUE"""),"  ")</f>
        <v>  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2"/>
      <c r="B491" s="2"/>
      <c r="C491" s="2"/>
      <c r="D491" s="2" t="str">
        <f>IFERROR(__xludf.DUMMYFUNCTION("""COMPUTED_VALUE"""),"")</f>
        <v/>
      </c>
      <c r="E491" s="2"/>
      <c r="F491" s="2" t="str">
        <f>IFERROR(__xludf.DUMMYFUNCTION("""COMPUTED_VALUE"""),"  ")</f>
        <v>  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2"/>
      <c r="B492" s="2"/>
      <c r="C492" s="2"/>
      <c r="D492" s="2" t="str">
        <f>IFERROR(__xludf.DUMMYFUNCTION("""COMPUTED_VALUE"""),"")</f>
        <v/>
      </c>
      <c r="E492" s="2"/>
      <c r="F492" s="2" t="str">
        <f>IFERROR(__xludf.DUMMYFUNCTION("""COMPUTED_VALUE"""),"  ")</f>
        <v>  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2"/>
      <c r="B493" s="2"/>
      <c r="C493" s="2"/>
      <c r="D493" s="2" t="str">
        <f>IFERROR(__xludf.DUMMYFUNCTION("""COMPUTED_VALUE"""),"")</f>
        <v/>
      </c>
      <c r="E493" s="2"/>
      <c r="F493" s="2" t="str">
        <f>IFERROR(__xludf.DUMMYFUNCTION("""COMPUTED_VALUE"""),"  ")</f>
        <v>  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2"/>
      <c r="B494" s="2"/>
      <c r="C494" s="2"/>
      <c r="D494" s="2" t="str">
        <f>IFERROR(__xludf.DUMMYFUNCTION("""COMPUTED_VALUE"""),"")</f>
        <v/>
      </c>
      <c r="E494" s="2"/>
      <c r="F494" s="2" t="str">
        <f>IFERROR(__xludf.DUMMYFUNCTION("""COMPUTED_VALUE"""),"  ")</f>
        <v>  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2"/>
      <c r="B495" s="2"/>
      <c r="C495" s="2"/>
      <c r="D495" s="2" t="str">
        <f>IFERROR(__xludf.DUMMYFUNCTION("""COMPUTED_VALUE"""),"")</f>
        <v/>
      </c>
      <c r="E495" s="2"/>
      <c r="F495" s="2" t="str">
        <f>IFERROR(__xludf.DUMMYFUNCTION("""COMPUTED_VALUE"""),"  ")</f>
        <v>  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2"/>
      <c r="B496" s="2"/>
      <c r="C496" s="2"/>
      <c r="D496" s="2" t="str">
        <f>IFERROR(__xludf.DUMMYFUNCTION("""COMPUTED_VALUE"""),"")</f>
        <v/>
      </c>
      <c r="E496" s="2"/>
      <c r="F496" s="2" t="str">
        <f>IFERROR(__xludf.DUMMYFUNCTION("""COMPUTED_VALUE"""),"  ")</f>
        <v>  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2"/>
      <c r="B497" s="2"/>
      <c r="C497" s="2"/>
      <c r="D497" s="2" t="str">
        <f>IFERROR(__xludf.DUMMYFUNCTION("""COMPUTED_VALUE"""),"")</f>
        <v/>
      </c>
      <c r="E497" s="2"/>
      <c r="F497" s="2" t="str">
        <f>IFERROR(__xludf.DUMMYFUNCTION("""COMPUTED_VALUE"""),"  ")</f>
        <v>  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2"/>
      <c r="B498" s="2"/>
      <c r="C498" s="2"/>
      <c r="D498" s="2" t="str">
        <f>IFERROR(__xludf.DUMMYFUNCTION("""COMPUTED_VALUE"""),"")</f>
        <v/>
      </c>
      <c r="E498" s="2"/>
      <c r="F498" s="2" t="str">
        <f>IFERROR(__xludf.DUMMYFUNCTION("""COMPUTED_VALUE"""),"  ")</f>
        <v>  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2"/>
      <c r="B499" s="2"/>
      <c r="C499" s="2"/>
      <c r="D499" s="2" t="str">
        <f>IFERROR(__xludf.DUMMYFUNCTION("""COMPUTED_VALUE"""),"")</f>
        <v/>
      </c>
      <c r="E499" s="2"/>
      <c r="F499" s="2" t="str">
        <f>IFERROR(__xludf.DUMMYFUNCTION("""COMPUTED_VALUE"""),"  ")</f>
        <v>  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2"/>
      <c r="B500" s="2"/>
      <c r="C500" s="2"/>
      <c r="D500" s="2" t="str">
        <f>IFERROR(__xludf.DUMMYFUNCTION("""COMPUTED_VALUE"""),"")</f>
        <v/>
      </c>
      <c r="E500" s="2"/>
      <c r="F500" s="2" t="str">
        <f>IFERROR(__xludf.DUMMYFUNCTION("""COMPUTED_VALUE"""),"  ")</f>
        <v>  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2"/>
      <c r="B501" s="2"/>
      <c r="C501" s="2"/>
      <c r="D501" s="2" t="str">
        <f>IFERROR(__xludf.DUMMYFUNCTION("""COMPUTED_VALUE"""),"")</f>
        <v/>
      </c>
      <c r="E501" s="2"/>
      <c r="F501" s="2" t="str">
        <f>IFERROR(__xludf.DUMMYFUNCTION("""COMPUTED_VALUE"""),"  ")</f>
        <v>  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2"/>
      <c r="B502" s="2"/>
      <c r="C502" s="2"/>
      <c r="D502" s="2" t="str">
        <f>IFERROR(__xludf.DUMMYFUNCTION("""COMPUTED_VALUE"""),"")</f>
        <v/>
      </c>
      <c r="E502" s="2"/>
      <c r="F502" s="2" t="str">
        <f>IFERROR(__xludf.DUMMYFUNCTION("""COMPUTED_VALUE"""),"  ")</f>
        <v>  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2"/>
      <c r="B503" s="2"/>
      <c r="C503" s="2"/>
      <c r="D503" s="2"/>
      <c r="E503" s="2"/>
      <c r="F503" s="2" t="str">
        <f>IFERROR(__xludf.DUMMYFUNCTION("""COMPUTED_VALUE"""),"  ")</f>
        <v>  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2"/>
      <c r="B504" s="2"/>
      <c r="C504" s="2"/>
      <c r="D504" s="2"/>
      <c r="E504" s="2"/>
      <c r="F504" s="2" t="str">
        <f>IFERROR(__xludf.DUMMYFUNCTION("""COMPUTED_VALUE"""),"  ")</f>
        <v>  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3"/>
    <hyperlink r:id="rId2" ref="A9"/>
    <hyperlink r:id="rId3" ref="A40"/>
    <hyperlink r:id="rId4" ref="A43"/>
    <hyperlink r:id="rId5" ref="A45"/>
    <hyperlink r:id="rId6" ref="A47"/>
    <hyperlink r:id="rId7" ref="A48"/>
    <hyperlink r:id="rId8" ref="A49"/>
    <hyperlink r:id="rId9" ref="A50"/>
    <hyperlink r:id="rId10" ref="A51"/>
    <hyperlink r:id="rId11" ref="A52"/>
    <hyperlink r:id="rId12" ref="A58"/>
    <hyperlink r:id="rId13" ref="A61"/>
    <hyperlink r:id="rId14" ref="A62"/>
    <hyperlink r:id="rId15" ref="A63"/>
    <hyperlink r:id="rId16" ref="A64"/>
    <hyperlink r:id="rId17" ref="A65"/>
    <hyperlink r:id="rId18" ref="A66"/>
    <hyperlink r:id="rId19" ref="A67"/>
    <hyperlink r:id="rId20" ref="A68"/>
    <hyperlink r:id="rId21" ref="A69"/>
    <hyperlink r:id="rId22" ref="A70"/>
    <hyperlink r:id="rId23" ref="A71"/>
    <hyperlink r:id="rId24" ref="A72"/>
    <hyperlink r:id="rId25" ref="A73"/>
    <hyperlink r:id="rId26" ref="A74"/>
    <hyperlink r:id="rId27" ref="A75"/>
    <hyperlink r:id="rId28" ref="A76"/>
    <hyperlink r:id="rId29" ref="A79"/>
    <hyperlink r:id="rId30" ref="A81"/>
    <hyperlink r:id="rId31" ref="A82"/>
    <hyperlink r:id="rId32" ref="A83"/>
    <hyperlink r:id="rId33" ref="A85"/>
    <hyperlink r:id="rId34" ref="A86"/>
    <hyperlink r:id="rId35" ref="A89"/>
    <hyperlink r:id="rId36" ref="A90"/>
    <hyperlink r:id="rId37" ref="A91"/>
    <hyperlink r:id="rId38" ref="A95"/>
    <hyperlink r:id="rId39" ref="A96"/>
    <hyperlink r:id="rId40" ref="A97"/>
    <hyperlink r:id="rId41" ref="A100"/>
    <hyperlink r:id="rId42" ref="A102"/>
    <hyperlink r:id="rId43" ref="A103"/>
    <hyperlink r:id="rId44" ref="A105"/>
    <hyperlink r:id="rId45" ref="A108"/>
    <hyperlink r:id="rId46" ref="A109"/>
    <hyperlink r:id="rId47" ref="A110"/>
    <hyperlink r:id="rId48" ref="A111"/>
    <hyperlink r:id="rId49" ref="A112"/>
    <hyperlink r:id="rId50" ref="A113"/>
    <hyperlink r:id="rId51" ref="A114"/>
    <hyperlink r:id="rId52" ref="A116"/>
    <hyperlink r:id="rId53" ref="A118"/>
    <hyperlink r:id="rId54" ref="A121"/>
    <hyperlink r:id="rId55" ref="A122"/>
    <hyperlink r:id="rId56" ref="A123"/>
    <hyperlink r:id="rId57" ref="A124"/>
    <hyperlink r:id="rId58" ref="A125"/>
    <hyperlink r:id="rId59" ref="A129"/>
    <hyperlink r:id="rId60" ref="A130"/>
    <hyperlink r:id="rId61" ref="A132"/>
    <hyperlink r:id="rId62" ref="A133"/>
    <hyperlink r:id="rId63" ref="A138"/>
    <hyperlink r:id="rId64" ref="A139"/>
    <hyperlink r:id="rId65" ref="A140"/>
    <hyperlink r:id="rId66" ref="A142"/>
    <hyperlink r:id="rId67" ref="A143"/>
    <hyperlink r:id="rId68" ref="A144"/>
    <hyperlink r:id="rId69" ref="A145"/>
    <hyperlink r:id="rId70" ref="A146"/>
    <hyperlink r:id="rId71" ref="A147"/>
    <hyperlink r:id="rId72" ref="A148"/>
    <hyperlink r:id="rId73" ref="A150"/>
    <hyperlink r:id="rId74" ref="A155"/>
    <hyperlink r:id="rId75" ref="A157"/>
    <hyperlink r:id="rId76" ref="A159"/>
    <hyperlink r:id="rId77" ref="A160"/>
    <hyperlink r:id="rId78" ref="A161"/>
    <hyperlink r:id="rId79" ref="A163"/>
    <hyperlink r:id="rId80" ref="A164"/>
    <hyperlink r:id="rId81" ref="A165"/>
    <hyperlink r:id="rId82" ref="A166"/>
    <hyperlink r:id="rId83" ref="A167"/>
    <hyperlink r:id="rId84" ref="A171"/>
    <hyperlink r:id="rId85" ref="A172"/>
    <hyperlink r:id="rId86" ref="A173"/>
    <hyperlink r:id="rId87" ref="A174"/>
    <hyperlink r:id="rId88" ref="A176"/>
    <hyperlink r:id="rId89" ref="A178"/>
    <hyperlink r:id="rId90" ref="A193"/>
    <hyperlink r:id="rId91" ref="A199"/>
    <hyperlink r:id="rId92" ref="A201"/>
    <hyperlink r:id="rId93" ref="A204"/>
    <hyperlink r:id="rId94" ref="A228"/>
    <hyperlink r:id="rId95" ref="A326"/>
    <hyperlink r:id="rId96" ref="A327"/>
    <hyperlink r:id="rId97" ref="A328"/>
    <hyperlink r:id="rId98" ref="A330"/>
    <hyperlink r:id="rId99" ref="A331"/>
    <hyperlink r:id="rId100" ref="A332"/>
    <hyperlink r:id="rId101" ref="A333"/>
    <hyperlink r:id="rId102" ref="A334"/>
    <hyperlink r:id="rId103" ref="A335"/>
    <hyperlink r:id="rId104" ref="A336"/>
    <hyperlink r:id="rId105" ref="A337"/>
    <hyperlink r:id="rId106" ref="A341"/>
    <hyperlink r:id="rId107" ref="A342"/>
    <hyperlink r:id="rId108" ref="A343"/>
    <hyperlink r:id="rId109" ref="A344"/>
    <hyperlink r:id="rId110" ref="A345"/>
    <hyperlink r:id="rId111" ref="A346"/>
    <hyperlink r:id="rId112" ref="A347"/>
    <hyperlink r:id="rId113" ref="A348"/>
    <hyperlink r:id="rId114" ref="A349"/>
    <hyperlink r:id="rId115" ref="A350"/>
    <hyperlink r:id="rId116" ref="A351"/>
    <hyperlink r:id="rId117" ref="A352"/>
    <hyperlink r:id="rId118" ref="A353"/>
    <hyperlink r:id="rId119" ref="A354"/>
    <hyperlink r:id="rId120" ref="A355"/>
    <hyperlink r:id="rId121" ref="A356"/>
    <hyperlink r:id="rId122" ref="A357"/>
    <hyperlink r:id="rId123" ref="A358"/>
    <hyperlink r:id="rId124" ref="A359"/>
    <hyperlink r:id="rId125" ref="A360"/>
    <hyperlink r:id="rId126" ref="A361"/>
    <hyperlink r:id="rId127" ref="A362"/>
    <hyperlink r:id="rId128" ref="A363"/>
    <hyperlink r:id="rId129" ref="A364"/>
    <hyperlink r:id="rId130" ref="A365"/>
    <hyperlink r:id="rId131" ref="A366"/>
    <hyperlink r:id="rId132" ref="A367"/>
    <hyperlink r:id="rId133" ref="A368"/>
    <hyperlink r:id="rId134" ref="A369"/>
    <hyperlink r:id="rId135" ref="A370"/>
    <hyperlink r:id="rId136" ref="A371"/>
    <hyperlink r:id="rId137" ref="A372"/>
    <hyperlink r:id="rId138" ref="A373"/>
    <hyperlink r:id="rId139" ref="A374"/>
    <hyperlink r:id="rId140" ref="A375"/>
    <hyperlink r:id="rId141" ref="A376"/>
    <hyperlink r:id="rId142" ref="A377"/>
    <hyperlink r:id="rId143" ref="A378"/>
    <hyperlink r:id="rId144" ref="A379"/>
    <hyperlink r:id="rId145" ref="A380"/>
    <hyperlink r:id="rId146" ref="A381"/>
    <hyperlink r:id="rId147" ref="A382"/>
    <hyperlink r:id="rId148" ref="A383"/>
    <hyperlink r:id="rId149" ref="A384"/>
    <hyperlink r:id="rId150" ref="A385"/>
    <hyperlink r:id="rId151" ref="A386"/>
    <hyperlink r:id="rId152" ref="A387"/>
    <hyperlink r:id="rId153" ref="A388"/>
    <hyperlink r:id="rId154" ref="A389"/>
    <hyperlink r:id="rId155" ref="A390"/>
    <hyperlink r:id="rId156" ref="A391"/>
    <hyperlink r:id="rId157" ref="A392"/>
    <hyperlink r:id="rId158" ref="A393"/>
    <hyperlink r:id="rId159" ref="A394"/>
    <hyperlink r:id="rId160" ref="A395"/>
    <hyperlink r:id="rId161" ref="A396"/>
    <hyperlink r:id="rId162" ref="A397"/>
    <hyperlink r:id="rId163" ref="A398"/>
    <hyperlink r:id="rId164" ref="A399"/>
    <hyperlink r:id="rId165" ref="A400"/>
    <hyperlink r:id="rId166" ref="A401"/>
  </hyperlinks>
  <drawing r:id="rId1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B3D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71.63"/>
    <col customWidth="1" min="3" max="3" width="12.5"/>
    <col customWidth="1" min="4" max="4" width="13.0"/>
  </cols>
  <sheetData>
    <row r="1" ht="22.5" customHeight="1">
      <c r="A1" s="26" t="s">
        <v>2</v>
      </c>
      <c r="B1" s="28" t="s">
        <v>3</v>
      </c>
      <c r="C1" s="34" t="s">
        <v>4</v>
      </c>
      <c r="D1" s="36" t="s">
        <v>5</v>
      </c>
    </row>
    <row r="2" ht="22.5" customHeight="1">
      <c r="A2" s="38" t="str">
        <f>'Номенклатура'!A2</f>
        <v/>
      </c>
      <c r="B2" s="40" t="str">
        <f>'Номенклатура'!B2</f>
        <v/>
      </c>
      <c r="C2" s="40"/>
      <c r="D2" s="40"/>
    </row>
    <row r="3" ht="22.5" customHeight="1">
      <c r="A3" s="47" t="str">
        <f>'Номенклатура'!A3</f>
        <v>575-60044</v>
      </c>
      <c r="B3" s="49" t="str">
        <f>'Номенклатура'!B3</f>
        <v>DC60 Multiturn Body 3/8'' shaft; Nitrile seal Sq. Flange Side PG9 conn</v>
      </c>
      <c r="C3" s="40">
        <v>113.0</v>
      </c>
      <c r="D3" s="40" t="s">
        <v>7</v>
      </c>
    </row>
    <row r="4" ht="22.5" customHeight="1">
      <c r="A4" s="38" t="str">
        <f>'Номенклатура'!A4</f>
        <v>575-91001-9</v>
      </c>
      <c r="B4" s="49" t="str">
        <f>'Номенклатура'!B4</f>
        <v>DC25FS &lt;/= 9 min IP69Kw hole on shaft no knurl M12 side conn. HARSCO</v>
      </c>
      <c r="C4" s="40">
        <v>91.0</v>
      </c>
      <c r="D4" s="40" t="s">
        <v>7</v>
      </c>
    </row>
    <row r="5" ht="22.5" customHeight="1">
      <c r="A5" s="38" t="str">
        <f>'Номенклатура'!A5</f>
        <v>575-92015</v>
      </c>
      <c r="B5" s="49" t="str">
        <f>'Номенклатура'!B5</f>
        <v>DC25FE, Multiturn Body 5/8" shaft flange end conn.</v>
      </c>
      <c r="C5" s="40">
        <v>91.0</v>
      </c>
      <c r="D5" s="40" t="s">
        <v>7</v>
      </c>
    </row>
    <row r="6" ht="22.5" customHeight="1">
      <c r="A6" s="38" t="str">
        <f>'Номенклатура'!A6</f>
        <v>575-93001</v>
      </c>
      <c r="B6" s="49" t="str">
        <f>'Номенклатура'!B6</f>
        <v>H25 Resolver Shaft 5/8" With MS-16 side conn. w/o seal Short body</v>
      </c>
      <c r="C6" s="40">
        <v>91.0</v>
      </c>
      <c r="D6" s="40" t="s">
        <v>7</v>
      </c>
    </row>
    <row r="7" ht="22.5" customHeight="1">
      <c r="A7" s="38" t="str">
        <f>'Номенклатура'!A7</f>
        <v>H25-FE-06</v>
      </c>
      <c r="B7" s="49" t="str">
        <f>'Номенклатура'!B7</f>
        <v>Transducer 1 Turn Flange Mntaligned at zero degrees With 3mm Key Way, 3/8"shaft</v>
      </c>
      <c r="C7" s="40">
        <v>91.0</v>
      </c>
      <c r="D7" s="40" t="s">
        <v>12</v>
      </c>
    </row>
    <row r="8" ht="22.5" customHeight="1">
      <c r="A8" s="38" t="str">
        <f>'Номенклатура'!A8</f>
        <v>H25-FE</v>
      </c>
      <c r="B8" s="49" t="str">
        <f>'Номенклатура'!B8</f>
        <v>Size 25 resolver 3/8" shaft Flange mount End connector 0.95 TR @ 5000 Hz</v>
      </c>
      <c r="C8" s="40">
        <v>91.0</v>
      </c>
      <c r="D8" s="40" t="s">
        <v>12</v>
      </c>
    </row>
    <row r="9" ht="22.5" customHeight="1">
      <c r="A9" s="47" t="str">
        <f>'Номенклатура'!A9</f>
        <v>575-60007</v>
      </c>
      <c r="B9" s="49" t="str">
        <f>'Номенклатура'!B9</f>
        <v>NR-60 Multi Body 10mm shaft Nitrile seal Square flange End conn.</v>
      </c>
      <c r="C9" s="40">
        <v>113.0</v>
      </c>
      <c r="D9" s="40" t="s">
        <v>7</v>
      </c>
    </row>
    <row r="10" ht="22.5" customHeight="1">
      <c r="A10" s="38" t="str">
        <f>'Номенклатура'!A10</f>
        <v>575-91001</v>
      </c>
      <c r="B10" s="49" t="str">
        <f>'Номенклатура'!B10</f>
        <v>DC25FE &lt;/= 9 min 3/8" sahft flange end conn.</v>
      </c>
      <c r="C10" s="40">
        <v>91.0</v>
      </c>
      <c r="D10" s="40" t="s">
        <v>7</v>
      </c>
    </row>
    <row r="11" ht="22.5" customHeight="1">
      <c r="A11" s="38" t="str">
        <f>'Номенклатура'!A11</f>
        <v>575-92000</v>
      </c>
      <c r="B11" s="49" t="str">
        <f>'Номенклатура'!B11</f>
        <v>DC25FS Multiturn Body 3/8" shaft Flange Multiturn Body 3/8" shaft MS23 side conn</v>
      </c>
      <c r="C11" s="40">
        <v>91.0</v>
      </c>
      <c r="D11" s="40" t="s">
        <v>12</v>
      </c>
    </row>
    <row r="12" ht="22.5" customHeight="1">
      <c r="A12" s="38" t="str">
        <f>'Номенклатура'!A12</f>
        <v>575-92006</v>
      </c>
      <c r="B12" s="49" t="str">
        <f>'Номенклатура'!B12</f>
        <v>DC25FE &lt;/= 9 min 5/8" shaft flange end conn</v>
      </c>
      <c r="C12" s="40">
        <v>91.0</v>
      </c>
      <c r="D12" s="40" t="s">
        <v>12</v>
      </c>
    </row>
    <row r="13" ht="22.5" customHeight="1">
      <c r="A13" s="38" t="str">
        <f>'Номенклатура'!A13</f>
        <v>DC25-2FE</v>
      </c>
      <c r="B13" s="49" t="str">
        <f>'Номенклатура'!B13</f>
        <v>DC25 Housing 2Sp. End conn. 3/8" shaft </v>
      </c>
      <c r="C13" s="40"/>
      <c r="D13" s="40" t="s">
        <v>12</v>
      </c>
    </row>
    <row r="14" ht="22.5" customHeight="1">
      <c r="A14" s="38" t="str">
        <f>'Номенклатура'!A14</f>
        <v>H25-F1E</v>
      </c>
      <c r="B14" s="49" t="str">
        <f>'Номенклатура'!B14</f>
        <v>Transducer 1 Turn C&amp;A Flange TR=0/95; 5KHz end conn.</v>
      </c>
      <c r="C14" s="40">
        <v>91.0</v>
      </c>
      <c r="D14" s="40" t="s">
        <v>12</v>
      </c>
    </row>
    <row r="15" ht="22.5" customHeight="1">
      <c r="A15" s="38" t="str">
        <f>'Номенклатура'!A15</f>
        <v>H25-FS-06</v>
      </c>
      <c r="B15" s="49" t="str">
        <f>'Номенклатура'!B15</f>
        <v>Size 25 resolver 3/8" shaft Flange mount Side connector w/3 mm keyway</v>
      </c>
      <c r="C15" s="40">
        <v>91.0</v>
      </c>
      <c r="D15" s="40" t="s">
        <v>12</v>
      </c>
    </row>
    <row r="16" ht="22.5" customHeight="1">
      <c r="A16" s="38" t="str">
        <f>'Номенклатура'!A16</f>
        <v>H25-SE</v>
      </c>
      <c r="B16" s="49" t="str">
        <f>'Номенклатура'!B16</f>
        <v>Size 25 resolver 3/8" shaft  servo mount End connector 0.95 0.95 T.R. @5000 Hz</v>
      </c>
      <c r="C16" s="40">
        <v>91.0</v>
      </c>
      <c r="D16" s="40" t="s">
        <v>12</v>
      </c>
    </row>
    <row r="17" ht="22.5" customHeight="1">
      <c r="A17" s="38" t="str">
        <f>'Номенклатура'!A17</f>
        <v>575-60021</v>
      </c>
      <c r="B17" s="49" t="str">
        <f>'Номенклатура'!B17</f>
        <v>NR-60 Encoder Avago assembly,10 mm, multiturn shaft, servo mount, for SIDE CONNECTORS</v>
      </c>
      <c r="C17" s="40">
        <v>113.0</v>
      </c>
      <c r="D17" s="40" t="s">
        <v>7</v>
      </c>
    </row>
    <row r="18" ht="22.5" customHeight="1">
      <c r="A18" s="38" t="str">
        <f>'Номенклатура'!A18</f>
        <v>575-91004</v>
      </c>
      <c r="B18" s="49" t="str">
        <f>'Номенклатура'!B18</f>
        <v>DC25FS14 &lt;/= 9 min. 3/8" shaft flange side con</v>
      </c>
      <c r="C18" s="40">
        <v>91.0</v>
      </c>
      <c r="D18" s="40" t="s">
        <v>7</v>
      </c>
    </row>
    <row r="19" ht="22.5" customHeight="1">
      <c r="A19" s="38" t="str">
        <f>'Номенклатура'!A19</f>
        <v>575-92002</v>
      </c>
      <c r="B19" s="49" t="str">
        <f>'Номенклатура'!B19</f>
        <v>DC25FE multiturn body 3/8" shaft flange</v>
      </c>
      <c r="C19" s="40">
        <v>91.0</v>
      </c>
      <c r="D19" s="40" t="s">
        <v>7</v>
      </c>
    </row>
    <row r="20" ht="22.5" customHeight="1">
      <c r="A20" s="38" t="str">
        <f>'Номенклатура'!A20</f>
        <v>DC25-4FS(16)</v>
      </c>
      <c r="B20" s="49" t="str">
        <f>'Номенклатура'!B20</f>
        <v>DC25 housing 4 Speed Side Conn. 3/8" shaft </v>
      </c>
      <c r="C20" s="40">
        <v>91.0</v>
      </c>
      <c r="D20" s="40" t="s">
        <v>7</v>
      </c>
    </row>
    <row r="21" ht="22.5" customHeight="1">
      <c r="A21" s="38" t="str">
        <f>'Номенклатура'!A21</f>
        <v>H25-FS</v>
      </c>
      <c r="B21" s="49" t="str">
        <f>'Номенклатура'!B21</f>
        <v>Size 25 resolver 3/8 shaft Flange mount side connector 0.95 TR @5000Hz</v>
      </c>
      <c r="C21" s="40">
        <v>91.0</v>
      </c>
      <c r="D21" s="40" t="s">
        <v>12</v>
      </c>
    </row>
    <row r="22" ht="22.5" customHeight="1">
      <c r="A22" s="38" t="str">
        <f>'Номенклатура'!A22</f>
        <v>575-93002</v>
      </c>
      <c r="B22" s="49" t="str">
        <f>'Номенклатура'!B22</f>
        <v>H25 Resolver 5/8" shaft MS-16 end conn. w/o seal Short body</v>
      </c>
      <c r="C22" s="40">
        <v>91.0</v>
      </c>
      <c r="D22" s="40" t="s">
        <v>7</v>
      </c>
    </row>
    <row r="23" ht="22.5" customHeight="1">
      <c r="A23" s="38" t="str">
        <f>'Номенклатура'!A23</f>
        <v>575-92011</v>
      </c>
      <c r="B23" s="49" t="str">
        <f>'Номенклатура'!B23</f>
        <v>DC 25FS Singleturn body 5/8" shaft flange  SSI Dura MS23 side conn &lt;/= 9min</v>
      </c>
      <c r="C23" s="40">
        <v>91.0</v>
      </c>
      <c r="D23" s="40" t="s">
        <v>7</v>
      </c>
    </row>
    <row r="24" ht="22.5" customHeight="1">
      <c r="A24" s="38" t="str">
        <f>'Номенклатура'!A24</f>
        <v>575-91055</v>
      </c>
      <c r="B24" s="49" t="str">
        <f>'Номенклатура'!B24</f>
        <v>H25-w/ Special servo nose Two flats on shaft TR=0.95 @ 5KHz</v>
      </c>
      <c r="C24" s="40">
        <v>91.0</v>
      </c>
      <c r="D24" s="40" t="s">
        <v>7</v>
      </c>
    </row>
    <row r="25" ht="22.5" customHeight="1">
      <c r="A25" s="38" t="str">
        <f>'Номенклатура'!A25</f>
        <v>575-91009</v>
      </c>
      <c r="B25" s="49" t="str">
        <f>'Номенклатура'!B25</f>
        <v>DC25FS18 &lt;/= 9 min 3/8" shaft flange side conn</v>
      </c>
      <c r="C25" s="40">
        <v>91.0</v>
      </c>
      <c r="D25" s="40" t="s">
        <v>7</v>
      </c>
    </row>
    <row r="26" ht="22.5" customHeight="1">
      <c r="A26" s="38" t="str">
        <f>'Номенклатура'!A26</f>
        <v>22140702A</v>
      </c>
      <c r="B26" s="49" t="str">
        <f>'Номенклатура'!B26</f>
        <v>H25 Body with Shaft zeroed for HT-400x-j Single turn  TR=0.95, 5KHz, w/o conn</v>
      </c>
      <c r="C26" s="40">
        <v>91.0</v>
      </c>
      <c r="D26" s="40" t="s">
        <v>7</v>
      </c>
    </row>
    <row r="27" ht="22.5" customHeight="1">
      <c r="A27" s="38" t="str">
        <f>'Номенклатура'!A27</f>
        <v>575-92003</v>
      </c>
      <c r="B27" s="49" t="str">
        <f>'Номенклатура'!B27</f>
        <v>DC25FS, Singleturn Body 3/8" shaft, Flange SSI Durac  MS23 side conn.</v>
      </c>
      <c r="C27" s="40">
        <v>91.0</v>
      </c>
      <c r="D27" s="40" t="s">
        <v>7</v>
      </c>
    </row>
    <row r="28" ht="22.5" customHeight="1">
      <c r="A28" s="38" t="str">
        <f>'Номенклатура'!A28</f>
        <v>H25-FS-R3N</v>
      </c>
      <c r="B28" s="49" t="str">
        <f>'Номенклатура'!B28</f>
        <v>Size 25 resolver  3/8" shaft side mount w/ 10 pin conn</v>
      </c>
      <c r="C28" s="40">
        <v>91.0</v>
      </c>
      <c r="D28" s="40" t="s">
        <v>12</v>
      </c>
    </row>
    <row r="29" ht="22.5" customHeight="1">
      <c r="A29" s="38" t="str">
        <f>'Номенклатура'!A29</f>
        <v>H25-SE-10</v>
      </c>
      <c r="B29" s="49" t="str">
        <f>'Номенклатура'!B29</f>
        <v>Transducer 1 Turn C&amp;A Flange servo mount with 10mm shaft</v>
      </c>
      <c r="C29" s="40">
        <v>91.0</v>
      </c>
      <c r="D29" s="40" t="s">
        <v>12</v>
      </c>
    </row>
    <row r="30" ht="22.5" customHeight="1">
      <c r="A30" s="38" t="str">
        <f>'Номенклатура'!A30</f>
        <v>22140701А</v>
      </c>
      <c r="B30" s="49" t="str">
        <f>'Номенклатура'!B30</f>
        <v>H25 Body with Shaft zeroed for HT-400x-L Single turn  TR=1,4, 5KHz,2250Hz w/o conn</v>
      </c>
      <c r="C30" s="40"/>
      <c r="D30" s="40"/>
    </row>
    <row r="31" ht="22.5" customHeight="1">
      <c r="A31" s="38" t="str">
        <f>'Номенклатура'!A31</f>
        <v>575-91007</v>
      </c>
      <c r="B31" s="49" t="str">
        <f>'Номенклатура'!B31</f>
        <v>DC25FS16  &lt;/=9 min. 3/8" shaft, flange , side conn</v>
      </c>
      <c r="C31" s="40">
        <v>91.0</v>
      </c>
      <c r="D31" s="40" t="s">
        <v>7</v>
      </c>
    </row>
    <row r="32" ht="22.5" customHeight="1">
      <c r="A32" s="38" t="str">
        <f>'Номенклатура'!A32</f>
        <v>H25-FE-10</v>
      </c>
      <c r="B32" s="49" t="str">
        <f>'Номенклатура'!B32</f>
        <v>Transducer 1 Turn C&amp;A Flange TR=0.95, 5KHz, w/o conn</v>
      </c>
      <c r="C32" s="40"/>
      <c r="D32" s="40"/>
    </row>
    <row r="33" ht="22.5" customHeight="1">
      <c r="A33" s="38" t="str">
        <f>'Номенклатура'!A33</f>
        <v>H25-SS</v>
      </c>
      <c r="B33" s="49" t="str">
        <f>'Номенклатура'!B33</f>
        <v>Size 25 resolver  servo with side connector 0.95 TR@5000Hz 3/8" shaft</v>
      </c>
      <c r="C33" s="40">
        <v>91.0</v>
      </c>
      <c r="D33" s="40" t="s">
        <v>12</v>
      </c>
    </row>
    <row r="34" ht="22.5" customHeight="1">
      <c r="A34" s="38" t="str">
        <f>'Номенклатура'!A34</f>
        <v>575-01921</v>
      </c>
      <c r="B34" s="49" t="str">
        <f>'Номенклатура'!B34</f>
        <v>Resolver size 11, TR=0.5 2500 Hz, Control Transmitter +/- 7min.; 0,12" shaft</v>
      </c>
      <c r="C34" s="40">
        <v>76.0</v>
      </c>
      <c r="D34" s="40" t="s">
        <v>12</v>
      </c>
    </row>
    <row r="35" ht="22.5" customHeight="1">
      <c r="A35" s="38" t="str">
        <f>'Номенклатура'!A35</f>
        <v>575-01912-3</v>
      </c>
      <c r="B35" s="49" t="str">
        <f>'Номенклатура'!B35</f>
        <v>Resolver size 11, TR=0,45 1000Hz, Acc. 3min. Transmitter; 0,12" shaft with flat</v>
      </c>
      <c r="C35" s="40">
        <v>76.0</v>
      </c>
      <c r="D35" s="40" t="s">
        <v>12</v>
      </c>
    </row>
    <row r="36" ht="22.5" customHeight="1">
      <c r="A36" s="38" t="str">
        <f>'Номенклатура'!A36</f>
        <v>575-01902</v>
      </c>
      <c r="B36" s="49" t="str">
        <f>'Номенклатура'!B36</f>
        <v>Resolver size 11, TR-0,95 Transmitter 5KHz; sorted into -1,-4,-8,-10</v>
      </c>
      <c r="C36" s="40">
        <v>76.0</v>
      </c>
      <c r="D36" s="40" t="s">
        <v>12</v>
      </c>
    </row>
    <row r="37" ht="22.5" customHeight="1">
      <c r="A37" s="38" t="str">
        <f>'Номенклатура'!A37</f>
        <v>575-01911-2</v>
      </c>
      <c r="B37" s="49" t="str">
        <f>'Номенклатура'!B37</f>
        <v>Resolver size 11, TR=,50 2500Hz ACCUR.=&lt;7 with .30" shaft lengt</v>
      </c>
      <c r="C37" s="40">
        <v>76.0</v>
      </c>
      <c r="D37" s="40" t="s">
        <v>12</v>
      </c>
    </row>
    <row r="38" ht="22.5" customHeight="1">
      <c r="A38" s="38" t="str">
        <f>'Номенклатура'!A38</f>
        <v>575-01912</v>
      </c>
      <c r="B38" s="49" t="str">
        <f>'Номенклатура'!B38</f>
        <v>Resolver size 11, TR=0,45 1000Hz, Transmitter Acc. Unsorted</v>
      </c>
      <c r="C38" s="40">
        <v>76.0</v>
      </c>
      <c r="D38" s="40" t="s">
        <v>12</v>
      </c>
    </row>
    <row r="39" ht="22.5" customHeight="1">
      <c r="A39" s="38" t="str">
        <f>'Номенклатура'!A39</f>
        <v>575-01924</v>
      </c>
      <c r="B39" s="49" t="str">
        <f>'Номенклатура'!B39</f>
        <v>Resolver size 11, TR=1,0 1000Hz, control Transmitter +/-7 min</v>
      </c>
      <c r="C39" s="40">
        <v>76.0</v>
      </c>
      <c r="D39" s="40" t="s">
        <v>12</v>
      </c>
    </row>
    <row r="40" ht="22.5" customHeight="1">
      <c r="A40" s="47" t="str">
        <f>'Номенклатура'!A40</f>
        <v>575-01920-1</v>
      </c>
      <c r="B40" s="49" t="str">
        <f>'Номенклатура'!B40</f>
        <v>Resolver size 11, TR=0.45 400Hz,Transmitter w/ flat; Acc.=&lt;7 min.</v>
      </c>
      <c r="C40" s="40">
        <v>76.0</v>
      </c>
      <c r="D40" s="40" t="s">
        <v>12</v>
      </c>
    </row>
    <row r="41" ht="22.5" customHeight="1">
      <c r="A41" s="38" t="str">
        <f>'Номенклатура'!A41</f>
        <v>575-01907</v>
      </c>
      <c r="B41" s="49" t="str">
        <f>'Номенклатура'!B41</f>
        <v>Resolver size 11, TR=1,40 2250Hz</v>
      </c>
      <c r="C41" s="40">
        <v>76.0</v>
      </c>
      <c r="D41" s="40" t="s">
        <v>12</v>
      </c>
    </row>
    <row r="42" ht="22.5" customHeight="1">
      <c r="A42" s="38" t="str">
        <f>'Номенклатура'!A42</f>
        <v>575-01909</v>
      </c>
      <c r="B42" s="49" t="str">
        <f>'Номенклатура'!B42</f>
        <v>Resolver size 11,&lt;/=20min TR=0,95 5КHz 2speed</v>
      </c>
      <c r="C42" s="40">
        <v>76.0</v>
      </c>
      <c r="D42" s="40" t="s">
        <v>12</v>
      </c>
    </row>
    <row r="43" ht="22.5" customHeight="1">
      <c r="A43" s="110" t="str">
        <f>'Номенклатура'!A43</f>
        <v>575-60025</v>
      </c>
      <c r="B43" s="49" t="str">
        <f>'Номенклатура'!B43</f>
        <v>NR60 Multiturn Body 3/8" shaft; Nitrile seal Sq. Flange; End conn.</v>
      </c>
      <c r="C43" s="40">
        <v>113.0</v>
      </c>
      <c r="D43" s="40" t="s">
        <v>7</v>
      </c>
    </row>
    <row r="44" ht="22.5" customHeight="1">
      <c r="A44" s="38" t="str">
        <f>'Номенклатура'!A44</f>
        <v>H25V-FE-10</v>
      </c>
      <c r="B44" s="49" t="str">
        <f>'Номенклатура'!B44</f>
        <v>H25 Flange mount, Viton Seal, End Connector w/10mm shaft 0.95 TR @ 5000Hz</v>
      </c>
      <c r="C44" s="40">
        <v>91.0</v>
      </c>
      <c r="D44" s="40" t="s">
        <v>12</v>
      </c>
    </row>
    <row r="45" ht="22.5" customHeight="1">
      <c r="A45" s="47" t="str">
        <f>'Номенклатура'!A45</f>
        <v>575-01921-704</v>
      </c>
      <c r="B45" s="49" t="str">
        <f>'Номенклатура'!B45</f>
        <v>Resolver size 11 w/seal 2.5Khz 0.5TR 0,1200" shaft +/- 7min,12" side leads</v>
      </c>
      <c r="C45" s="40">
        <v>76.0</v>
      </c>
      <c r="D45" s="40" t="s">
        <v>12</v>
      </c>
    </row>
    <row r="46" ht="22.5" customHeight="1">
      <c r="A46" s="38" t="str">
        <f>'Номенклатура'!A46</f>
        <v>575-01903</v>
      </c>
      <c r="B46" s="49" t="str">
        <f>'Номенклатура'!B46</f>
        <v>Harowe11 BRW-300-M95B-01 AMCI # R11W-M10/7-1</v>
      </c>
      <c r="C46" s="40">
        <v>76.0</v>
      </c>
      <c r="D46" s="40" t="s">
        <v>12</v>
      </c>
    </row>
    <row r="47" ht="22.5" customHeight="1">
      <c r="A47" s="47" t="str">
        <f>'Номенклатура'!A47</f>
        <v>575-60001</v>
      </c>
      <c r="B47" s="49" t="str">
        <f>'Номенклатура'!B47</f>
        <v>NR 60 Multiturn Body 6mm shaft; Nitrile seal; 58mm servo; End conn</v>
      </c>
      <c r="C47" s="40">
        <v>113.0</v>
      </c>
      <c r="D47" s="40" t="s">
        <v>7</v>
      </c>
    </row>
    <row r="48" ht="22.5" customHeight="1">
      <c r="A48" s="47" t="str">
        <f>'Номенклатура'!A48</f>
        <v>575-60005</v>
      </c>
      <c r="B48" s="49" t="str">
        <f>'Номенклатура'!B48</f>
        <v/>
      </c>
      <c r="C48" s="40"/>
      <c r="D48" s="40"/>
    </row>
    <row r="49" ht="22.5" customHeight="1">
      <c r="A49" s="113" t="str">
        <f t="shared" ref="A49:B49" si="1">#REF!</f>
        <v>#REF!</v>
      </c>
      <c r="B49" s="40" t="str">
        <f t="shared" si="1"/>
        <v>#REF!</v>
      </c>
      <c r="C49" s="40"/>
      <c r="D49" s="40"/>
    </row>
    <row r="50" ht="22.5" customHeight="1">
      <c r="A50" s="47" t="str">
        <f>'Номенклатура'!A50</f>
        <v>575-60027</v>
      </c>
      <c r="B50" s="49" t="str">
        <f>'Номенклатура'!B50</f>
        <v/>
      </c>
      <c r="C50" s="40"/>
      <c r="D50" s="40"/>
    </row>
    <row r="51" ht="22.5" customHeight="1">
      <c r="A51" s="47" t="str">
        <f>'Номенклатура'!A51</f>
        <v>575-60029</v>
      </c>
      <c r="B51" s="40" t="s">
        <v>30</v>
      </c>
      <c r="C51" s="40">
        <v>113.0</v>
      </c>
      <c r="D51" s="40" t="s">
        <v>7</v>
      </c>
    </row>
    <row r="52" ht="22.5" customHeight="1">
      <c r="A52" s="47" t="str">
        <f>'Номенклатура'!A52</f>
        <v>575-01910</v>
      </c>
      <c r="B52" s="49" t="str">
        <f>'Номенклатура'!B52</f>
        <v>Res. For HT-6 R11X-J 12/7 w/0,7"I. shaft</v>
      </c>
      <c r="C52" s="40">
        <v>76.0</v>
      </c>
      <c r="D52" s="40" t="s">
        <v>12</v>
      </c>
    </row>
    <row r="53" ht="22.5" customHeight="1">
      <c r="A53" s="38" t="str">
        <f>'Номенклатура'!A53</f>
        <v>575-01911</v>
      </c>
      <c r="B53" s="49" t="str">
        <f>'Номенклатура'!B53</f>
        <v>Res. Size 11 Freq.=2500 Hz, T.R.=.50, Acc=&lt;7, control xfmr.</v>
      </c>
      <c r="C53" s="40">
        <v>76.0</v>
      </c>
      <c r="D53" s="40" t="s">
        <v>12</v>
      </c>
    </row>
    <row r="54" ht="22.5" customHeight="1">
      <c r="A54" s="38" t="str">
        <f>'Номенклатура'!A54</f>
        <v>575-01913</v>
      </c>
      <c r="B54" s="49" t="str">
        <f>'Номенклатура'!B54</f>
        <v>Res. Size 11 Freq.=2500 Hz, T.R.=.98, Acc&lt;7</v>
      </c>
      <c r="C54" s="40"/>
      <c r="D54" s="40"/>
    </row>
    <row r="55" ht="22.5" customHeight="1">
      <c r="A55" s="38" t="str">
        <f>'Номенклатура'!A55</f>
        <v>575-01917</v>
      </c>
      <c r="B55" s="49" t="str">
        <f>'Номенклатура'!B55</f>
        <v>Res. Size 11, T.R.=.50 Freq.=2.5k, Accur.=&lt;10, Control Transfoemer , 2 Speed</v>
      </c>
      <c r="C55" s="40"/>
      <c r="D55" s="40"/>
    </row>
    <row r="56" ht="22.5" customHeight="1">
      <c r="A56" s="38" t="str">
        <f>'Номенклатура'!A56</f>
        <v>575-01918</v>
      </c>
      <c r="B56" s="49" t="str">
        <f>'Номенклатура'!B56</f>
        <v>Res. Size 11 T.R.=0.54, Freq.= 4 k. ACCUR.=&lt;7, Control Transmitter</v>
      </c>
      <c r="C56" s="40">
        <v>76.0</v>
      </c>
      <c r="D56" s="40" t="s">
        <v>12</v>
      </c>
    </row>
    <row r="57" ht="22.5" customHeight="1">
      <c r="A57" s="38" t="str">
        <f>'Номенклатура'!A57</f>
        <v>575-01920</v>
      </c>
      <c r="B57" s="49" t="str">
        <f>'Номенклатура'!B57</f>
        <v>Res. Size 11. T.R.=.45, FREQ.= 400 Hz, ACCUR. =&lt;7</v>
      </c>
      <c r="C57" s="40"/>
      <c r="D57" s="40"/>
    </row>
    <row r="58" ht="22.5" customHeight="1">
      <c r="A58" s="47" t="str">
        <f>'Номенклатура'!A58</f>
        <v>575-01921-701</v>
      </c>
      <c r="B58" s="49" t="str">
        <f>'Номенклатура'!B58</f>
        <v>Res. Size 11 Transmitter, T.R.=0.5, Freq.=2.5 КHz, Acc =+/- 7 min. With Conn. &amp; seal</v>
      </c>
      <c r="C58" s="40"/>
      <c r="D58" s="40"/>
    </row>
    <row r="59" ht="22.5" customHeight="1">
      <c r="A59" s="38" t="str">
        <f>'Номенклатура'!A59</f>
        <v>575-01922</v>
      </c>
      <c r="B59" s="49" t="str">
        <f>'Номенклатура'!B59</f>
        <v>Res. Size 11 T.R.=1.75, Freq.= 400 Hz, Control Transformer, w/ 18" leads</v>
      </c>
      <c r="C59" s="40"/>
      <c r="D59" s="40"/>
    </row>
    <row r="60" ht="22.5" customHeight="1">
      <c r="A60" s="38" t="str">
        <f>'Номенклатура'!A60</f>
        <v>575-01923</v>
      </c>
      <c r="B60" s="49" t="str">
        <f>'Номенклатура'!B60</f>
        <v>Res. Size 11 T.R.=1.93, Freq.= 400 Hz, Control Transformer</v>
      </c>
      <c r="C60" s="40"/>
      <c r="D60" s="40"/>
    </row>
    <row r="61" ht="22.5" customHeight="1">
      <c r="A61" s="47" t="str">
        <f>'Номенклатура'!A61</f>
        <v>575-15903</v>
      </c>
      <c r="B61" s="49" t="str">
        <f>'Номенклатура'!B61</f>
        <v>Res. Size 11 Transmitter, T.R.=0.95, Freq.=2.5 КHz, Acc =&lt; 7 </v>
      </c>
      <c r="C61" s="40">
        <v>76.0</v>
      </c>
      <c r="D61" s="40" t="s">
        <v>12</v>
      </c>
    </row>
    <row r="62" ht="22.5" customHeight="1">
      <c r="A62" s="47">
        <f>'Номенклатура'!A62</f>
        <v>211387000</v>
      </c>
      <c r="B62" s="40" t="s">
        <v>31</v>
      </c>
      <c r="C62" s="40">
        <v>20.0</v>
      </c>
      <c r="D62" s="40" t="s">
        <v>7</v>
      </c>
    </row>
    <row r="63" ht="22.5" customHeight="1">
      <c r="A63" s="47" t="str">
        <f>'Номенклатура'!A63</f>
        <v>21108801A</v>
      </c>
      <c r="B63" s="49" t="str">
        <f>'Номенклатура'!B63</f>
        <v>Shaft DC-425.375 Dia .250End</v>
      </c>
      <c r="C63" s="40">
        <v>20.0</v>
      </c>
      <c r="D63" s="40" t="s">
        <v>7</v>
      </c>
    </row>
    <row r="64" ht="22.5" customHeight="1">
      <c r="A64" s="47" t="str">
        <f>'Номенклатура'!A64</f>
        <v>21114201B</v>
      </c>
      <c r="B64" s="49" t="str">
        <f>'Номенклатура'!B64</f>
        <v>5/8" Shaft w/o Keyway with Front slot Across Shaft for DC425</v>
      </c>
      <c r="C64" s="40">
        <v>20.0</v>
      </c>
      <c r="D64" s="40" t="s">
        <v>7</v>
      </c>
    </row>
    <row r="65" ht="22.5" customHeight="1">
      <c r="A65" s="47" t="str">
        <f>'Номенклатура'!A65</f>
        <v>22146700A</v>
      </c>
      <c r="B65" s="49" t="str">
        <f>'Номенклатура'!B65</f>
        <v>DC60 Rear Cover with PG9 hole and LED pipe for Analog DC60</v>
      </c>
      <c r="C65" s="40">
        <v>10.0</v>
      </c>
      <c r="D65" s="40" t="s">
        <v>7</v>
      </c>
    </row>
    <row r="66" ht="22.5" customHeight="1">
      <c r="A66" s="47" t="str">
        <f>'Номенклатура'!A66</f>
        <v>21130000B</v>
      </c>
      <c r="B66" s="49" t="str">
        <f>'Номенклатура'!B66</f>
        <v>Aluminium flange for size 25 Hub Shaft units for 26mm nitrile seal</v>
      </c>
      <c r="C66" s="40">
        <v>10.0</v>
      </c>
      <c r="D66" s="40" t="s">
        <v>7</v>
      </c>
    </row>
    <row r="67" ht="22.5" customHeight="1">
      <c r="A67" s="47" t="str">
        <f>'Номенклатура'!A67</f>
        <v>21134200C</v>
      </c>
      <c r="B67" s="49" t="str">
        <f>'Номенклатура'!B67</f>
        <v>NR25 Ethernet Multiturn end conn. Rear cover</v>
      </c>
      <c r="C67" s="40">
        <v>10.0</v>
      </c>
      <c r="D67" s="40" t="s">
        <v>7</v>
      </c>
    </row>
    <row r="68" ht="22.5" customHeight="1">
      <c r="A68" s="47" t="str">
        <f>'Номенклатура'!A68</f>
        <v>RM-5</v>
      </c>
      <c r="B68" s="49" t="str">
        <f>'Номенклатура'!B68</f>
        <v>Reference Module Harowe #11BRCX-300-C10 For 0.45 TR resolver</v>
      </c>
      <c r="C68" s="40">
        <v>20.0</v>
      </c>
      <c r="D68" s="40" t="s">
        <v>32</v>
      </c>
    </row>
    <row r="69" ht="22.5" customHeight="1">
      <c r="A69" s="47">
        <f>'Номенклатура'!A69</f>
        <v>211174000</v>
      </c>
      <c r="B69" s="49" t="str">
        <f>'Номенклатура'!B69</f>
        <v>Modified Size 11 resolver Made from 575-01902-1 machined flat on the body</v>
      </c>
      <c r="C69" s="40">
        <v>76.0</v>
      </c>
      <c r="D69" s="40" t="s">
        <v>12</v>
      </c>
    </row>
    <row r="70" ht="22.5" customHeight="1">
      <c r="A70" s="47" t="str">
        <f>'Номенклатура'!A70</f>
        <v>21111202E</v>
      </c>
      <c r="B70" s="49" t="str">
        <f>'Номенклатура'!B70</f>
        <v>DC-25 Rear Cover Size 18</v>
      </c>
      <c r="C70" s="40">
        <v>10.0</v>
      </c>
      <c r="D70" s="40" t="s">
        <v>7</v>
      </c>
    </row>
    <row r="71" ht="22.5" customHeight="1">
      <c r="A71" s="47" t="str">
        <f>'Номенклатура'!A71</f>
        <v>22124400K</v>
      </c>
      <c r="B71" s="49" t="str">
        <f>'Номенклатура'!B71</f>
        <v>H25/DC25 Servo Nose in 6061 AL new stile</v>
      </c>
      <c r="C71" s="40">
        <v>10.0</v>
      </c>
      <c r="D71" s="40" t="s">
        <v>7</v>
      </c>
    </row>
    <row r="72" ht="22.5" customHeight="1">
      <c r="A72" s="47" t="str">
        <f>'Номенклатура'!A72</f>
        <v>22903700B</v>
      </c>
      <c r="B72" s="49" t="str">
        <f>'Номенклатура'!B72</f>
        <v>AC Steppers Transformer Uses heavy wire 630-02228 for SD17060x, SD3045x</v>
      </c>
      <c r="C72" s="40">
        <v>20.0</v>
      </c>
      <c r="D72" s="40" t="s">
        <v>33</v>
      </c>
    </row>
    <row r="73" ht="22.5" customHeight="1">
      <c r="A73" s="47">
        <f>'Номенклатура'!A73</f>
        <v>211389000</v>
      </c>
      <c r="B73" s="49" t="str">
        <f>'Номенклатура'!B73</f>
        <v/>
      </c>
      <c r="C73" s="40"/>
      <c r="D73" s="40"/>
    </row>
    <row r="74" ht="22.5" customHeight="1">
      <c r="A74" s="47">
        <f>'Номенклатура'!A74</f>
        <v>221397000</v>
      </c>
      <c r="B74" s="49" t="str">
        <f>'Номенклатура'!B74</f>
        <v>DC25 &amp; H25 Flange for 5/8" shaft 6061-T6 AL</v>
      </c>
      <c r="C74" s="40">
        <v>10.0</v>
      </c>
      <c r="D74" s="40" t="s">
        <v>7</v>
      </c>
    </row>
    <row r="75" ht="22.5" customHeight="1">
      <c r="A75" s="47" t="str">
        <f>'Номенклатура'!A75</f>
        <v>21110702D</v>
      </c>
      <c r="B75" s="49" t="str">
        <f>'Номенклатура'!B75</f>
        <v>5/8" S.S. shaft, w .250 end with keyway</v>
      </c>
      <c r="C75" s="40">
        <v>20.0</v>
      </c>
      <c r="D75" s="40" t="s">
        <v>7</v>
      </c>
    </row>
    <row r="76" ht="22.5" customHeight="1">
      <c r="A76" s="47" t="str">
        <f>'Номенклатура'!A76</f>
        <v>21129501B</v>
      </c>
      <c r="B76" s="49" t="str">
        <f>'Номенклатура'!B76</f>
        <v>5/8" Rotor Singleturn DC 25 Made from 200-91229 in BG Material SS-316</v>
      </c>
      <c r="C76" s="40">
        <v>20.0</v>
      </c>
      <c r="D76" s="40" t="s">
        <v>7</v>
      </c>
    </row>
    <row r="77" ht="22.5" customHeight="1">
      <c r="A77" s="38">
        <f>'Номенклатура'!A77</f>
        <v>211137000</v>
      </c>
      <c r="B77" s="49" t="str">
        <f>'Номенклатура'!B77</f>
        <v>Transformer DC25 5 pin</v>
      </c>
      <c r="C77" s="40">
        <v>20.0</v>
      </c>
      <c r="D77" s="40" t="s">
        <v>7</v>
      </c>
    </row>
    <row r="78" ht="22.5" customHeight="1">
      <c r="A78" s="38" t="str">
        <f>'Номенклатура'!A78</f>
        <v>551-90002</v>
      </c>
      <c r="B78" s="49" t="str">
        <f>'Номенклатура'!B78</f>
        <v>Transformer Output 36150 Reference</v>
      </c>
      <c r="C78" s="40">
        <v>20.0</v>
      </c>
      <c r="D78" s="40" t="s">
        <v>12</v>
      </c>
    </row>
    <row r="79" ht="22.5" customHeight="1">
      <c r="A79" s="47">
        <f>'Номенклатура'!A79</f>
        <v>211294020</v>
      </c>
      <c r="B79" s="49" t="str">
        <f>'Номенклатура'!B79</f>
        <v>IP67 R11 Rear Cover Length=17mm Hole Dia=18mm</v>
      </c>
      <c r="C79" s="40"/>
      <c r="D79" s="40"/>
    </row>
    <row r="80" ht="22.5" customHeight="1">
      <c r="A80" s="38" t="str">
        <f>'Номенклатура'!A80</f>
        <v>21129405А</v>
      </c>
      <c r="B80" s="49" t="str">
        <f>'Номенклатура'!B80</f>
        <v>IP67 R11 Rear Cover Length=12mm Hole Dia=15,3mm for R11X-F10B/7S3-52</v>
      </c>
      <c r="C80" s="40"/>
      <c r="D80" s="40"/>
    </row>
    <row r="81" ht="22.5" customHeight="1">
      <c r="A81" s="47">
        <f>'Номенклатура'!A81</f>
        <v>211366000</v>
      </c>
      <c r="B81" s="49" t="str">
        <f>'Номенклатура'!B81</f>
        <v>NR25 Profibus Multiturn rear cover 3 end con., AL</v>
      </c>
      <c r="C81" s="40"/>
      <c r="D81" s="40" t="s">
        <v>7</v>
      </c>
    </row>
    <row r="82" ht="22.5" customHeight="1">
      <c r="A82" s="47" t="str">
        <f>'Номенклатура'!A82</f>
        <v>21137200A</v>
      </c>
      <c r="B82" s="49" t="str">
        <f>'Номенклатура'!B82</f>
        <v>NR25 Profibus Multiturn rear cover singleturn end con.</v>
      </c>
      <c r="C82" s="40">
        <v>10.0</v>
      </c>
      <c r="D82" s="40" t="s">
        <v>7</v>
      </c>
    </row>
    <row r="83" ht="22.5" customHeight="1">
      <c r="A83" s="47">
        <f>'Номенклатура'!A83</f>
        <v>221466000</v>
      </c>
      <c r="B83" s="49" t="str">
        <f>'Номенклатура'!B83</f>
        <v>Metric servo nose for size 25 units; B.C.=48mm mounting holes</v>
      </c>
      <c r="C83" s="40"/>
      <c r="D83" s="40"/>
    </row>
    <row r="84" ht="22.5" customHeight="1">
      <c r="A84" s="38" t="str">
        <f>'Номенклатура'!A84</f>
        <v>2216701A</v>
      </c>
      <c r="B84" s="49" t="str">
        <f>'Номенклатура'!B84</f>
        <v>DC60 Rear cover w/o conn. Hole; LED pipe for Analog DC60</v>
      </c>
      <c r="C84" s="40"/>
      <c r="D84" s="40" t="s">
        <v>7</v>
      </c>
    </row>
    <row r="85" ht="22.5" customHeight="1">
      <c r="A85" s="47" t="str">
        <f>'Номенклатура'!A85</f>
        <v>21129500A</v>
      </c>
      <c r="B85" s="49" t="str">
        <f>'Номенклатура'!B85</f>
        <v>5/8" Rotor Assembly SS-303 used in DC25,H25, HT-20C singleturn,1-speed, J-type</v>
      </c>
      <c r="C85" s="40">
        <v>20.0</v>
      </c>
      <c r="D85" s="40" t="s">
        <v>7</v>
      </c>
    </row>
    <row r="86" ht="22.5" customHeight="1">
      <c r="A86" s="47" t="str">
        <f>'Номенклатура'!A86</f>
        <v>21141300A</v>
      </c>
      <c r="B86" s="49" t="str">
        <f>'Номенклатура'!B86</f>
        <v>1/4" Multiturn Rotor for NR60 Encoders with flat</v>
      </c>
      <c r="C86" s="40">
        <v>20.0</v>
      </c>
      <c r="D86" s="40" t="s">
        <v>7</v>
      </c>
    </row>
    <row r="87" ht="22.5" customHeight="1">
      <c r="A87" s="38" t="str">
        <f>'Номенклатура'!A87</f>
        <v>575-01921-704</v>
      </c>
      <c r="B87" s="49" t="str">
        <f>'Номенклатура'!B87</f>
        <v>Resolver sie 11 /w seal 2,5KHz 0,5 TR 0,12" shaft +/- 7 min 12" side lead</v>
      </c>
      <c r="C87" s="40"/>
      <c r="D87" s="40" t="s">
        <v>12</v>
      </c>
    </row>
    <row r="88" ht="22.5" customHeight="1">
      <c r="A88" s="38" t="str">
        <f>'Номенклатура'!A88</f>
        <v>575-01922-4</v>
      </c>
      <c r="B88" s="49" t="str">
        <f>'Номенклатура'!B88</f>
        <v>Res. Size 11, 1.75 TR 400Hz, control transformer w/18" leads</v>
      </c>
      <c r="C88" s="40">
        <v>76.0</v>
      </c>
      <c r="D88" s="40" t="s">
        <v>12</v>
      </c>
    </row>
    <row r="89" ht="22.5" customHeight="1">
      <c r="A89" s="47">
        <f>'Номенклатура'!A89</f>
        <v>211162000</v>
      </c>
      <c r="B89" s="49" t="str">
        <f>'Номенклатура'!B89</f>
        <v>HT-20 (K+L) Resolver Mod Dwg Shaft length .275</v>
      </c>
      <c r="C89" s="40">
        <v>76.0</v>
      </c>
      <c r="D89" s="40" t="s">
        <v>12</v>
      </c>
    </row>
    <row r="90" ht="22.5" customHeight="1">
      <c r="A90" s="47" t="str">
        <f>'Номенклатура'!A90</f>
        <v>21111200F</v>
      </c>
      <c r="B90" s="49" t="str">
        <f>'Номенклатура'!B90</f>
        <v>DC-25 Rear Cover Blank</v>
      </c>
      <c r="C90" s="40">
        <v>10.0</v>
      </c>
      <c r="D90" s="40" t="s">
        <v>7</v>
      </c>
    </row>
    <row r="91" ht="22.5" customHeight="1">
      <c r="A91" s="47" t="str">
        <f>'Номенклатура'!A91</f>
        <v>21129000B</v>
      </c>
      <c r="B91" s="49" t="str">
        <f>'Номенклатура'!B91</f>
        <v>SSI Multiturn Cover For DC25FS</v>
      </c>
      <c r="C91" s="40">
        <v>10.0</v>
      </c>
      <c r="D91" s="40" t="s">
        <v>7</v>
      </c>
    </row>
    <row r="92" ht="22.5" customHeight="1">
      <c r="A92" s="38">
        <f>'Номенклатура'!A92</f>
        <v>211279000</v>
      </c>
      <c r="B92" s="49" t="str">
        <f>'Номенклатура'!B92</f>
        <v>DC25 &amp; H25 10mm shaft 303 SS new version</v>
      </c>
      <c r="C92" s="40">
        <v>20.0</v>
      </c>
      <c r="D92" s="40" t="s">
        <v>7</v>
      </c>
    </row>
    <row r="93" ht="22.5" customHeight="1">
      <c r="A93" s="38" t="str">
        <f>'Номенклатура'!A93</f>
        <v>H25-FS-10</v>
      </c>
      <c r="B93" s="49" t="str">
        <f>'Номенклатура'!B93</f>
        <v>Transducer, 10 mm Shaft,Flange mount, side connector</v>
      </c>
      <c r="C93" s="40">
        <v>91.0</v>
      </c>
      <c r="D93" s="40" t="s">
        <v>12</v>
      </c>
    </row>
    <row r="94" ht="22.5" customHeight="1">
      <c r="A94" s="38" t="str">
        <f>'Номенклатура'!A94</f>
        <v>575-91029</v>
      </c>
      <c r="B94" s="49" t="str">
        <f>'Номенклатура'!B94</f>
        <v>DC25-FE .50 TR/ 250Hz Ctrl. Transformer. Body only</v>
      </c>
      <c r="C94" s="40"/>
      <c r="D94" s="40"/>
    </row>
    <row r="95" ht="22.5" customHeight="1">
      <c r="A95" s="47">
        <f>'Номенклатура'!A95</f>
        <v>211423000</v>
      </c>
      <c r="B95" s="49" t="str">
        <f>'Номенклатура'!B95</f>
        <v>1/2" Hub rotor multiturn New collar-style shaft</v>
      </c>
      <c r="C95" s="40">
        <v>20.0</v>
      </c>
      <c r="D95" s="40" t="s">
        <v>7</v>
      </c>
    </row>
    <row r="96" ht="22.5" customHeight="1">
      <c r="A96" s="47">
        <f>'Номенклатура'!A96</f>
        <v>211426000</v>
      </c>
      <c r="B96" s="49" t="str">
        <f>'Номенклатура'!B96</f>
        <v>DC25 3/8" SHAFT WITH FLAT &amp; HOLE</v>
      </c>
      <c r="C96" s="40">
        <v>20.0</v>
      </c>
      <c r="D96" s="40" t="s">
        <v>7</v>
      </c>
    </row>
    <row r="97" ht="22.5" customHeight="1">
      <c r="A97" s="47" t="str">
        <f>'Номенклатура'!A97</f>
        <v>21118100D</v>
      </c>
      <c r="B97" s="49" t="str">
        <f>'Номенклатура'!B97</f>
        <v>DC25 &amp; H25 1/4" shaft 2007 version</v>
      </c>
      <c r="C97" s="40">
        <v>20.0</v>
      </c>
      <c r="D97" s="40" t="s">
        <v>7</v>
      </c>
    </row>
    <row r="98" ht="22.5" customHeight="1">
      <c r="A98" s="38" t="str">
        <f>'Номенклатура'!A98</f>
        <v>H25-FE-R3N</v>
      </c>
      <c r="B98" s="49" t="str">
        <f>'Номенклатура'!B98</f>
        <v>Size 25 resolver 3/8 shaft 0,95 TR @ 5000Hz end mount w/ to pin conn.</v>
      </c>
      <c r="C98" s="40">
        <v>91.0</v>
      </c>
      <c r="D98" s="40" t="s">
        <v>12</v>
      </c>
    </row>
    <row r="99" ht="22.5" customHeight="1">
      <c r="A99" s="38" t="str">
        <f>'Номенклатура'!A99</f>
        <v>DC25-4FS(18)</v>
      </c>
      <c r="B99" s="49" t="str">
        <f>'Номенклатура'!B99</f>
        <v>DC25 housing 4 Speed Side Conn. 3/8" shaft </v>
      </c>
      <c r="C99" s="40"/>
      <c r="D99" s="40" t="s">
        <v>7</v>
      </c>
    </row>
    <row r="100" ht="22.5" customHeight="1">
      <c r="A100" s="47">
        <f>'Номенклатура'!A100</f>
        <v>211406000</v>
      </c>
      <c r="B100" s="49" t="str">
        <f>'Номенклатура'!B100</f>
        <v>NR25 Prodibus Singleturn Rear Cover</v>
      </c>
      <c r="C100" s="40">
        <v>20.0</v>
      </c>
      <c r="D100" s="40" t="s">
        <v>7</v>
      </c>
    </row>
    <row r="101" ht="22.5" customHeight="1">
      <c r="A101" s="38" t="str">
        <f>'Номенклатура'!A101</f>
        <v>575-95002</v>
      </c>
      <c r="B101" s="49" t="str">
        <f>'Номенклатура'!B101</f>
        <v>Transformer Assembly 1-speed for HT-20C/H25/THE/DC25/NR25</v>
      </c>
      <c r="C101" s="40">
        <v>20.0</v>
      </c>
      <c r="D101" s="40" t="s">
        <v>7</v>
      </c>
    </row>
    <row r="102" ht="22.5" customHeight="1">
      <c r="A102" s="47" t="str">
        <f>'Номенклатура'!A102</f>
        <v>575-95003</v>
      </c>
      <c r="B102" s="49" t="str">
        <f>'Номенклатура'!B102</f>
        <v>Size25 Transformer Shell Part 1 with slot for wires Machined Powder metal</v>
      </c>
      <c r="C102" s="40">
        <v>20.0</v>
      </c>
      <c r="D102" s="40" t="s">
        <v>7</v>
      </c>
    </row>
    <row r="103" ht="22.5" customHeight="1">
      <c r="A103" s="47" t="str">
        <f>'Номенклатура'!A103</f>
        <v>575-95004</v>
      </c>
      <c r="B103" s="49" t="str">
        <f>'Номенклатура'!B103</f>
        <v>Size25 Transformer Shell Part 2 with slot for wires Machined Powder metal</v>
      </c>
      <c r="C103" s="40">
        <v>20.0</v>
      </c>
      <c r="D103" s="40" t="s">
        <v>7</v>
      </c>
    </row>
    <row r="104" ht="22.5" customHeight="1">
      <c r="A104" s="38" t="str">
        <f>'Номенклатура'!A104</f>
        <v>575-95001</v>
      </c>
      <c r="B104" s="49" t="str">
        <f>'Номенклатура'!B104</f>
        <v>Resolver Stator Assembly 1-speed for HT-20C/THE/H25/DC25/NR25</v>
      </c>
      <c r="C104" s="40">
        <v>20.0</v>
      </c>
      <c r="D104" s="40" t="s">
        <v>7</v>
      </c>
    </row>
    <row r="105" ht="22.5" customHeight="1">
      <c r="A105" s="47" t="str">
        <f>'Номенклатура'!A105</f>
        <v>097-90001</v>
      </c>
      <c r="B105" s="49" t="str">
        <f>'Номенклатура'!B105</f>
        <v>H25&amp;DC25 Shaft 3/8" Dia. for old flange 22133200A</v>
      </c>
      <c r="C105" s="40"/>
      <c r="D105" s="40" t="s">
        <v>7</v>
      </c>
    </row>
    <row r="106" ht="22.5" customHeight="1">
      <c r="A106" s="38" t="str">
        <f>'Номенклатура'!A106</f>
        <v>097-90002</v>
      </c>
      <c r="B106" s="49" t="str">
        <f>'Номенклатура'!B106</f>
        <v>H25 + DC25 Shaft 10mm Dia. old version</v>
      </c>
      <c r="C106" s="40"/>
      <c r="D106" s="40" t="s">
        <v>7</v>
      </c>
    </row>
    <row r="107" ht="22.5" customHeight="1">
      <c r="A107" s="38" t="str">
        <f>'Номенклатура'!A107</f>
        <v>097-90004</v>
      </c>
      <c r="B107" s="49" t="str">
        <f>'Номенклатура'!B107</f>
        <v>H25  Shaft 3/8" Dia. w/ 3mm key Shaft</v>
      </c>
      <c r="C107" s="40"/>
      <c r="D107" s="40"/>
    </row>
    <row r="108" ht="22.5" customHeight="1">
      <c r="A108" s="47" t="str">
        <f>'Номенклатура'!A108</f>
        <v>21108800A</v>
      </c>
      <c r="B108" s="49" t="str">
        <f>'Номенклатура'!B108</f>
        <v>HMT-425M Shaft Print A1088 </v>
      </c>
      <c r="C108" s="40"/>
      <c r="D108" s="40"/>
    </row>
    <row r="109" ht="22.5" customHeight="1">
      <c r="A109" s="47" t="str">
        <f>'Номенклатура'!A109</f>
        <v>21108802B</v>
      </c>
      <c r="B109" s="49" t="str">
        <f>'Номенклатура'!B109</f>
        <v>HTT-425A-100 Shaft </v>
      </c>
      <c r="C109" s="40">
        <v>20.0</v>
      </c>
      <c r="D109" s="40" t="s">
        <v>7</v>
      </c>
    </row>
    <row r="110" ht="22.5" customHeight="1">
      <c r="A110" s="47" t="str">
        <f>'Номенклатура'!A110</f>
        <v>21110701D</v>
      </c>
      <c r="B110" s="49" t="str">
        <f>'Номенклатура'!B110</f>
        <v>5/8 S.S. Shaft W .115 End </v>
      </c>
      <c r="C110" s="40">
        <v>10.0</v>
      </c>
      <c r="D110" s="40" t="s">
        <v>7</v>
      </c>
    </row>
    <row r="111" ht="22.5" customHeight="1">
      <c r="A111" s="47" t="str">
        <f>'Номенклатура'!A111</f>
        <v>21111201F</v>
      </c>
      <c r="B111" s="49" t="str">
        <f>'Номенклатура'!B111</f>
        <v>DC-25 Rear Cover (size 14) See Note</v>
      </c>
      <c r="C111" s="40">
        <v>10.0</v>
      </c>
      <c r="D111" s="40" t="s">
        <v>7</v>
      </c>
    </row>
    <row r="112" ht="22.5" customHeight="1">
      <c r="A112" s="47" t="str">
        <f>'Номенклатура'!A112</f>
        <v>21111203G</v>
      </c>
      <c r="B112" s="49" t="str">
        <f>'Номенклатура'!B112</f>
        <v>DC-25 Rear Cover (Size 16) </v>
      </c>
      <c r="C112" s="40">
        <v>10.0</v>
      </c>
      <c r="D112" s="40" t="s">
        <v>7</v>
      </c>
    </row>
    <row r="113" ht="22.5" customHeight="1">
      <c r="A113" s="47" t="str">
        <f>'Номенклатура'!A113</f>
        <v>21111204J</v>
      </c>
      <c r="B113" s="49" t="str">
        <f>'Номенклатура'!B113</f>
        <v>DC-25 Rear Cover for  Side Connect AB Xducer(R types)</v>
      </c>
      <c r="C113" s="40">
        <v>10.0</v>
      </c>
      <c r="D113" s="40" t="s">
        <v>7</v>
      </c>
    </row>
    <row r="114" ht="22.5" customHeight="1">
      <c r="A114" s="47" t="str">
        <f>'Номенклатура'!A114</f>
        <v>21111205K</v>
      </c>
      <c r="B114" s="49" t="str">
        <f>'Номенклатура'!B114</f>
        <v>DC-25 Rear Cover for  SSI rear connector mount, M23</v>
      </c>
      <c r="C114" s="40"/>
      <c r="D114" s="40"/>
    </row>
    <row r="115" ht="22.5" customHeight="1">
      <c r="A115" s="38">
        <f>'Номенклатура'!A115</f>
        <v>211136000</v>
      </c>
      <c r="B115" s="49" t="str">
        <f>'Номенклатура'!B115</f>
        <v>Transformer DC25\DC425 6 Pin </v>
      </c>
      <c r="C115" s="40"/>
      <c r="D115" s="40" t="s">
        <v>7</v>
      </c>
    </row>
    <row r="116" ht="22.5" customHeight="1">
      <c r="A116" s="47" t="str">
        <f>'Номенклатура'!A116</f>
        <v>21114202B</v>
      </c>
      <c r="B116" s="49" t="str">
        <f>'Номенклатура'!B116</f>
        <v>5/8 Shaft w/ Key Slot </v>
      </c>
      <c r="C116" s="40"/>
      <c r="D116" s="40" t="s">
        <v>7</v>
      </c>
    </row>
    <row r="117" ht="22.5" customHeight="1">
      <c r="A117" s="38" t="str">
        <f>'Номенклатура'!A117</f>
        <v>21118100B</v>
      </c>
      <c r="B117" s="49" t="str">
        <f>'Номенклатура'!B117</f>
        <v>SHAFT MOD. FOR 1/4" H20 SEAL ON DC25 &amp; H25 SHAFT</v>
      </c>
      <c r="C117" s="40"/>
      <c r="D117" s="40"/>
    </row>
    <row r="118" ht="22.5" customHeight="1">
      <c r="A118" s="47" t="str">
        <f>'Номенклатура'!A118</f>
        <v>21119801C</v>
      </c>
      <c r="B118" s="49" t="str">
        <f>'Номенклатура'!B118</f>
        <v>H25-HMXXE-HFL REAR COVER </v>
      </c>
      <c r="C118" s="40">
        <v>20.0</v>
      </c>
      <c r="D118" s="40" t="s">
        <v>7</v>
      </c>
    </row>
    <row r="119" ht="22.5" customHeight="1">
      <c r="A119" s="38">
        <f>'Номенклатура'!A119</f>
        <v>211223000</v>
      </c>
      <c r="B119" s="49" t="str">
        <f>'Номенклатура'!B119</f>
        <v>Transformer SMT6 Pin Carrier 80/200uH (Choke)</v>
      </c>
      <c r="C119" s="40"/>
      <c r="D119" s="40" t="s">
        <v>7</v>
      </c>
    </row>
    <row r="120" ht="22.5" customHeight="1">
      <c r="A120" s="38">
        <f>'Номенклатура'!A120</f>
        <v>211259000</v>
      </c>
      <c r="B120" s="49" t="str">
        <f>'Номенклатура'!B120</f>
        <v>SHAFT MOD. FOR 10mm H20 SEAL ON DC25 &amp; H25 SHAFT</v>
      </c>
      <c r="C120" s="40"/>
      <c r="D120" s="40" t="s">
        <v>7</v>
      </c>
    </row>
    <row r="121" ht="22.5" customHeight="1">
      <c r="A121" s="47">
        <f>'Номенклатура'!A121</f>
        <v>211267000</v>
      </c>
      <c r="B121" s="49" t="str">
        <f>'Номенклатура'!B121</f>
        <v>DC25 Rear Cover Switch Mod </v>
      </c>
      <c r="C121" s="40"/>
      <c r="D121" s="40" t="s">
        <v>7</v>
      </c>
    </row>
    <row r="122" ht="22.5" customHeight="1">
      <c r="A122" s="47" t="str">
        <f>'Номенклатура'!A122</f>
        <v>21127800A</v>
      </c>
      <c r="B122" s="49" t="str">
        <f>'Номенклатура'!B122</f>
        <v>DC25 &amp; H25 3/8" SHAFT TR=0.95</v>
      </c>
      <c r="C122" s="40"/>
      <c r="D122" s="40" t="s">
        <v>7</v>
      </c>
    </row>
    <row r="123" ht="22.5" customHeight="1">
      <c r="A123" s="47" t="str">
        <f>'Номенклатура'!A123</f>
        <v>21127801A</v>
      </c>
      <c r="B123" s="49" t="str">
        <f>'Номенклатура'!B123</f>
        <v>H25 3/8" SHAFT TR = 0.5</v>
      </c>
      <c r="C123" s="40"/>
      <c r="D123" s="40" t="s">
        <v>7</v>
      </c>
    </row>
    <row r="124" ht="22.5" customHeight="1">
      <c r="A124" s="47" t="str">
        <f>'Номенклатура'!A124</f>
        <v>21127901A</v>
      </c>
      <c r="B124" s="49" t="str">
        <f>'Номенклатура'!B124</f>
        <v>DC25 &amp; H25 10 mm SHAFT 316 SS</v>
      </c>
      <c r="C124" s="40"/>
      <c r="D124" s="40" t="s">
        <v>7</v>
      </c>
    </row>
    <row r="125" ht="22.5" customHeight="1">
      <c r="A125" s="47" t="str">
        <f>'Номенклатура'!A125</f>
        <v>21128000A</v>
      </c>
      <c r="B125" s="49" t="str">
        <f>'Номенклатура'!B125</f>
        <v>DC25 &amp; H25 3/8" SHAFT WITH 7/16" ADDED TO LENGTH</v>
      </c>
      <c r="C125" s="40"/>
      <c r="D125" s="40" t="s">
        <v>7</v>
      </c>
    </row>
    <row r="126" ht="22.5" customHeight="1">
      <c r="A126" s="38">
        <f>'Номенклатура'!A126</f>
        <v>211281000</v>
      </c>
      <c r="B126" s="49" t="str">
        <f>'Номенклатура'!B126</f>
        <v>DC25 &amp; H25 3/8" SHAFT with 3mm KEY WAY</v>
      </c>
      <c r="C126" s="40"/>
      <c r="D126" s="40"/>
    </row>
    <row r="127" ht="22.5" customHeight="1">
      <c r="A127" s="38" t="str">
        <f>'Номенклатура'!A127</f>
        <v>21128100A</v>
      </c>
      <c r="B127" s="49" t="str">
        <f>'Номенклатура'!B127</f>
        <v>H25-F1E &amp; MIE SHAFT </v>
      </c>
      <c r="C127" s="40"/>
      <c r="D127" s="40" t="s">
        <v>7</v>
      </c>
    </row>
    <row r="128" ht="22.5" customHeight="1">
      <c r="A128" s="38">
        <f>'Номенклатура'!A128</f>
        <v>211283000</v>
      </c>
      <c r="B128" s="49" t="str">
        <f>'Номенклатура'!B128</f>
        <v>Multiturn 10mm SHAFT for DC25</v>
      </c>
      <c r="C128" s="40"/>
      <c r="D128" s="40" t="s">
        <v>7</v>
      </c>
    </row>
    <row r="129" ht="22.5" customHeight="1">
      <c r="A129" s="47" t="str">
        <f>'Номенклатура'!A129</f>
        <v>21129000A</v>
      </c>
      <c r="B129" s="49" t="str">
        <f>'Номенклатура'!B129</f>
        <v>SSI MULTITURN COVER FOR DC25FS</v>
      </c>
      <c r="C129" s="40">
        <v>10.0</v>
      </c>
      <c r="D129" s="40" t="s">
        <v>7</v>
      </c>
    </row>
    <row r="130" ht="22.5" customHeight="1">
      <c r="A130" s="47" t="str">
        <f>'Номенклатура'!A130</f>
        <v>21129100A</v>
      </c>
      <c r="B130" s="49" t="str">
        <f>'Номенклатура'!B130</f>
        <v>SSI MULTITURN COVER FOR DC25SE</v>
      </c>
      <c r="C130" s="40"/>
      <c r="D130" s="40" t="s">
        <v>7</v>
      </c>
    </row>
    <row r="131" ht="22.5" customHeight="1">
      <c r="A131" s="38">
        <f>'Номенклатура'!A131</f>
        <v>211292000</v>
      </c>
      <c r="B131" s="49" t="str">
        <f>'Номенклатура'!B131</f>
        <v>SSI MULTITURN SPACER </v>
      </c>
      <c r="C131" s="40"/>
      <c r="D131" s="40"/>
    </row>
    <row r="132" ht="22.5" customHeight="1">
      <c r="A132" s="47">
        <f>'Номенклатура'!A132</f>
        <v>211294010</v>
      </c>
      <c r="B132" s="49" t="str">
        <f>'Номенклатура'!B132</f>
        <v>IP67 DC11 Rear Cover Length=24.4mm, Hole Dia=12mm</v>
      </c>
      <c r="C132" s="40"/>
      <c r="D132" s="40"/>
    </row>
    <row r="133" ht="22.5" customHeight="1">
      <c r="A133" s="47" t="str">
        <f>'Номенклатура'!A133</f>
        <v>21129405A</v>
      </c>
      <c r="B133" s="49" t="str">
        <f>'Номенклатура'!B133</f>
        <v>IP67 Size11 Rear Cover L=12.0mm, Hole Dia=15.3mm</v>
      </c>
      <c r="C133" s="40"/>
      <c r="D133" s="40"/>
    </row>
    <row r="134" ht="22.5" customHeight="1">
      <c r="A134" s="38" t="str">
        <f>'Номенклатура'!A134</f>
        <v>21129601B</v>
      </c>
      <c r="B134" s="49" t="str">
        <f>'Номенклатура'!B134</f>
        <v>ME15 1/4" SHAFT For Magnetic Encoder</v>
      </c>
      <c r="C134" s="40"/>
      <c r="D134" s="40"/>
    </row>
    <row r="135" ht="22.5" customHeight="1">
      <c r="A135" s="38" t="str">
        <f>'Номенклатура'!A135</f>
        <v>21129601C</v>
      </c>
      <c r="B135" s="49" t="str">
        <f>'Номенклатура'!B135</f>
        <v>ME15 1/4" SHAFT For Magnetic Encoder</v>
      </c>
      <c r="C135" s="40"/>
      <c r="D135" s="40"/>
    </row>
    <row r="136" ht="22.5" customHeight="1">
      <c r="A136" s="38" t="str">
        <f>'Номенклатура'!A136</f>
        <v>21129602B</v>
      </c>
      <c r="B136" s="49" t="str">
        <f>'Номенклатура'!B136</f>
        <v>ME15  6mm SHAFT For Magnetic Encoder</v>
      </c>
      <c r="C136" s="40"/>
      <c r="D136" s="40"/>
    </row>
    <row r="137" ht="22.5" customHeight="1">
      <c r="A137" s="38" t="str">
        <f>'Номенклатура'!A137</f>
        <v>21129602C</v>
      </c>
      <c r="B137" s="49" t="str">
        <f>'Номенклатура'!B137</f>
        <v>ME15  6mm SHAFT For Magnetic Encoder</v>
      </c>
      <c r="C137" s="40"/>
      <c r="D137" s="40"/>
    </row>
    <row r="138" ht="22.5" customHeight="1">
      <c r="A138" s="47" t="str">
        <f>'Номенклатура'!A138</f>
        <v>21129700B</v>
      </c>
      <c r="B138" s="49" t="str">
        <f>'Номенклатура'!B138</f>
        <v>ME15 REAR COVER CONNECTOR VERSION</v>
      </c>
      <c r="C138" s="40"/>
      <c r="D138" s="40"/>
    </row>
    <row r="139" ht="22.5" customHeight="1">
      <c r="A139" s="47" t="str">
        <f>'Номенклатура'!A139</f>
        <v>21129800B</v>
      </c>
      <c r="B139" s="49" t="str">
        <f>'Номенклатура'!B139</f>
        <v>ME15 REAR COVER CABLE VERSION</v>
      </c>
      <c r="C139" s="40"/>
      <c r="D139" s="40" t="s">
        <v>7</v>
      </c>
    </row>
    <row r="140" ht="22.5" customHeight="1">
      <c r="A140" s="47" t="str">
        <f>'Номенклатура'!A140</f>
        <v>21130002D</v>
      </c>
      <c r="B140" s="49" t="str">
        <f>'Номенклатура'!B140</f>
        <v/>
      </c>
      <c r="C140" s="40"/>
      <c r="D140" s="40" t="s">
        <v>7</v>
      </c>
    </row>
    <row r="141" ht="22.5" customHeight="1">
      <c r="A141" s="38" t="str">
        <f>'Номенклатура'!A141</f>
        <v>21130002C</v>
      </c>
      <c r="B141" s="49" t="str">
        <f>'Номенклатура'!B141</f>
        <v>Aluminum Flange for DC25 Blind Hole Resolver</v>
      </c>
      <c r="C141" s="40"/>
      <c r="D141" s="40"/>
    </row>
    <row r="142" ht="22.5" customHeight="1">
      <c r="A142" s="47" t="str">
        <f>'Номенклатура'!A142</f>
        <v>21131600C</v>
      </c>
      <c r="B142" s="49" t="str">
        <f>'Номенклатура'!B142</f>
        <v>SSI MULTITURN COVER FOR MS-18 CONN.</v>
      </c>
      <c r="C142" s="40">
        <v>10.0</v>
      </c>
      <c r="D142" s="40" t="s">
        <v>7</v>
      </c>
    </row>
    <row r="143" ht="22.5" customHeight="1">
      <c r="A143" s="47">
        <f>'Номенклатура'!A143</f>
        <v>211330000</v>
      </c>
      <c r="B143" s="40" t="s">
        <v>37</v>
      </c>
      <c r="C143" s="40">
        <v>10.0</v>
      </c>
      <c r="D143" s="40" t="s">
        <v>7</v>
      </c>
    </row>
    <row r="144" ht="22.5" customHeight="1">
      <c r="A144" s="47" t="str">
        <f>'Номенклатура'!A144</f>
        <v>21132800A</v>
      </c>
      <c r="B144" s="49" t="str">
        <f>'Номенклатура'!B144</f>
        <v>DC25 SSI MULTITURN COVER WITH RESET BUTTON</v>
      </c>
      <c r="C144" s="40">
        <v>10.0</v>
      </c>
      <c r="D144" s="40" t="s">
        <v>7</v>
      </c>
    </row>
    <row r="145" ht="22.5" customHeight="1">
      <c r="A145" s="47" t="str">
        <f>'Номенклатура'!A145</f>
        <v>21132800B</v>
      </c>
      <c r="B145" s="49" t="str">
        <f>'Номенклатура'!B145</f>
        <v>DC25 SSI MULTITURN COVER WITH RESET BUTTON</v>
      </c>
      <c r="C145" s="40">
        <v>10.0</v>
      </c>
      <c r="D145" s="40" t="s">
        <v>7</v>
      </c>
    </row>
    <row r="146" ht="22.5" customHeight="1">
      <c r="A146" s="47">
        <f>'Номенклатура'!A146</f>
        <v>211383000</v>
      </c>
      <c r="B146" s="49" t="str">
        <f>'Номенклатура'!B146</f>
        <v/>
      </c>
      <c r="C146" s="40"/>
      <c r="D146" s="40"/>
    </row>
    <row r="147" ht="22.5" customHeight="1">
      <c r="A147" s="47">
        <f>'Номенклатура'!A147</f>
        <v>211400000</v>
      </c>
      <c r="B147" s="49" t="str">
        <f>'Номенклатура'!B147</f>
        <v/>
      </c>
      <c r="C147" s="40"/>
      <c r="D147" s="40"/>
    </row>
    <row r="148" ht="22.5" customHeight="1">
      <c r="A148" s="47">
        <f>'Номенклатура'!A148</f>
        <v>211330010</v>
      </c>
      <c r="B148" s="49" t="str">
        <f>'Номенклатура'!B148</f>
        <v>5/8" HTE Rotor Assembly 1-speed</v>
      </c>
      <c r="C148" s="40"/>
      <c r="D148" s="40"/>
    </row>
    <row r="149" ht="22.5" customHeight="1">
      <c r="A149" s="38" t="str">
        <f>'Номенклатура'!A149</f>
        <v>21133001A</v>
      </c>
      <c r="B149" s="49" t="str">
        <f>'Номенклатура'!B149</f>
        <v>5/8" HTE Rotor Assembly 1-speed</v>
      </c>
      <c r="C149" s="40"/>
      <c r="D149" s="40"/>
    </row>
    <row r="150" ht="22.5" customHeight="1">
      <c r="A150" s="47">
        <f>'Номенклатура'!A150</f>
        <v>211330020</v>
      </c>
      <c r="B150" s="49" t="str">
        <f>'Номенклатура'!B150</f>
        <v>5/8" HTE Rotor Assembly 4-speed</v>
      </c>
      <c r="C150" s="40"/>
      <c r="D150" s="40"/>
    </row>
    <row r="151" ht="22.5" customHeight="1">
      <c r="A151" s="38" t="str">
        <f>'Номенклатура'!A151</f>
        <v>21133002A</v>
      </c>
      <c r="B151" s="49" t="str">
        <f>'Номенклатура'!B151</f>
        <v>5/8" HTE Rotor Assembly 4-speed</v>
      </c>
      <c r="C151" s="40"/>
      <c r="D151" s="40"/>
    </row>
    <row r="152" ht="22.5" customHeight="1">
      <c r="A152" s="38">
        <f>'Номенклатура'!A152</f>
        <v>211334000</v>
      </c>
      <c r="B152" s="49" t="str">
        <f>'Номенклатура'!B152</f>
        <v>1/2" Blind Hole Rotor size25 Made in Bulgaria, SS-316</v>
      </c>
      <c r="C152" s="40"/>
      <c r="D152" s="40"/>
    </row>
    <row r="153" ht="22.5" customHeight="1">
      <c r="A153" s="38">
        <f>'Номенклатура'!A153</f>
        <v>211334020</v>
      </c>
      <c r="B153" s="49" t="str">
        <f>'Номенклатура'!B153</f>
        <v>12mm Blind Hole Rotor Assy SS-316     Made in BG</v>
      </c>
      <c r="C153" s="40"/>
      <c r="D153" s="40" t="s">
        <v>7</v>
      </c>
    </row>
    <row r="154" ht="22.5" customHeight="1">
      <c r="A154" s="38">
        <f>'Номенклатура'!A154</f>
        <v>211335000</v>
      </c>
      <c r="B154" s="49" t="str">
        <f>'Номенклатура'!B154</f>
        <v>1/2" Blind Rotor Multiturn Made in Bulgaria, SS-316</v>
      </c>
      <c r="C154" s="40"/>
      <c r="D154" s="40"/>
    </row>
    <row r="155" ht="22.5" customHeight="1">
      <c r="A155" s="47" t="str">
        <f>'Номенклатура'!A155</f>
        <v>21134201C</v>
      </c>
      <c r="B155" s="49" t="str">
        <f>'Номенклатура'!B155</f>
        <v>NR25 Side conn. rear cover Must be sent for silkscreen</v>
      </c>
      <c r="C155" s="40">
        <v>20.0</v>
      </c>
      <c r="D155" s="40" t="s">
        <v>7</v>
      </c>
    </row>
    <row r="156" ht="22.5" customHeight="1">
      <c r="A156" s="38">
        <f>'Номенклатура'!A156</f>
        <v>211346000</v>
      </c>
      <c r="B156" s="49" t="str">
        <f>'Номенклатура'!B156</f>
        <v>12mm Blind Rotor Multiturn Made in Bulgaria, SS-316</v>
      </c>
      <c r="C156" s="40"/>
      <c r="D156" s="40" t="s">
        <v>7</v>
      </c>
    </row>
    <row r="157" ht="22.5" customHeight="1">
      <c r="A157" s="47">
        <f>'Номенклатура'!A157</f>
        <v>211347020</v>
      </c>
      <c r="B157" s="49" t="str">
        <f>'Номенклатура'!B157</f>
        <v>5/8" Rotor, Multiturn Stainless Steel 316</v>
      </c>
      <c r="C157" s="40">
        <v>20.0</v>
      </c>
      <c r="D157" s="40" t="s">
        <v>7</v>
      </c>
    </row>
    <row r="158" ht="22.5" customHeight="1">
      <c r="A158" s="38">
        <f>'Номенклатура'!A158</f>
        <v>211348010</v>
      </c>
      <c r="B158" s="49" t="str">
        <f>'Номенклатура'!B158</f>
        <v>Multiturn Brass Standoff for stainless steel body.</v>
      </c>
      <c r="C158" s="40"/>
      <c r="D158" s="40"/>
    </row>
    <row r="159" ht="22.5" customHeight="1">
      <c r="A159" s="47">
        <f>'Номенклатура'!A159</f>
        <v>211349000</v>
      </c>
      <c r="B159" s="49" t="str">
        <f>'Номенклатура'!B159</f>
        <v>3/4" Rotor SS-303 for H25/DC25</v>
      </c>
      <c r="C159" s="40"/>
      <c r="D159" s="40"/>
    </row>
    <row r="160" ht="22.5" customHeight="1">
      <c r="A160" s="47">
        <f>'Номенклатура'!A160</f>
        <v>211350000</v>
      </c>
      <c r="B160" s="49" t="str">
        <f>'Номенклатура'!B160</f>
        <v>ME11 SHAFT 0.25" with flat</v>
      </c>
      <c r="C160" s="40"/>
      <c r="D160" s="40"/>
    </row>
    <row r="161" ht="22.5" customHeight="1">
      <c r="A161" s="47">
        <f>'Номенклатура'!A161</f>
        <v>211353000</v>
      </c>
      <c r="B161" s="49" t="str">
        <f>'Номенклатура'!B161</f>
        <v>Size11 rear cover with side grommet hole</v>
      </c>
      <c r="C161" s="40"/>
      <c r="D161" s="40" t="s">
        <v>7</v>
      </c>
    </row>
    <row r="162" ht="22.5" customHeight="1">
      <c r="A162" s="38" t="str">
        <f>'Номенклатура'!A162</f>
        <v>21135700A</v>
      </c>
      <c r="B162" s="49" t="str">
        <f>'Номенклатура'!B162</f>
        <v>Size11 rear cover with side hole potted</v>
      </c>
      <c r="C162" s="40">
        <v>20.0</v>
      </c>
      <c r="D162" s="40" t="s">
        <v>7</v>
      </c>
    </row>
    <row r="163" ht="22.5" customHeight="1">
      <c r="A163" s="47">
        <f>'Номенклатура'!A163</f>
        <v>211361000</v>
      </c>
      <c r="B163" s="49" t="str">
        <f>'Номенклатура'!B163</f>
        <v>DC25 &amp; H25 10mm MULTITURN SHAFT</v>
      </c>
      <c r="C163" s="40"/>
      <c r="D163" s="40" t="s">
        <v>7</v>
      </c>
    </row>
    <row r="164" ht="22.5" customHeight="1">
      <c r="A164" s="47">
        <f>'Номенклатура'!A164</f>
        <v>211362000</v>
      </c>
      <c r="B164" s="49" t="str">
        <f>'Номенклатура'!B164</f>
        <v>DC25 &amp; H25 1/4" MULTITURN SHAFT</v>
      </c>
      <c r="C164" s="40">
        <v>10.0</v>
      </c>
      <c r="D164" s="40" t="s">
        <v>7</v>
      </c>
    </row>
    <row r="165" ht="22.5" customHeight="1">
      <c r="A165" s="47">
        <f>'Номенклатура'!A165</f>
        <v>211363000</v>
      </c>
      <c r="B165" s="49" t="str">
        <f>'Номенклатура'!B165</f>
        <v>DC25 &amp; H25  3/8" MULTITURN SHAFT</v>
      </c>
      <c r="C165" s="40"/>
      <c r="D165" s="40"/>
    </row>
    <row r="166" ht="22.5" customHeight="1">
      <c r="A166" s="47" t="str">
        <f>'Номенклатура'!A166</f>
        <v>21137201A</v>
      </c>
      <c r="B166" s="49" t="str">
        <f>'Номенклатура'!B166</f>
        <v>NR25 Ethernet rear cover Singleturn; Side conn.</v>
      </c>
      <c r="C166" s="40">
        <v>10.0</v>
      </c>
      <c r="D166" s="40" t="s">
        <v>7</v>
      </c>
    </row>
    <row r="167" ht="22.5" customHeight="1">
      <c r="A167" s="47">
        <f>'Номенклатура'!A167</f>
        <v>211323000</v>
      </c>
      <c r="B167" s="49" t="str">
        <f>'Номенклатура'!B167</f>
        <v/>
      </c>
      <c r="C167" s="40"/>
      <c r="D167" s="40"/>
    </row>
    <row r="168" ht="22.5" customHeight="1">
      <c r="A168" s="38" t="str">
        <f>'Номенклатура'!A168</f>
        <v>22108201E</v>
      </c>
      <c r="B168" s="49" t="str">
        <f>'Номенклатура'!B168</f>
        <v>Flange Plate for Aux. Nose </v>
      </c>
      <c r="C168" s="40">
        <v>10.0</v>
      </c>
      <c r="D168" s="40" t="s">
        <v>7</v>
      </c>
    </row>
    <row r="169" ht="22.5" customHeight="1">
      <c r="A169" s="38" t="str">
        <f>'Номенклатура'!A169</f>
        <v>22113300B</v>
      </c>
      <c r="B169" s="49" t="str">
        <f>'Номенклатура'!B169</f>
        <v>Transducer Flange Slv.H25M1 </v>
      </c>
      <c r="C169" s="40"/>
      <c r="D169" s="40"/>
    </row>
    <row r="170" ht="22.5" customHeight="1">
      <c r="A170" s="38">
        <f>'Номенклатура'!A170</f>
        <v>221134000</v>
      </c>
      <c r="B170" s="49" t="str">
        <f>'Номенклатура'!B170</f>
        <v>M1 Flange Plate (H25-M1) </v>
      </c>
      <c r="C170" s="40"/>
      <c r="D170" s="40"/>
    </row>
    <row r="171" ht="22.5" customHeight="1">
      <c r="A171" s="47" t="str">
        <f>'Номенклатура'!A171</f>
        <v>22124500F</v>
      </c>
      <c r="B171" s="49" t="str">
        <f>'Номенклатура'!B171</f>
        <v>H25/DC25 Aux. Nose with 8-32 tapped mounting</v>
      </c>
      <c r="C171" s="40"/>
      <c r="D171" s="40"/>
    </row>
    <row r="172" ht="22.5" customHeight="1">
      <c r="A172" s="47" t="str">
        <f>'Номенклатура'!A172</f>
        <v>22124501F</v>
      </c>
      <c r="B172" s="49" t="str">
        <f>'Номенклатура'!B172</f>
        <v>H25/DC25 Aux. Nose with 6-32 tapped mounting</v>
      </c>
      <c r="C172" s="40">
        <v>10.0</v>
      </c>
      <c r="D172" s="40" t="s">
        <v>7</v>
      </c>
    </row>
    <row r="173" ht="22.5" customHeight="1">
      <c r="A173" s="47" t="str">
        <f>'Номенклатура'!A173</f>
        <v>22126700L</v>
      </c>
      <c r="B173" s="49" t="str">
        <f>'Номенклатура'!B173</f>
        <v>H25/DC25 Flange Nose Aluminum</v>
      </c>
      <c r="C173" s="40"/>
      <c r="D173" s="40"/>
    </row>
    <row r="174" ht="22.5" customHeight="1">
      <c r="A174" s="47" t="str">
        <f>'Номенклатура'!A174</f>
        <v>22126701M</v>
      </c>
      <c r="B174" s="49" t="str">
        <f>'Номенклатура'!B174</f>
        <v>DC-25 Flange Nose W/ 1/4-20 TAPPED MOUNTING</v>
      </c>
      <c r="C174" s="40"/>
      <c r="D174" s="40"/>
    </row>
    <row r="175" ht="22.5" customHeight="1">
      <c r="A175" s="38" t="str">
        <f>'Номенклатура'!A175</f>
        <v>22130000B</v>
      </c>
      <c r="B175" s="49" t="str">
        <f>'Номенклатура'!B175</f>
        <v>H25 &amp; DC25 Shft Mod. for 3mm Key Way- NEW SHAFT STYLE</v>
      </c>
      <c r="C175" s="40"/>
      <c r="D175" s="40"/>
    </row>
    <row r="176" ht="22.5" customHeight="1">
      <c r="A176" s="47" t="str">
        <f>'Номенклатура'!A176</f>
        <v>22133200A</v>
      </c>
      <c r="B176" s="49" t="str">
        <f>'Номенклатура'!B176</f>
        <v>DC25 Flange For H20 Seal used in 575-92014</v>
      </c>
      <c r="C176" s="40"/>
      <c r="D176" s="40"/>
    </row>
    <row r="177" ht="22.5" customHeight="1">
      <c r="A177" s="38">
        <f>'Номенклатура'!A177</f>
        <v>221344000</v>
      </c>
      <c r="B177" s="49" t="str">
        <f>'Номенклатура'!B177</f>
        <v>DC25 Servo Nose For H20 Seal DO NOT RE-ORDER</v>
      </c>
      <c r="C177" s="40"/>
      <c r="D177" s="40"/>
    </row>
    <row r="178" ht="22.5" customHeight="1">
      <c r="A178" s="47" t="str">
        <f>'Номенклатура'!A178</f>
        <v>22139300C</v>
      </c>
      <c r="B178" s="49" t="str">
        <f>'Номенклатура'!B178</f>
        <v>ME15 ENCODER HOUSING BODY Made by AMCI-AD</v>
      </c>
      <c r="C178" s="40"/>
      <c r="D178" s="40"/>
    </row>
    <row r="179" ht="22.5" customHeight="1">
      <c r="A179" s="38" t="str">
        <f>'Номенклатура'!A179</f>
        <v>22140701A</v>
      </c>
      <c r="B179" s="49" t="str">
        <f>'Номенклатура'!B179</f>
        <v>H25 w/ zeroed shaft for HT-400x-L singleturn</v>
      </c>
      <c r="C179" s="40"/>
      <c r="D179" s="40"/>
    </row>
    <row r="180" ht="22.5" customHeight="1">
      <c r="A180" s="38" t="str">
        <f>'Номенклатура'!A180</f>
        <v>22140703A</v>
      </c>
      <c r="B180" s="49" t="str">
        <f>'Номенклатура'!B180</f>
        <v>H25 special for HT-400-M1C-J with connector</v>
      </c>
      <c r="C180" s="40"/>
      <c r="D180" s="40"/>
    </row>
    <row r="181" ht="22.5" customHeight="1">
      <c r="A181" s="38" t="str">
        <f>'Номенклатура'!A181</f>
        <v>22142900A</v>
      </c>
      <c r="B181" s="49" t="str">
        <f>'Номенклатура'!B181</f>
        <v>ME15 Blind hole enclosure body Aluminum 6061-T6</v>
      </c>
      <c r="C181" s="40"/>
      <c r="D181" s="40"/>
    </row>
    <row r="182" ht="22.5" customHeight="1">
      <c r="A182" s="38" t="str">
        <f>'Номенклатура'!A182</f>
        <v>22142900B</v>
      </c>
      <c r="B182" s="49" t="str">
        <f>'Номенклатура'!B182</f>
        <v>ME15 Blind hole enclosure body  Aluminum 6061-T6</v>
      </c>
      <c r="C182" s="40"/>
      <c r="D182" s="40"/>
    </row>
    <row r="183" ht="22.5" customHeight="1">
      <c r="A183" s="38">
        <f>'Номенклатура'!A183</f>
        <v>221436000</v>
      </c>
      <c r="B183" s="49" t="str">
        <f>'Номенклатура'!B183</f>
        <v>NR25  Profibus r. cover Three side connectors</v>
      </c>
      <c r="C183" s="40"/>
      <c r="D183" s="40"/>
    </row>
    <row r="184" ht="22.5" customHeight="1">
      <c r="A184" s="38" t="str">
        <f>'Номенклатура'!A184</f>
        <v>22903700A</v>
      </c>
      <c r="B184" s="49" t="str">
        <f>'Номенклатура'!B184</f>
        <v>SD17063 Transformer </v>
      </c>
      <c r="C184" s="40"/>
      <c r="D184" s="40"/>
    </row>
    <row r="185" ht="22.5" customHeight="1">
      <c r="A185" s="38">
        <f>'Номенклатура'!A185</f>
        <v>229157010</v>
      </c>
      <c r="B185" s="49" t="str">
        <f>'Номенклатура'!B185</f>
        <v>MS-16 Conn W/ 4.5 " </v>
      </c>
      <c r="C185" s="40"/>
      <c r="D185" s="40"/>
    </row>
    <row r="186" ht="22.5" customHeight="1">
      <c r="A186" s="38">
        <f>'Номенклатура'!A186</f>
        <v>229158010</v>
      </c>
      <c r="B186" s="49" t="str">
        <f>'Номенклатура'!B186</f>
        <v>MSD-10 Conn W/ 4.5 " wires </v>
      </c>
      <c r="C186" s="40"/>
      <c r="D186" s="40"/>
    </row>
    <row r="187" ht="22.5" customHeight="1">
      <c r="A187" s="38">
        <f>'Номенклатура'!A187</f>
        <v>229158050</v>
      </c>
      <c r="B187" s="49" t="str">
        <f>'Номенклатура'!B187</f>
        <v>MSD-10 Conn W/ 4.5 " WIRES &amp; DIODE</v>
      </c>
      <c r="C187" s="40"/>
      <c r="D187" s="40"/>
    </row>
    <row r="188" ht="22.5" customHeight="1">
      <c r="A188" s="38" t="str">
        <f>'Номенклатура'!A188</f>
        <v>414-92000</v>
      </c>
      <c r="B188" s="49" t="str">
        <f>'Номенклатура'!B188</f>
        <v>Ethernet Processor </v>
      </c>
      <c r="C188" s="40"/>
      <c r="D188" s="40"/>
    </row>
    <row r="189" ht="22.5" customHeight="1">
      <c r="A189" s="38" t="str">
        <f>'Номенклатура'!A189</f>
        <v>551-90001</v>
      </c>
      <c r="B189" s="49" t="str">
        <f>'Номенклатура'!B189</f>
        <v>Transformer Input 42700 Sine/Cosine</v>
      </c>
      <c r="C189" s="40"/>
      <c r="D189" s="40"/>
    </row>
    <row r="190" ht="22.5" customHeight="1">
      <c r="A190" s="38" t="str">
        <f>'Номенклатура'!A190</f>
        <v>551-90003</v>
      </c>
      <c r="B190" s="49" t="str">
        <f>'Номенклатура'!B190</f>
        <v>Transformer Output 1:1 3275 Reference</v>
      </c>
      <c r="C190" s="40"/>
      <c r="D190" s="40"/>
    </row>
    <row r="191" ht="22.5" customHeight="1">
      <c r="A191" s="38" t="str">
        <f>'Номенклатура'!A191</f>
        <v>551-90004</v>
      </c>
      <c r="B191" s="49" t="str">
        <f>'Номенклатура'!B191</f>
        <v>Xformer Power Supply - Cards </v>
      </c>
      <c r="C191" s="40"/>
      <c r="D191" s="40"/>
    </row>
    <row r="192" ht="22.5" customHeight="1">
      <c r="A192" s="38" t="str">
        <f>'Номенклатура'!A192</f>
        <v>575-01900-704</v>
      </c>
      <c r="B192" s="49" t="str">
        <f>'Номенклатура'!B192</f>
        <v>Transmitt., 10KHz, TR=0.5 0.12" shaft, 7min, 7Vrms</v>
      </c>
      <c r="C192" s="40"/>
      <c r="D192" s="40"/>
    </row>
    <row r="193" ht="22.5" customHeight="1">
      <c r="A193" s="47" t="str">
        <f>'Номенклатура'!A193</f>
        <v>575-01901-7B2</v>
      </c>
      <c r="B193" s="49" t="str">
        <f>'Номенклатура'!B193</f>
        <v>Transmitt. 26V,TR=1.0, 400Hz .12" shaft w/ length=0.375"</v>
      </c>
      <c r="C193" s="40"/>
      <c r="D193" s="40"/>
    </row>
    <row r="194" ht="22.5" customHeight="1">
      <c r="A194" s="38" t="str">
        <f>'Номенклатура'!A194</f>
        <v>575-01902-1</v>
      </c>
      <c r="B194" s="49" t="str">
        <f>'Номенклатура'!B194</f>
        <v>Resolver Size 11 (3.5-5min) Transmitter 5KHz TR-0.95</v>
      </c>
      <c r="C194" s="40"/>
      <c r="D194" s="40"/>
    </row>
    <row r="195" ht="22.5" customHeight="1">
      <c r="A195" s="38" t="str">
        <f>'Номенклатура'!A195</f>
        <v>575-01902-10</v>
      </c>
      <c r="B195" s="49" t="str">
        <f>'Номенклатура'!B195</f>
        <v>Resolver Size 11 Tested(1-3) Trasmitter 5KHz TR-0.95</v>
      </c>
      <c r="C195" s="40"/>
      <c r="D195" s="40"/>
    </row>
    <row r="196" ht="22.5" customHeight="1">
      <c r="A196" s="38" t="str">
        <f>'Номенклатура'!A196</f>
        <v>575-01902-100</v>
      </c>
      <c r="B196" s="49" t="str">
        <f>'Номенклатура'!B196</f>
        <v>Resolver Size 11 Tested 1.5' Trasmitter 5KHz TR-0.95</v>
      </c>
      <c r="C196" s="40"/>
      <c r="D196" s="40"/>
    </row>
    <row r="197" ht="22.5" customHeight="1">
      <c r="A197" s="38" t="str">
        <f>'Номенклатура'!A197</f>
        <v>575-01902-11</v>
      </c>
      <c r="B197" s="49" t="str">
        <f>'Номенклатура'!B197</f>
        <v>Resolver Size 11 Ameritek .95 TR Control Transmitter</v>
      </c>
      <c r="C197" s="40"/>
      <c r="D197" s="40"/>
    </row>
    <row r="198" ht="22.5" customHeight="1">
      <c r="A198" s="38" t="str">
        <f>'Номенклатура'!A198</f>
        <v>575-01902-310-1</v>
      </c>
      <c r="B198" s="49" t="str">
        <f>'Номенклатура'!B198</f>
        <v>Size11, J type, +/-3min 0.12'' shaft with flat</v>
      </c>
      <c r="C198" s="40"/>
      <c r="D198" s="40"/>
    </row>
    <row r="199" ht="22.5" customHeight="1">
      <c r="A199" s="47" t="str">
        <f>'Номенклатура'!A199</f>
        <v>575-01902-4</v>
      </c>
      <c r="B199" s="49" t="str">
        <f>'Номенклатура'!B199</f>
        <v>Reslover Size 11 (5.5-8.0) Brushless</v>
      </c>
      <c r="C199" s="40"/>
      <c r="D199" s="40"/>
    </row>
    <row r="200" ht="22.5" customHeight="1">
      <c r="A200" s="38" t="str">
        <f>'Номенклатура'!A200</f>
        <v>575-01902-701</v>
      </c>
      <c r="B200" s="49" t="str">
        <f>'Номенклатура'!B200</f>
        <v>0.12" shaft w/seal 5KHz, 7min acc, 0.95TR</v>
      </c>
      <c r="C200" s="40"/>
      <c r="D200" s="40"/>
    </row>
    <row r="201" ht="22.5" customHeight="1">
      <c r="A201" s="47" t="str">
        <f>'Номенклатура'!A201</f>
        <v>575-01902-702</v>
      </c>
      <c r="B201" s="49" t="str">
        <f>'Номенклатура'!B201</f>
        <v>R11X-J10/7 resolver with front mounting holes</v>
      </c>
      <c r="C201" s="40">
        <v>76.0</v>
      </c>
      <c r="D201" s="40" t="s">
        <v>12</v>
      </c>
    </row>
    <row r="202" ht="22.5" customHeight="1">
      <c r="A202" s="38" t="str">
        <f>'Номенклатура'!A202</f>
        <v>575-01902-704</v>
      </c>
      <c r="B202" s="49" t="str">
        <f>'Номенклатура'!B202</f>
        <v>R11X-J10/7 resolver with side wires</v>
      </c>
      <c r="C202" s="40"/>
      <c r="D202" s="40"/>
    </row>
    <row r="203" ht="22.5" customHeight="1">
      <c r="A203" s="38" t="str">
        <f>'Номенклатура'!A203</f>
        <v>575-01902-710</v>
      </c>
      <c r="B203" s="49" t="str">
        <f>'Номенклатура'!B203</f>
        <v>Resolver Size 11 Ameritek R11X-J10/7 w/ flat on shaft</v>
      </c>
      <c r="C203" s="40">
        <v>76.0</v>
      </c>
      <c r="D203" s="40" t="s">
        <v>12</v>
      </c>
    </row>
    <row r="204" ht="22.5" customHeight="1">
      <c r="A204" s="47" t="str">
        <f>'Номенклатура'!A204</f>
        <v>575-01902-721</v>
      </c>
      <c r="B204" s="49" t="str">
        <f>'Номенклатура'!B204</f>
        <v>3/16" shaft w/seal 5KHz, 7min acc, 0.95TR</v>
      </c>
      <c r="C204" s="40"/>
      <c r="D204" s="40"/>
    </row>
    <row r="205" ht="22.5" customHeight="1">
      <c r="A205" s="38" t="str">
        <f>'Номенклатура'!A205</f>
        <v>575-01902-750</v>
      </c>
      <c r="B205" s="49" t="str">
        <f>'Номенклатура'!B205</f>
        <v>Size11 Transmitter; 7min acc 5KHz, TR=0.95, 0.1200 shaft</v>
      </c>
      <c r="C205" s="40">
        <v>76.0</v>
      </c>
      <c r="D205" s="40" t="s">
        <v>12</v>
      </c>
    </row>
    <row r="206" ht="22.5" customHeight="1">
      <c r="A206" s="38" t="str">
        <f>'Номенклатура'!A206</f>
        <v>575-01902-781</v>
      </c>
      <c r="B206" s="49" t="str">
        <f>'Номенклатура'!B206</f>
        <v>1/4" shaft w/ flat  and seal 5KHz, 7min acc, 0.95TR</v>
      </c>
      <c r="C206" s="40"/>
      <c r="D206" s="40"/>
    </row>
    <row r="207" ht="22.5" customHeight="1">
      <c r="A207" s="38" t="str">
        <f>'Номенклатура'!A207</f>
        <v>575-01902-785</v>
      </c>
      <c r="B207" s="49" t="str">
        <f>'Номенклатура'!B207</f>
        <v>1/4" shaft w/ flat  and seal 5KHz, 7min acc, 0.95TR</v>
      </c>
      <c r="C207" s="40"/>
      <c r="D207" s="40"/>
    </row>
    <row r="208" ht="22.5" customHeight="1">
      <c r="A208" s="38" t="str">
        <f>'Номенклатура'!A208</f>
        <v>575-01902-8</v>
      </c>
      <c r="B208" s="49" t="str">
        <f>'Номенклатура'!B208</f>
        <v>Resolver Size 11 tested(8.5&gt; 575-01902 sorted @ AMCI</v>
      </c>
      <c r="C208" s="40"/>
      <c r="D208" s="40"/>
    </row>
    <row r="209" ht="22.5" customHeight="1">
      <c r="A209" s="38" t="str">
        <f>'Номенклатура'!A209</f>
        <v>575-01903-1</v>
      </c>
      <c r="B209" s="49" t="str">
        <f>'Номенклатура'!B209</f>
        <v>Size11 Ctrl Transformer for  R11W-M10/7-1</v>
      </c>
      <c r="C209" s="40"/>
      <c r="D209" s="40"/>
    </row>
    <row r="210" ht="22.5" customHeight="1">
      <c r="A210" s="38" t="str">
        <f>'Номенклатура'!A210</f>
        <v>575-01904</v>
      </c>
      <c r="B210" s="49" t="str">
        <f>'Номенклатура'!B210</f>
        <v>Resolver Size 11, 3/16 Shaft Ameritek Brushless</v>
      </c>
      <c r="C210" s="40"/>
      <c r="D210" s="40"/>
    </row>
    <row r="211" ht="22.5" customHeight="1">
      <c r="A211" s="38" t="str">
        <f>'Номенклатура'!A211</f>
        <v>575-01904-3</v>
      </c>
      <c r="B211" s="49" t="str">
        <f>'Номенклатура'!B211</f>
        <v>Resolver Size 11, 3/16 Shaft Ameritek Brushless</v>
      </c>
      <c r="C211" s="40"/>
      <c r="D211" s="40"/>
    </row>
    <row r="212" ht="22.5" customHeight="1">
      <c r="A212" s="38" t="str">
        <f>'Номенклатура'!A212</f>
        <v>575-01905</v>
      </c>
      <c r="B212" s="49" t="str">
        <f>'Номенклатура'!B212</f>
        <v>Resolver Size 11 4 Speed </v>
      </c>
      <c r="C212" s="40"/>
      <c r="D212" s="40"/>
    </row>
    <row r="213" ht="22.5" customHeight="1">
      <c r="A213" s="38" t="str">
        <f>'Номенклатура'!A213</f>
        <v>575-01909-700</v>
      </c>
      <c r="B213" s="49" t="str">
        <f>'Номенклатура'!B213</f>
        <v>Resolver Size 11, &lt;,= 7Min 2 Speed T.R.=.95 Freq.=5K</v>
      </c>
      <c r="C213" s="40"/>
      <c r="D213" s="40"/>
    </row>
    <row r="214" ht="22.5" customHeight="1">
      <c r="A214" s="38" t="str">
        <f>'Номенклатура'!A214</f>
        <v>575-01911-1</v>
      </c>
      <c r="B214" s="49" t="str">
        <f>'Номенклатура'!B214</f>
        <v>Resolver Size 11, T.R. = .50 FREQ.= 2500, ACCUR. = &lt;7</v>
      </c>
      <c r="C214" s="40"/>
      <c r="D214" s="40"/>
    </row>
    <row r="215" ht="22.5" customHeight="1">
      <c r="A215" s="38" t="str">
        <f>'Номенклатура'!A215</f>
        <v>575-01911-10</v>
      </c>
      <c r="B215" s="49" t="str">
        <f>'Номенклатура'!B215</f>
        <v>Resolver Size 11, T.R. = .50 FREQ.= 2500, ACCUR. = &lt;3</v>
      </c>
      <c r="C215" s="40"/>
      <c r="D215" s="40"/>
    </row>
    <row r="216" ht="22.5" customHeight="1">
      <c r="A216" s="38" t="str">
        <f>'Номенклатура'!A216</f>
        <v>575-01911-3</v>
      </c>
      <c r="B216" s="49" t="str">
        <f>'Номенклатура'!B216</f>
        <v>Ctrl. Xformer Size11; TR=0.5 FREQ.= 2500, ACCUR. = &lt;3</v>
      </c>
      <c r="C216" s="40"/>
      <c r="D216" s="40"/>
    </row>
    <row r="217" ht="22.5" customHeight="1">
      <c r="A217" s="38" t="str">
        <f>'Номенклатура'!A217</f>
        <v>575-01912-1</v>
      </c>
      <c r="B217" s="49" t="str">
        <f>'Номенклатура'!B217</f>
        <v>Resolver Size 11, T.R. = .45 FREQ.= 1000, ACCUR. = &lt;5,</v>
      </c>
      <c r="C217" s="40"/>
      <c r="D217" s="40"/>
    </row>
    <row r="218" ht="22.5" customHeight="1">
      <c r="A218" s="38" t="str">
        <f>'Номенклатура'!A218</f>
        <v>575-01912-10</v>
      </c>
      <c r="B218" s="49" t="str">
        <f>'Номенклатура'!B218</f>
        <v>Resolver Size 11, T.R. = .45 FREQ.= 1000, ACCUR. = &lt;3,</v>
      </c>
      <c r="C218" s="40"/>
      <c r="D218" s="40"/>
    </row>
    <row r="219" ht="22.5" customHeight="1">
      <c r="A219" s="38" t="str">
        <f>'Номенклатура'!A219</f>
        <v>575-01912-11</v>
      </c>
      <c r="B219" s="49" t="str">
        <f>'Номенклатура'!B219</f>
        <v>Resolver Size 11, T.R. = .45 FREQ.= 1000, ACCUR. = &lt;7,</v>
      </c>
      <c r="C219" s="40">
        <v>76.0</v>
      </c>
      <c r="D219" s="40" t="s">
        <v>12</v>
      </c>
    </row>
    <row r="220" ht="22.5" customHeight="1">
      <c r="A220" s="38" t="str">
        <f>'Номенклатура'!A220</f>
        <v>575-01912-12</v>
      </c>
      <c r="B220" s="49" t="str">
        <f>'Номенклатура'!B220</f>
        <v>Resolver Size 11,T.R.=.45 FREQ.=1000,ACCUR.= 3.5 to 5</v>
      </c>
      <c r="C220" s="40"/>
      <c r="D220" s="40"/>
    </row>
    <row r="221" ht="22.5" customHeight="1">
      <c r="A221" s="38" t="str">
        <f>'Номенклатура'!A221</f>
        <v>575-01912-2</v>
      </c>
      <c r="B221" s="49" t="str">
        <f>'Номенклатура'!B221</f>
        <v>Resolver Size 11, T.R. = .45 FREQ.= 1000, ACCUR. = &lt;5,</v>
      </c>
      <c r="C221" s="40"/>
      <c r="D221" s="40"/>
    </row>
    <row r="222" ht="22.5" customHeight="1">
      <c r="A222" s="38" t="str">
        <f>'Номенклатура'!A222</f>
        <v>575-01912-703-01</v>
      </c>
      <c r="B222" s="49" t="str">
        <f>'Номенклатура'!B222</f>
        <v>SIZE 11 RESOLVER .45 TR @1000Hz, .120" SHAFT</v>
      </c>
      <c r="C222" s="40"/>
      <c r="D222" s="40"/>
    </row>
    <row r="223" ht="22.5" customHeight="1">
      <c r="A223" s="38" t="str">
        <f>'Номенклатура'!A223</f>
        <v>575-01913-1</v>
      </c>
      <c r="B223" s="49" t="str">
        <f>'Номенклатура'!B223</f>
        <v>Resolver Size 11, T.R. = .98 FREQ.= 2500, ACCUR. = &lt;7,</v>
      </c>
      <c r="C223" s="40"/>
      <c r="D223" s="40"/>
    </row>
    <row r="224" ht="22.5" customHeight="1">
      <c r="A224" s="38" t="str">
        <f>'Номенклатура'!A224</f>
        <v>575-01914</v>
      </c>
      <c r="B224" s="49" t="str">
        <f>'Номенклатура'!B224</f>
        <v>Resolver Size 11, T.R. = .50 FREQ.= 2500, ACCUR. = &lt;5,</v>
      </c>
      <c r="C224" s="40"/>
      <c r="D224" s="40"/>
    </row>
    <row r="225" ht="22.5" customHeight="1">
      <c r="A225" s="38" t="str">
        <f>'Номенклатура'!A225</f>
        <v>575-01914-1</v>
      </c>
      <c r="B225" s="49" t="str">
        <f>'Номенклатура'!B225</f>
        <v>Resolver Size 11, T.R. = .50 FREQ.= 2500, ACCUR. = &lt;5,</v>
      </c>
      <c r="C225" s="40"/>
      <c r="D225" s="40"/>
    </row>
    <row r="226" ht="22.5" customHeight="1">
      <c r="A226" s="38" t="str">
        <f>'Номенклатура'!A226</f>
        <v>575-01916-1</v>
      </c>
      <c r="B226" s="49" t="str">
        <f>'Номенклатура'!B226</f>
        <v>Resolver Size 11, T.R. = .45 FREQ.= 1000, ACCUR. = &lt;6,</v>
      </c>
      <c r="C226" s="40"/>
      <c r="D226" s="40"/>
    </row>
    <row r="227" ht="22.5" customHeight="1">
      <c r="A227" s="38" t="str">
        <f>'Номенклатура'!A227</f>
        <v>575-01918-750</v>
      </c>
      <c r="B227" s="49" t="str">
        <f>'Номенклатура'!B227</f>
        <v>Resolver Size11 Transmitter TR=0.54, 4KHz, Acc&lt;=7'</v>
      </c>
      <c r="C227" s="40"/>
      <c r="D227" s="40"/>
    </row>
    <row r="228" ht="22.5" customHeight="1">
      <c r="A228" s="47" t="str">
        <f>'Номенклатура'!A228</f>
        <v>575-01919</v>
      </c>
      <c r="B228" s="49" t="str">
        <f>'Номенклатура'!B228</f>
        <v>Resolver Size 11, T.R. = .95 FREQ.= 5k, 4 Speed</v>
      </c>
      <c r="C228" s="40"/>
      <c r="D228" s="40"/>
    </row>
    <row r="229" ht="22.5" customHeight="1">
      <c r="A229" s="38" t="str">
        <f>'Номенклатура'!A229</f>
        <v>575-01920-760-101</v>
      </c>
      <c r="B229" s="49" t="str">
        <f>'Номенклатура'!B229</f>
        <v>Resolver Size 11, T.R. = .45 400Hz, Acc. = &lt;5, 1/4" shaft</v>
      </c>
      <c r="C229" s="40"/>
      <c r="D229" s="40"/>
    </row>
    <row r="230" ht="22.5" customHeight="1">
      <c r="A230" s="38" t="str">
        <f>'Номенклатура'!A230</f>
        <v>575-01921-710</v>
      </c>
      <c r="B230" s="49" t="str">
        <f>'Номенклатура'!B230</f>
        <v>Resolver Size 11 , Transmit. 2.5KHz 0.5 TR, 0.1200" shaft</v>
      </c>
      <c r="C230" s="40"/>
      <c r="D230" s="40"/>
    </row>
    <row r="231" ht="22.5" customHeight="1">
      <c r="A231" s="38" t="str">
        <f>'Номенклатура'!A231</f>
        <v>В575-01921-721</v>
      </c>
      <c r="B231" s="49" t="str">
        <f>'Номенклатура'!B231</f>
        <v>3/16" shaft w/seal 2.5KHz, 7min acc, 0.5TR</v>
      </c>
      <c r="C231" s="40"/>
      <c r="D231" s="40"/>
    </row>
    <row r="232" ht="22.5" customHeight="1">
      <c r="A232" s="38" t="str">
        <f>'Номенклатура'!A232</f>
        <v>575-01921-791</v>
      </c>
      <c r="B232" s="49" t="str">
        <f>'Номенклатура'!B232</f>
        <v>Xmitter, Size11, 2.5KHz/0.5 0.1200" shaft, 0.562" long</v>
      </c>
      <c r="C232" s="40"/>
      <c r="D232" s="40"/>
    </row>
    <row r="233" ht="22.5" customHeight="1">
      <c r="A233" s="38" t="str">
        <f>'Номенклатура'!A233</f>
        <v>575-01921-791-0122</v>
      </c>
      <c r="B233" s="49" t="str">
        <f>'Номенклатура'!B233</f>
        <v>Xmitter, 2.5KHz/0.5  +/-7min 0.1200" shaft, 0.562" long</v>
      </c>
      <c r="C233" s="40"/>
      <c r="D233" s="40"/>
    </row>
    <row r="234" ht="22.5" customHeight="1">
      <c r="A234" s="38" t="str">
        <f>'Номенклатура'!A234</f>
        <v>575-01922-1</v>
      </c>
      <c r="B234" s="49" t="str">
        <f>'Номенклатура'!B234</f>
        <v>Resolver Size 11 ,  1.75 TR 400 Hz, control transformer</v>
      </c>
      <c r="C234" s="40"/>
      <c r="D234" s="40"/>
    </row>
    <row r="235" ht="22.5" customHeight="1">
      <c r="A235" s="38" t="str">
        <f>'Номенклатура'!A235</f>
        <v>575-01923-500</v>
      </c>
      <c r="B235" s="49" t="str">
        <f>'Номенклатура'!B235</f>
        <v>Resolver Size 11 ,  1.93 TR 400 Hz, control transformer</v>
      </c>
      <c r="C235" s="40"/>
      <c r="D235" s="40"/>
    </row>
    <row r="236" ht="22.5" customHeight="1">
      <c r="A236" s="38" t="str">
        <f>'Номенклатура'!A236</f>
        <v>575-01923-706-1</v>
      </c>
      <c r="B236" s="49" t="str">
        <f>'Номенклатура'!B236</f>
        <v>Size11 CTRL Xformer; TR=1.93 0.12" shaft; 400 Hz; Uin=12V</v>
      </c>
      <c r="C236" s="40"/>
      <c r="D236" s="40"/>
    </row>
    <row r="237" ht="22.5" customHeight="1">
      <c r="A237" s="38" t="str">
        <f>'Номенклатура'!A237</f>
        <v>575-01924-300-002</v>
      </c>
      <c r="B237" s="49" t="str">
        <f>'Номенклатура'!B237</f>
        <v>Resolver Size11,  TR=1.0 1000 Hz, control transmitter</v>
      </c>
      <c r="C237" s="40"/>
      <c r="D237" s="40"/>
    </row>
    <row r="238" ht="22.5" customHeight="1">
      <c r="A238" s="38" t="str">
        <f>'Номенклатура'!A238</f>
        <v>575-01925-710</v>
      </c>
      <c r="B238" s="49" t="str">
        <f>'Номенклатура'!B238</f>
        <v>Resolver Size 11, T.R. = .95 FREQ.= 5k, ACCUR. = &lt;5,</v>
      </c>
      <c r="C238" s="40"/>
      <c r="D238" s="40"/>
    </row>
    <row r="239" ht="22.5" customHeight="1">
      <c r="A239" s="38" t="str">
        <f>'Номенклатура'!A239</f>
        <v>575-02902-740-1</v>
      </c>
      <c r="B239" s="49" t="str">
        <f>'Номенклатура'!B239</f>
        <v>Size 15 resolver xmitter 3/16 splined shaft 21 teeth</v>
      </c>
      <c r="C239" s="40"/>
      <c r="D239" s="40"/>
    </row>
    <row r="240" ht="22.5" customHeight="1">
      <c r="A240" s="38" t="str">
        <f>'Номенклатура'!A240</f>
        <v>575-02924-740-7</v>
      </c>
      <c r="B240" s="49" t="str">
        <f>'Номенклатура'!B240</f>
        <v>Size15 Resolver Xmitter Splined shaft w/ thread</v>
      </c>
      <c r="C240" s="40"/>
      <c r="D240" s="40"/>
    </row>
    <row r="241" ht="22.5" customHeight="1">
      <c r="A241" s="38" t="str">
        <f>'Номенклатура'!A241</f>
        <v>575-15902-300</v>
      </c>
      <c r="B241" s="49" t="str">
        <f>'Номенклатура'!B241</f>
        <v>Size11, Xmitter, 0.12" shaft TR=0.95; F=5KHz, &lt;3min</v>
      </c>
      <c r="C241" s="40"/>
      <c r="D241" s="40"/>
    </row>
    <row r="242" ht="22.5" customHeight="1">
      <c r="A242" s="38" t="str">
        <f>'Номенклатура'!A242</f>
        <v>575-15902-3A5-01</v>
      </c>
      <c r="B242" s="49" t="str">
        <f>'Номенклатура'!B242</f>
        <v>Size11, 5KHz/0.95, 3min acc 1/4" shaft, w/ flat+seal</v>
      </c>
      <c r="C242" s="40"/>
      <c r="D242" s="40"/>
    </row>
    <row r="243" ht="22.5" customHeight="1">
      <c r="A243" s="38" t="str">
        <f>'Номенклатура'!A243</f>
        <v>Т575-15902-721</v>
      </c>
      <c r="B243" s="49" t="str">
        <f>'Номенклатура'!B243</f>
        <v>Size11, Xmitter, 3/16" shaft TR=0.95; F=5KHz, &lt;7min</v>
      </c>
      <c r="C243" s="40"/>
      <c r="D243" s="40"/>
    </row>
    <row r="244" ht="22.5" customHeight="1">
      <c r="A244" s="38" t="str">
        <f>'Номенклатура'!A244</f>
        <v>575-15903-5</v>
      </c>
      <c r="B244" s="49" t="str">
        <f>'Номенклатура'!B244</f>
        <v>Resolver Size 11, T.R. = .95 FREQ.= 2.5k, ACCUR. = &lt;7</v>
      </c>
      <c r="C244" s="40"/>
      <c r="D244" s="40"/>
    </row>
    <row r="245" ht="22.5" customHeight="1">
      <c r="A245" s="38" t="str">
        <f>'Номенклатура'!A245</f>
        <v>575-15904</v>
      </c>
      <c r="B245" s="49" t="str">
        <f>'Номенклатура'!B245</f>
        <v>Size11, TR= 0.45, f=1000Hz Transmitter, Nuclear Harden</v>
      </c>
      <c r="C245" s="40"/>
      <c r="D245" s="40"/>
    </row>
    <row r="246" ht="22.5" customHeight="1">
      <c r="A246" s="38" t="str">
        <f>'Номенклатура'!A246</f>
        <v>575-15913-700</v>
      </c>
      <c r="B246" s="49" t="str">
        <f>'Номенклатура'!B246</f>
        <v>Resolver Size 11, T.R. = .98 FREQ.= 2500, ACCUR. = &lt;7,</v>
      </c>
      <c r="C246" s="40"/>
      <c r="D246" s="40"/>
    </row>
    <row r="247" ht="22.5" customHeight="1">
      <c r="A247" s="38" t="str">
        <f>'Номенклатура'!A247</f>
        <v>575-90000</v>
      </c>
      <c r="B247" s="49" t="str">
        <f>'Номенклатура'!B247</f>
        <v>For H25-FE TR=0.95,   5KHz</v>
      </c>
      <c r="C247" s="40"/>
      <c r="D247" s="40"/>
    </row>
    <row r="248" ht="22.5" customHeight="1">
      <c r="A248" s="38" t="str">
        <f>'Номенклатура'!A248</f>
        <v>575-90000-2</v>
      </c>
      <c r="B248" s="49" t="str">
        <f>'Номенклатура'!B248</f>
        <v>H25FE WITH 10mm Shaft </v>
      </c>
      <c r="C248" s="40"/>
      <c r="D248" s="40"/>
    </row>
    <row r="249" ht="22.5" customHeight="1">
      <c r="A249" s="38" t="str">
        <f>'Номенклатура'!A249</f>
        <v>575-90000-3</v>
      </c>
      <c r="B249" s="49" t="str">
        <f>'Номенклатура'!B249</f>
        <v>H25FE WITH 1/4" Shaft </v>
      </c>
      <c r="C249" s="40"/>
      <c r="D249" s="40"/>
    </row>
    <row r="250" ht="22.5" customHeight="1">
      <c r="A250" s="38" t="str">
        <f>'Номенклатура'!A250</f>
        <v>575-90000-4</v>
      </c>
      <c r="B250" s="49" t="str">
        <f>'Номенклатура'!B250</f>
        <v>For H25-FE TR=0.95,   5KHz</v>
      </c>
      <c r="C250" s="40"/>
      <c r="D250" s="40"/>
    </row>
    <row r="251" ht="22.5" customHeight="1">
      <c r="A251" s="38" t="str">
        <f>'Номенклатура'!A251</f>
        <v>575-90001</v>
      </c>
      <c r="B251" s="49" t="str">
        <f>'Номенклатура'!B251</f>
        <v>H25F1E Resolver Assembly </v>
      </c>
      <c r="C251" s="40"/>
      <c r="D251" s="40"/>
    </row>
    <row r="252" ht="22.5" customHeight="1">
      <c r="A252" s="38" t="str">
        <f>'Номенклатура'!A252</f>
        <v>575-91001-B</v>
      </c>
      <c r="B252" s="49" t="str">
        <f>'Номенклатура'!B252</f>
        <v>DC25FE, &lt;,= 9 Min. body with stator only</v>
      </c>
      <c r="C252" s="40"/>
      <c r="D252" s="40"/>
    </row>
    <row r="253" ht="22.5" customHeight="1">
      <c r="A253" s="38" t="str">
        <f>'Номенклатура'!A253</f>
        <v>575-91004-0A</v>
      </c>
      <c r="B253" s="49" t="str">
        <f>'Номенклатура'!B253</f>
        <v>DC25FS14 &lt;=9 min. 3/8"shaft with 0.0938" keyway</v>
      </c>
      <c r="C253" s="40"/>
      <c r="D253" s="40"/>
    </row>
    <row r="254" ht="22.5" customHeight="1">
      <c r="A254" s="38" t="str">
        <f>'Номенклатура'!A254</f>
        <v>575-91004-10</v>
      </c>
      <c r="B254" s="49" t="str">
        <f>'Номенклатура'!B254</f>
        <v>DC25FS14, &lt;,= 9 Min. 3/8" shaft, flange tapped</v>
      </c>
      <c r="C254" s="40"/>
      <c r="D254" s="40"/>
    </row>
    <row r="255" ht="22.5" customHeight="1">
      <c r="A255" s="38" t="str">
        <f>'Номенклатура'!A255</f>
        <v>575-91007-2</v>
      </c>
      <c r="B255" s="49" t="str">
        <f>'Номенклатура'!B255</f>
        <v>DC25FS16, &lt;,= 9 MIN. 10mm Shaft, flange</v>
      </c>
      <c r="C255" s="40"/>
      <c r="D255" s="40"/>
    </row>
    <row r="256" ht="22.5" customHeight="1">
      <c r="A256" s="38" t="str">
        <f>'Номенклатура'!A256</f>
        <v>575-91007-6</v>
      </c>
      <c r="B256" s="49" t="str">
        <f>'Номенклатура'!B256</f>
        <v>DC25FS16, &lt;,= 9 Min. 3/8" shaft, w/3 mm Keyway</v>
      </c>
      <c r="C256" s="40"/>
      <c r="D256" s="40"/>
    </row>
    <row r="257" ht="22.5" customHeight="1">
      <c r="A257" s="38" t="str">
        <f>'Номенклатура'!A257</f>
        <v>575-91009-2</v>
      </c>
      <c r="B257" s="49" t="str">
        <f>'Номенклатура'!B257</f>
        <v>DC25FS18, &lt;,= 9 Min. 10mm Shaft, flange</v>
      </c>
      <c r="C257" s="40"/>
      <c r="D257" s="40"/>
    </row>
    <row r="258" ht="22.5" customHeight="1">
      <c r="A258" s="38" t="str">
        <f>'Номенклатура'!A258</f>
        <v>575-91009-3</v>
      </c>
      <c r="B258" s="49" t="str">
        <f>'Номенклатура'!B258</f>
        <v>DC25FS18, &lt;,= 9 Min. 1/4" Shaft, flange</v>
      </c>
      <c r="C258" s="40"/>
      <c r="D258" s="40"/>
    </row>
    <row r="259" ht="22.5" customHeight="1">
      <c r="A259" s="38" t="str">
        <f>'Номенклатура'!A259</f>
        <v>575-91009-8</v>
      </c>
      <c r="B259" s="49" t="str">
        <f>'Номенклатура'!B259</f>
        <v>DC25FS18, &lt;,= 9 Min. 3/8" shaft w/ old ver seal</v>
      </c>
      <c r="C259" s="40"/>
      <c r="D259" s="40"/>
    </row>
    <row r="260" ht="22.5" customHeight="1">
      <c r="A260" s="38" t="str">
        <f>'Номенклатура'!A260</f>
        <v>575-91011</v>
      </c>
      <c r="B260" s="49" t="str">
        <f>'Номенклатура'!B260</f>
        <v>DC25SS14, &lt;,= 9 Min. 3/8" shaft, servo</v>
      </c>
      <c r="C260" s="40"/>
      <c r="D260" s="40"/>
    </row>
    <row r="261" ht="22.5" customHeight="1">
      <c r="A261" s="38" t="str">
        <f>'Номенклатура'!A261</f>
        <v>575-91014</v>
      </c>
      <c r="B261" s="49" t="str">
        <f>'Номенклатура'!B261</f>
        <v>DC25SS16, &lt;,= 9 Min. 3/8" shaft, servo</v>
      </c>
      <c r="C261" s="40"/>
      <c r="D261" s="40"/>
    </row>
    <row r="262" ht="22.5" customHeight="1">
      <c r="A262" s="38" t="str">
        <f>'Номенклатура'!A262</f>
        <v>575-91014-6</v>
      </c>
      <c r="B262" s="49" t="str">
        <f>'Номенклатура'!B262</f>
        <v>DC25SS16,&lt;, =9 Min 3/8" shaft, w/3 mm keyway</v>
      </c>
      <c r="C262" s="40"/>
      <c r="D262" s="40"/>
    </row>
    <row r="263" ht="22.5" customHeight="1">
      <c r="A263" s="38" t="str">
        <f>'Номенклатура'!A263</f>
        <v>575-91016</v>
      </c>
      <c r="B263" s="49" t="str">
        <f>'Номенклатура'!B263</f>
        <v>DC25SS18, &lt;, = 9 Min. 3/8" shaft, servo</v>
      </c>
      <c r="C263" s="40"/>
      <c r="D263" s="40"/>
    </row>
    <row r="264" ht="22.5" customHeight="1">
      <c r="A264" s="38" t="str">
        <f>'Номенклатура'!A264</f>
        <v>575-91016-3</v>
      </c>
      <c r="B264" s="49" t="str">
        <f>'Номенклатура'!B264</f>
        <v>DC25SS18-3, &lt;,= 9 Min. 1/4" Shaft. servo</v>
      </c>
      <c r="C264" s="40"/>
      <c r="D264" s="40"/>
    </row>
    <row r="265" ht="22.5" customHeight="1">
      <c r="A265" s="38" t="str">
        <f>'Номенклатура'!A265</f>
        <v>575-91018</v>
      </c>
      <c r="B265" s="49" t="str">
        <f>'Номенклатура'!B265</f>
        <v>DC25SE, &lt;,= 9 Min. 3/8" shaft, servo</v>
      </c>
      <c r="C265" s="40"/>
      <c r="D265" s="40"/>
    </row>
    <row r="266" ht="22.5" customHeight="1">
      <c r="A266" s="38" t="str">
        <f>'Номенклатура'!A266</f>
        <v>575-91018-6</v>
      </c>
      <c r="B266" s="49" t="str">
        <f>'Номенклатура'!B266</f>
        <v>DC25SE, &lt;,= 9 Min. 3/8" shaft w/3 mm keyway</v>
      </c>
      <c r="C266" s="40">
        <v>45.0</v>
      </c>
      <c r="D266" s="40" t="s">
        <v>12</v>
      </c>
    </row>
    <row r="267" ht="22.5" customHeight="1">
      <c r="A267" s="38" t="str">
        <f>'Номенклатура'!A267</f>
        <v>575-91019</v>
      </c>
      <c r="B267" s="49" t="str">
        <f>'Номенклатура'!B267</f>
        <v>H25N-SE, 10mm shaft, 9 Min. Viton seal, TR=95, 5KHz</v>
      </c>
      <c r="C267" s="40"/>
      <c r="D267" s="40"/>
    </row>
    <row r="268" ht="22.5" customHeight="1">
      <c r="A268" s="38" t="str">
        <f>'Номенклатура'!A268</f>
        <v>575-91024</v>
      </c>
      <c r="B268" s="49" t="str">
        <f>'Номенклатура'!B268</f>
        <v>H25-FS(14) - Transmitter .45 TR/ 1000 Hz,side conn.14</v>
      </c>
      <c r="C268" s="40"/>
      <c r="D268" s="40"/>
    </row>
    <row r="269" ht="22.5" customHeight="1">
      <c r="A269" s="38" t="str">
        <f>'Номенклатура'!A269</f>
        <v>575-91025</v>
      </c>
      <c r="B269" s="49" t="str">
        <f>'Номенклатура'!B269</f>
        <v>H25-FS(18) .45 TR/ 1000 Hz</v>
      </c>
      <c r="C269" s="40"/>
      <c r="D269" s="40"/>
    </row>
    <row r="270" ht="22.5" customHeight="1">
      <c r="A270" s="38" t="str">
        <f>'Номенклатура'!A270</f>
        <v>575-91026</v>
      </c>
      <c r="B270" s="49" t="str">
        <f>'Номенклатура'!B270</f>
        <v>H25-FS(14) Ctrl. Xformer .50 TR/ 2500 Hz</v>
      </c>
      <c r="C270" s="40"/>
      <c r="D270" s="40"/>
    </row>
    <row r="271" ht="22.5" customHeight="1">
      <c r="A271" s="38" t="str">
        <f>'Номенклатура'!A271</f>
        <v>575-91027</v>
      </c>
      <c r="B271" s="49" t="str">
        <f>'Номенклатура'!B271</f>
        <v>H25-FS(18) Ctrl. Xformer .50 TR/ 2500 Hz size18 conn</v>
      </c>
      <c r="C271" s="40"/>
      <c r="D271" s="40"/>
    </row>
    <row r="272" ht="22.5" customHeight="1">
      <c r="A272" s="38" t="str">
        <f>'Номенклатура'!A272</f>
        <v>575-91028</v>
      </c>
      <c r="B272" s="49" t="str">
        <f>'Номенклатура'!B272</f>
        <v>DC25-FE .45 TR/ 1000 Hz</v>
      </c>
      <c r="C272" s="40"/>
      <c r="D272" s="40"/>
    </row>
    <row r="273" ht="22.5" customHeight="1">
      <c r="A273" s="38" t="str">
        <f>'Номенклатура'!A273</f>
        <v>575-91030</v>
      </c>
      <c r="B273" s="49" t="str">
        <f>'Номенклатура'!B273</f>
        <v>H25-FS(18) &lt;= 9 min. with old version shaft seal</v>
      </c>
      <c r="C273" s="40"/>
      <c r="D273" s="40"/>
    </row>
    <row r="274" ht="22.5" customHeight="1">
      <c r="A274" s="38" t="str">
        <f>'Номенклатура'!A274</f>
        <v>575-91031</v>
      </c>
      <c r="B274" s="49" t="str">
        <f>'Номенклатура'!B274</f>
        <v>DC25-FE 1.40 TR/2250 Hz</v>
      </c>
      <c r="C274" s="40"/>
      <c r="D274" s="40"/>
    </row>
    <row r="275" ht="22.5" customHeight="1">
      <c r="A275" s="38" t="str">
        <f>'Номенклатура'!A275</f>
        <v>575-91032</v>
      </c>
      <c r="B275" s="49" t="str">
        <f>'Номенклатура'!B275</f>
        <v>H25-FS Transmitter TR=1.0 / 1000Hz, Side conn.</v>
      </c>
      <c r="C275" s="40"/>
      <c r="D275" s="40"/>
    </row>
    <row r="276" ht="22.5" customHeight="1">
      <c r="A276" s="38" t="str">
        <f>'Номенклатура'!A276</f>
        <v>575-91033</v>
      </c>
      <c r="B276" s="49" t="str">
        <f>'Номенклатура'!B276</f>
        <v>H25-FS Transmitter TR=0.45;1000Hz, Side conn.</v>
      </c>
      <c r="C276" s="40"/>
      <c r="D276" s="40"/>
    </row>
    <row r="277" ht="22.5" customHeight="1">
      <c r="A277" s="38" t="str">
        <f>'Номенклатура'!A277</f>
        <v>575-91034</v>
      </c>
      <c r="B277" s="49" t="str">
        <f>'Номенклатура'!B277</f>
        <v>H25-F1E(16) Transmitter TR=0.95; f=5KHz; end conn.</v>
      </c>
      <c r="C277" s="40"/>
      <c r="D277" s="40"/>
    </row>
    <row r="278" ht="22.5" customHeight="1">
      <c r="A278" s="38" t="str">
        <f>'Номенклатура'!A278</f>
        <v>575-91035</v>
      </c>
      <c r="B278" s="49" t="str">
        <f>'Номенклатура'!B278</f>
        <v>H25-F1S(16) Transmitter TR=0.95; F=5KHz; side conn.</v>
      </c>
      <c r="C278" s="40"/>
      <c r="D278" s="40"/>
    </row>
    <row r="279" ht="22.5" customHeight="1">
      <c r="A279" s="38" t="str">
        <f>'Номенклатура'!A279</f>
        <v>575-91036</v>
      </c>
      <c r="B279" s="49" t="str">
        <f>'Номенклатура'!B279</f>
        <v>H25-M1E(16) Transmitter TR=0.95; f=5KHz; end conn.</v>
      </c>
      <c r="C279" s="40"/>
      <c r="D279" s="40"/>
    </row>
    <row r="280" ht="22.5" customHeight="1">
      <c r="A280" s="38" t="str">
        <f>'Номенклатура'!A280</f>
        <v>575-91037</v>
      </c>
      <c r="B280" s="49" t="str">
        <f>'Номенклатура'!B280</f>
        <v>Resolver for H25-M1S(16) TR=0.95; f=5KHz; side conn.</v>
      </c>
      <c r="C280" s="40"/>
      <c r="D280" s="40"/>
    </row>
    <row r="281" ht="22.5" customHeight="1">
      <c r="A281" s="38" t="str">
        <f>'Номенклатура'!A281</f>
        <v>575-91040</v>
      </c>
      <c r="B281" s="49" t="str">
        <f>'Номенклатура'!B281</f>
        <v>H25 resolver flange mount, .95 TR @ 5000Hz side18 conn</v>
      </c>
      <c r="C281" s="40"/>
      <c r="D281" s="40"/>
    </row>
    <row r="282" ht="22.5" customHeight="1">
      <c r="A282" s="38" t="str">
        <f>'Номенклатура'!A282</f>
        <v>575-91047</v>
      </c>
      <c r="B282" s="49" t="str">
        <f>'Номенклатура'!B282</f>
        <v>H25-SS(14) Ctrl Xformer TR=0.50 2500 Hz Size14 conn</v>
      </c>
      <c r="C282" s="40"/>
      <c r="D282" s="40"/>
    </row>
    <row r="283" ht="22.5" customHeight="1">
      <c r="A283" s="38" t="str">
        <f>'Номенклатура'!A283</f>
        <v>575-91053</v>
      </c>
      <c r="B283" s="49" t="str">
        <f>'Номенклатура'!B283</f>
        <v>H25 resolver servo mount, 0.95TR @ 5000HZ, side18 conn</v>
      </c>
      <c r="C283" s="40"/>
      <c r="D283" s="40"/>
    </row>
    <row r="284" ht="22.5" customHeight="1">
      <c r="A284" s="38" t="str">
        <f>'Номенклатура'!A284</f>
        <v>575-91054-R6</v>
      </c>
      <c r="B284" s="49" t="str">
        <f>'Номенклатура'!B284</f>
        <v>H25-FS(16) WITH AUX. NOSE TR=0.5; 5 KHz; 4.0Vms</v>
      </c>
      <c r="C284" s="40"/>
      <c r="D284" s="40"/>
    </row>
    <row r="285" ht="22.5" customHeight="1">
      <c r="A285" s="38" t="str">
        <f>'Номенклатура'!A285</f>
        <v>575-92000-2</v>
      </c>
      <c r="B285" s="49" t="str">
        <f>'Номенклатура'!B285</f>
        <v>DC25FS, Multiturn Body 10mm shaft, flange</v>
      </c>
      <c r="C285" s="40"/>
      <c r="D285" s="40"/>
    </row>
    <row r="286" ht="22.5" customHeight="1">
      <c r="A286" s="38" t="str">
        <f>'Номенклатура'!A286</f>
        <v>575-92000-3</v>
      </c>
      <c r="B286" s="49" t="str">
        <f>'Номенклатура'!B286</f>
        <v>DC25FS, Multiturn Body 1/4" shaft, flange</v>
      </c>
      <c r="C286" s="40"/>
      <c r="D286" s="40"/>
    </row>
    <row r="287" ht="22.5" customHeight="1">
      <c r="A287" s="38" t="str">
        <f>'Номенклатура'!A287</f>
        <v>575-92000-5</v>
      </c>
      <c r="B287" s="49" t="str">
        <f>'Номенклатура'!B287</f>
        <v>DC25FS, Multiturn Body 5/8" shaft, flange</v>
      </c>
      <c r="C287" s="40">
        <v>91.0</v>
      </c>
      <c r="D287" s="40" t="s">
        <v>7</v>
      </c>
    </row>
    <row r="288" ht="22.5" customHeight="1">
      <c r="A288" s="38" t="str">
        <f>'Номенклатура'!A288</f>
        <v>575-92001</v>
      </c>
      <c r="B288" s="49" t="str">
        <f>'Номенклатура'!B288</f>
        <v>DC25SE, Multiturn Body 3/8" shaft, servo</v>
      </c>
      <c r="C288" s="40"/>
      <c r="D288" s="40"/>
    </row>
    <row r="289" ht="22.5" customHeight="1">
      <c r="A289" s="38" t="str">
        <f>'Номенклатура'!A289</f>
        <v>575-92002-2</v>
      </c>
      <c r="B289" s="49" t="str">
        <f>'Номенклатура'!B289</f>
        <v>DC25FE, Multiturn Body 10mm shaft, flange</v>
      </c>
      <c r="C289" s="40"/>
      <c r="D289" s="40"/>
    </row>
    <row r="290" ht="22.5" customHeight="1">
      <c r="A290" s="38" t="str">
        <f>'Номенклатура'!A290</f>
        <v>575-92002-3</v>
      </c>
      <c r="B290" s="49" t="str">
        <f>'Номенклатура'!B290</f>
        <v>DC25FE, Multiturn Body 1/4" shaft, end conn.</v>
      </c>
      <c r="C290" s="40"/>
      <c r="D290" s="40"/>
    </row>
    <row r="291" ht="22.5" customHeight="1">
      <c r="A291" s="38" t="str">
        <f>'Номенклатура'!A291</f>
        <v>575-92003-2</v>
      </c>
      <c r="B291" s="49" t="str">
        <f>'Номенклатура'!B291</f>
        <v>DC25FS, Singleturn Body 10mm shaft, flange, SSI Dura</v>
      </c>
      <c r="C291" s="40"/>
      <c r="D291" s="40"/>
    </row>
    <row r="292" ht="22.5" customHeight="1">
      <c r="A292" s="38" t="str">
        <f>'Номенклатура'!A292</f>
        <v>575-92004-1</v>
      </c>
      <c r="B292" s="49" t="str">
        <f>'Номенклатура'!B292</f>
        <v>DC25FS, Multiturn Body 5/8" shaft, flange SSI Dura</v>
      </c>
      <c r="C292" s="40"/>
      <c r="D292" s="40"/>
    </row>
    <row r="293" ht="22.5" customHeight="1">
      <c r="A293" s="38" t="str">
        <f>'Номенклатура'!A293</f>
        <v>575-92005</v>
      </c>
      <c r="B293" s="49" t="str">
        <f>'Номенклатура'!B293</f>
        <v>DC25FE, Multiturn Body, 3/8" shaft, MS-18 end conn</v>
      </c>
      <c r="C293" s="40"/>
      <c r="D293" s="40"/>
    </row>
    <row r="294" ht="22.5" customHeight="1">
      <c r="A294" s="38" t="str">
        <f>'Номенклатура'!A294</f>
        <v>575-92006-2</v>
      </c>
      <c r="B294" s="49" t="str">
        <f>'Номенклатура'!B294</f>
        <v>DC25FE, &lt;,= 9 Min. 3/4" shaft, flange, end conn</v>
      </c>
      <c r="C294" s="40"/>
      <c r="D294" s="40"/>
    </row>
    <row r="295" ht="22.5" customHeight="1">
      <c r="A295" s="38" t="str">
        <f>'Номенклатура'!A295</f>
        <v>575-92007</v>
      </c>
      <c r="B295" s="49" t="str">
        <f>'Номенклатура'!B295</f>
        <v>DC25FS14, &lt;=9min 5/8" shaft, flange</v>
      </c>
      <c r="C295" s="40"/>
      <c r="D295" s="40"/>
    </row>
    <row r="296" ht="22.5" customHeight="1">
      <c r="A296" s="38" t="str">
        <f>'Номенклатура'!A296</f>
        <v>575-92014</v>
      </c>
      <c r="B296" s="49" t="str">
        <f>'Номенклатура'!B296</f>
        <v>DC25FE, Multiturn 3/8" shaft Uses old H2O seal and flange</v>
      </c>
      <c r="C296" s="40">
        <v>20.0</v>
      </c>
      <c r="D296" s="40" t="s">
        <v>7</v>
      </c>
    </row>
    <row r="297" ht="22.5" customHeight="1">
      <c r="A297" s="38" t="str">
        <f>'Номенклатура'!A297</f>
        <v>575-92016</v>
      </c>
      <c r="B297" s="49" t="str">
        <f>'Номенклатура'!B297</f>
        <v>DC25FS18, &lt;= 9 Min. 5/8" shaft 2 speed</v>
      </c>
      <c r="C297" s="40">
        <v>20.0</v>
      </c>
      <c r="D297" s="40" t="s">
        <v>7</v>
      </c>
    </row>
    <row r="298" ht="22.5" customHeight="1">
      <c r="A298" s="38" t="str">
        <f>'Номенклатура'!A298</f>
        <v>575-95006</v>
      </c>
      <c r="B298" s="49" t="str">
        <f>'Номенклатура'!B298</f>
        <v>High Temp. Stator Assembly For 150 degC Resolvers</v>
      </c>
      <c r="C298" s="40">
        <v>20.0</v>
      </c>
      <c r="D298" s="40" t="s">
        <v>7</v>
      </c>
    </row>
    <row r="299" ht="22.5" customHeight="1">
      <c r="A299" s="38" t="str">
        <f>'Номенклатура'!A299</f>
        <v>575-95007</v>
      </c>
      <c r="B299" s="49" t="str">
        <f>'Номенклатура'!B299</f>
        <v>High temp Transf. Assembly For 150 degC Resolvers</v>
      </c>
      <c r="C299" s="40">
        <v>20.0</v>
      </c>
      <c r="D299" s="40" t="s">
        <v>7</v>
      </c>
    </row>
    <row r="300" ht="22.5" customHeight="1">
      <c r="A300" s="38" t="str">
        <f>'Номенклатура'!A300</f>
        <v>575-95008</v>
      </c>
      <c r="B300" s="49" t="str">
        <f>'Номенклатура'!B300</f>
        <v>Size25 Stator Assembly 4-speed</v>
      </c>
      <c r="C300" s="40"/>
      <c r="D300" s="40"/>
    </row>
    <row r="301" ht="22.5" customHeight="1">
      <c r="A301" s="38" t="str">
        <f>'Номенклатура'!A301</f>
        <v>575-95009</v>
      </c>
      <c r="B301" s="49" t="str">
        <f>'Номенклатура'!B301</f>
        <v>Transformer Assembly 4-speed for HT-20C/H25/HTE25</v>
      </c>
      <c r="C301" s="40"/>
      <c r="D301" s="40"/>
    </row>
    <row r="302" ht="22.5" customHeight="1">
      <c r="A302" s="38" t="str">
        <f>'Номенклатура'!A302</f>
        <v>575-95010</v>
      </c>
      <c r="B302" s="49" t="str">
        <f>'Номенклатура'!B302</f>
        <v>Resolver Stator Assembly 1-speed; nuclear hardened</v>
      </c>
      <c r="C302" s="40"/>
      <c r="D302" s="40"/>
    </row>
    <row r="303" ht="22.5" customHeight="1">
      <c r="A303" s="38" t="str">
        <f>'Номенклатура'!A303</f>
        <v>575-95011</v>
      </c>
      <c r="B303" s="49" t="str">
        <f>'Номенклатура'!B303</f>
        <v>Transformer Assembly for HT25 with TR=0.5; 1speed</v>
      </c>
      <c r="C303" s="40"/>
      <c r="D303" s="40"/>
    </row>
    <row r="304" ht="22.5" customHeight="1">
      <c r="A304" s="38" t="str">
        <f>'Номенклатура'!A304</f>
        <v>DC25-2FE-2</v>
      </c>
      <c r="B304" s="49" t="str">
        <f>'Номенклатура'!B304</f>
        <v>DC25 Housing, 2 Speed, End Conn, 10mm Shaft</v>
      </c>
      <c r="C304" s="40"/>
      <c r="D304" s="40"/>
    </row>
    <row r="305" ht="22.5" customHeight="1">
      <c r="A305" s="38" t="str">
        <f>'Номенклатура'!A305</f>
        <v>DC25-2FS(16)</v>
      </c>
      <c r="B305" s="49" t="str">
        <f>'Номенклатура'!B305</f>
        <v>DC25 Housing 2 Speed Flange Mnt., Side Connector</v>
      </c>
      <c r="C305" s="40"/>
      <c r="D305" s="40"/>
    </row>
    <row r="306" ht="22.5" customHeight="1">
      <c r="A306" s="38" t="str">
        <f>'Номенклатура'!A306</f>
        <v>DC25-2FS(18)</v>
      </c>
      <c r="B306" s="49" t="str">
        <f>'Номенклатура'!B306</f>
        <v>DC25 Housing, 2 Speed Flange Mnt. Side Connect</v>
      </c>
      <c r="C306" s="40"/>
      <c r="D306" s="40"/>
    </row>
    <row r="307" ht="22.5" customHeight="1">
      <c r="A307" s="38" t="str">
        <f>'Номенклатура'!A307</f>
        <v>DC25-2FS(18)-2</v>
      </c>
      <c r="B307" s="49" t="str">
        <f>'Номенклатура'!B307</f>
        <v>DC25 Housing, 2 Speed Flange Mnt. Side Connect</v>
      </c>
      <c r="C307" s="40"/>
      <c r="D307" s="40"/>
    </row>
    <row r="308" ht="22.5" customHeight="1">
      <c r="A308" s="38" t="str">
        <f>'Номенклатура'!A308</f>
        <v>DC25-2FS16-2</v>
      </c>
      <c r="B308" s="49" t="str">
        <f>'Номенклатура'!B308</f>
        <v>DC-25 Housing, 2 Speed Side Conn., 10mm Shaft</v>
      </c>
      <c r="C308" s="40"/>
      <c r="D308" s="40"/>
    </row>
    <row r="309" ht="22.5" customHeight="1">
      <c r="A309" s="38" t="str">
        <f>'Номенклатура'!A309</f>
        <v>DC25-4FE</v>
      </c>
      <c r="B309" s="49" t="str">
        <f>'Номенклатура'!B309</f>
        <v>DC25 Housing, 4 Sp., End Con 3/8" Shaft</v>
      </c>
      <c r="C309" s="40"/>
      <c r="D309" s="40"/>
    </row>
    <row r="310" ht="22.5" customHeight="1">
      <c r="A310" s="38" t="str">
        <f>'Номенклатура'!A310</f>
        <v>DC25-4FS(16)-2</v>
      </c>
      <c r="B310" s="49" t="str">
        <f>'Номенклатура'!B310</f>
        <v>DC25 Housing,4 Speed,Size 16 Conn, 10mm Shaft</v>
      </c>
      <c r="C310" s="40"/>
      <c r="D310" s="40"/>
    </row>
    <row r="311" ht="22.5" customHeight="1">
      <c r="A311" s="38" t="str">
        <f>'Номенклатура'!A311</f>
        <v>DC25-4FS(18)-14</v>
      </c>
      <c r="B311" s="49" t="str">
        <f>'Номенклатура'!B311</f>
        <v>DC25 Housing, 4 Sd., Side Conn. 3/8" Shaft</v>
      </c>
      <c r="C311" s="40"/>
      <c r="D311" s="40"/>
    </row>
    <row r="312" ht="22.5" customHeight="1">
      <c r="A312" s="38" t="str">
        <f>'Номенклатура'!A312</f>
        <v>DC25-4SE</v>
      </c>
      <c r="B312" s="49" t="str">
        <f>'Номенклатура'!B312</f>
        <v>DC25 Housing, 4 Sp., End Con 3/8" Shaft, Servo Mount</v>
      </c>
      <c r="C312" s="40"/>
      <c r="D312" s="40"/>
    </row>
    <row r="313" ht="22.5" customHeight="1">
      <c r="A313" s="38" t="str">
        <f>'Номенклатура'!A313</f>
        <v>DC25-4SS(18)</v>
      </c>
      <c r="B313" s="49" t="str">
        <f>'Номенклатура'!B313</f>
        <v>DC25 Housing, 4 Sp., side Co 3/8" Shaft, Servo Mount</v>
      </c>
      <c r="C313" s="40"/>
      <c r="D313" s="40"/>
    </row>
    <row r="314" ht="22.5" customHeight="1">
      <c r="A314" s="38" t="str">
        <f>'Номенклатура'!A314</f>
        <v>DC25SS14-3</v>
      </c>
      <c r="B314" s="49" t="str">
        <f>'Номенклатура'!B314</f>
        <v>DC 25 Servo Mnt. Side Conn Size 14 With .25" Shaft</v>
      </c>
      <c r="C314" s="40"/>
      <c r="D314" s="40"/>
    </row>
    <row r="315" ht="22.5" customHeight="1">
      <c r="A315" s="38" t="str">
        <f>'Номенклатура'!A315</f>
        <v>H25-FE-03</v>
      </c>
      <c r="B315" s="49" t="str">
        <f>'Номенклатура'!B315</f>
        <v>Transducer 1 Turn Flange Mnt End Conn With 1/4" Shaft</v>
      </c>
      <c r="C315" s="40"/>
      <c r="D315" s="40"/>
    </row>
    <row r="316" ht="22.5" customHeight="1">
      <c r="A316" s="38" t="str">
        <f>'Номенклатура'!A316</f>
        <v>H25-FE-05</v>
      </c>
      <c r="B316" s="49" t="str">
        <f>'Номенклатура'!B316</f>
        <v>H25 Flange mnt, End connect 5/8" Shaft, Nitrile seal</v>
      </c>
      <c r="C316" s="40"/>
      <c r="D316" s="40"/>
    </row>
    <row r="317" ht="22.5" customHeight="1">
      <c r="A317" s="38" t="str">
        <f>'Номенклатура'!A317</f>
        <v>H25-FS-03</v>
      </c>
      <c r="B317" s="49" t="str">
        <f>'Номенклатура'!B317</f>
        <v>Size 25 resolver, 1/4" shaft flange mount, side connector</v>
      </c>
      <c r="C317" s="40"/>
      <c r="D317" s="40"/>
    </row>
    <row r="318" ht="22.5" customHeight="1">
      <c r="A318" s="38" t="str">
        <f>'Номенклатура'!A318</f>
        <v>H25-FS-R2G</v>
      </c>
      <c r="B318" s="49" t="str">
        <f>'Номенклатура'!B318</f>
        <v>Size 25 Resolver, Flange Mt Side Connector, .45 TR,</v>
      </c>
      <c r="C318" s="40"/>
      <c r="D318" s="40"/>
    </row>
    <row r="319" ht="22.5" customHeight="1">
      <c r="A319" s="38" t="str">
        <f>'Номенклатура'!A319</f>
        <v>H25-FS-R2N</v>
      </c>
      <c r="B319" s="49" t="str">
        <f>'Номенклатура'!B319</f>
        <v>Size 25 Resolver, Flange Mt Side Connector, .45 TR,</v>
      </c>
      <c r="C319" s="40">
        <v>91.0</v>
      </c>
      <c r="D319" s="40" t="s">
        <v>12</v>
      </c>
    </row>
    <row r="320" ht="22.5" customHeight="1">
      <c r="A320" s="38" t="str">
        <f>'Номенклатура'!A320</f>
        <v>H25-FS-R2C</v>
      </c>
      <c r="B320" s="49" t="str">
        <f>'Номенклатура'!B320</f>
        <v/>
      </c>
      <c r="C320" s="40"/>
      <c r="D320" s="40"/>
    </row>
    <row r="321" ht="22.5" customHeight="1">
      <c r="A321" s="38" t="str">
        <f>'Номенклатура'!A321</f>
        <v>H25-FS-R5B</v>
      </c>
      <c r="B321" s="49" t="str">
        <f>'Номенклатура'!B321</f>
        <v>H25 Resolver, Flange Mnt., 1.0 TR@1000Hz, side Conn.</v>
      </c>
      <c r="C321" s="40">
        <v>91.0</v>
      </c>
      <c r="D321" s="40" t="s">
        <v>12</v>
      </c>
    </row>
    <row r="322" ht="22.5" customHeight="1">
      <c r="A322" s="38" t="str">
        <f>'Номенклатура'!A322</f>
        <v>H25-SE-03</v>
      </c>
      <c r="B322" s="49" t="str">
        <f>'Номенклатура'!B322</f>
        <v>Transducer 1 Turn Servo Mnt 1/4" shaft</v>
      </c>
      <c r="C322" s="40"/>
      <c r="D322" s="40"/>
    </row>
    <row r="323" ht="22.5" customHeight="1">
      <c r="A323" s="38" t="str">
        <f>'Номенклатура'!A323</f>
        <v>H25-SE-06</v>
      </c>
      <c r="B323" s="49" t="str">
        <f>'Номенклатура'!B323</f>
        <v>Size 25 resolver, 3/8 shaft W/ 3mm key</v>
      </c>
      <c r="C323" s="40"/>
      <c r="D323" s="40"/>
    </row>
    <row r="324" ht="22.5" customHeight="1">
      <c r="A324" s="38" t="str">
        <f>'Номенклатура'!A324</f>
        <v>H25N-SE-10</v>
      </c>
      <c r="B324" s="49" t="str">
        <f>'Номенклатура'!B324</f>
        <v>Transducer 1 Turn Servo Mnt 10mm Shaft, TR=0.95, 5KHz</v>
      </c>
      <c r="C324" s="40"/>
      <c r="D324" s="40"/>
    </row>
    <row r="325" ht="22.5" customHeight="1">
      <c r="A325" s="38" t="str">
        <f>'Номенклатура'!A325</f>
        <v>H25V-FS</v>
      </c>
      <c r="B325" s="49" t="str">
        <f>'Номенклатура'!B325</f>
        <v>Size 25 resolver, 3/8 shaft, Flange mount, side connector</v>
      </c>
      <c r="C325" s="40">
        <v>20.0</v>
      </c>
      <c r="D325" s="40" t="s">
        <v>32</v>
      </c>
    </row>
    <row r="326" ht="22.5" customHeight="1">
      <c r="A326" s="47" t="str">
        <f>'Номенклатура'!A326</f>
        <v>RM-1</v>
      </c>
      <c r="B326" s="49" t="str">
        <f>'Номенклатура'!B326</f>
        <v>Reference Module - C&amp;A </v>
      </c>
      <c r="C326" s="40"/>
      <c r="D326" s="40"/>
    </row>
    <row r="327" ht="22.5" customHeight="1">
      <c r="A327" s="47" t="str">
        <f>'Номенклатура'!A327</f>
        <v>RM-3</v>
      </c>
      <c r="B327" s="49" t="str">
        <f>'Номенклатура'!B327</f>
        <v>Reference Module Autotech/Gemco compatable</v>
      </c>
      <c r="C327" s="40">
        <v>20.0</v>
      </c>
      <c r="D327" s="40" t="s">
        <v>32</v>
      </c>
    </row>
    <row r="328" ht="22.5" customHeight="1">
      <c r="A328" s="47" t="str">
        <f>'Номенклатура'!A328</f>
        <v>RM-4</v>
      </c>
      <c r="B328" s="49" t="str">
        <f>'Номенклатура'!B328</f>
        <v>Reference Module - Reliance </v>
      </c>
      <c r="C328" s="40">
        <v>10.0</v>
      </c>
      <c r="D328" s="40" t="s">
        <v>7</v>
      </c>
    </row>
    <row r="329" ht="22.5" customHeight="1">
      <c r="A329" s="38">
        <f>'Номенклатура'!A329</f>
        <v>10</v>
      </c>
      <c r="B329" s="49" t="str">
        <f>'Номенклатура'!B329</f>
        <v/>
      </c>
      <c r="C329" s="40"/>
      <c r="D329" s="40"/>
    </row>
    <row r="330" ht="22.5" customHeight="1">
      <c r="A330" s="47">
        <f>'Номенклатура'!A330</f>
        <v>211447000</v>
      </c>
      <c r="B330" s="49" t="str">
        <f>'Номенклатура'!B330</f>
        <v>Absolute Rear Cover w/LED for new Absolute</v>
      </c>
      <c r="C330" s="40">
        <v>10.0</v>
      </c>
      <c r="D330" s="40" t="s">
        <v>7</v>
      </c>
    </row>
    <row r="331" ht="22.5" customHeight="1">
      <c r="A331" s="47">
        <f>'Номенклатура'!A331</f>
        <v>211455000</v>
      </c>
      <c r="B331" s="49" t="str">
        <f>'Номенклатура'!B331</f>
        <v>Rear Cover R11 w/Cord Grip and 10-32 tap for Purge Port</v>
      </c>
      <c r="C331" s="40"/>
      <c r="D331" s="40"/>
    </row>
    <row r="332" ht="22.5" customHeight="1">
      <c r="A332" s="47">
        <f>'Номенклатура'!A332</f>
        <v>211424000</v>
      </c>
      <c r="B332" s="49" t="str">
        <f>'Номенклатура'!B332</f>
        <v>1/2" Hub Rotor Singleturn New collar-style shaft</v>
      </c>
      <c r="C332" s="40">
        <v>10.0</v>
      </c>
      <c r="D332" s="40" t="s">
        <v>7</v>
      </c>
    </row>
    <row r="333" ht="22.5" customHeight="1">
      <c r="A333" s="47" t="str">
        <f>'Номенклатура'!A333</f>
        <v>575-15900-721-01</v>
      </c>
      <c r="B333" s="49" t="str">
        <f>'Номенклатура'!B333</f>
        <v>Size11, Xmitter, 3/16" shaft TR=0.50; F=10KHz, &lt;7min Nuclear hardened; w/ seal</v>
      </c>
      <c r="C333" s="40">
        <v>20.0</v>
      </c>
      <c r="D333" s="40" t="s">
        <v>7</v>
      </c>
    </row>
    <row r="334" ht="22.5" customHeight="1">
      <c r="A334" s="47" t="str">
        <f>'Номенклатура'!A334</f>
        <v>22133200B</v>
      </c>
      <c r="B334" s="49" t="str">
        <f>'Номенклатура'!B334</f>
        <v>DC25 Flange For H20 Seal used in 575-92014</v>
      </c>
      <c r="C334" s="40"/>
      <c r="D334" s="40"/>
    </row>
    <row r="335" ht="22.5" customHeight="1">
      <c r="A335" s="47">
        <f>'Номенклатура'!A335</f>
        <v>211404000</v>
      </c>
      <c r="B335" s="49" t="str">
        <f>'Номенклатура'!B335</f>
        <v>NR60 ENCODER 10MM MULTITURN SHAFT W/ FLAT</v>
      </c>
      <c r="C335" s="40">
        <v>10.0</v>
      </c>
      <c r="D335" s="40" t="s">
        <v>7</v>
      </c>
    </row>
    <row r="336" ht="22.5" customHeight="1">
      <c r="A336" s="47" t="str">
        <f>'Номенклатура'!A336</f>
        <v>575-60003</v>
      </c>
      <c r="B336" s="49" t="str">
        <f>'Номенклатура'!B336</f>
        <v>NR60 MULTITURN BODY 10MM SHAFT NITR. SEAL 58MM SERVO END CONN</v>
      </c>
      <c r="C336" s="40">
        <v>20.0</v>
      </c>
      <c r="D336" s="40" t="s">
        <v>7</v>
      </c>
    </row>
    <row r="337" ht="22.5" customHeight="1">
      <c r="A337" s="47" t="str">
        <f>'Номенклатура'!A337</f>
        <v>21134801A</v>
      </c>
      <c r="B337" s="49" t="str">
        <f>'Номенклатура'!B337</f>
        <v>Multiturn Brass Standoff for stainless steel body.4-40 thread on bottom</v>
      </c>
      <c r="C337" s="40">
        <v>10.0</v>
      </c>
      <c r="D337" s="40" t="s">
        <v>7</v>
      </c>
    </row>
    <row r="338" ht="22.5" customHeight="1">
      <c r="A338" s="38" t="str">
        <f>'Номенклатура'!A338</f>
        <v> 575-95002</v>
      </c>
      <c r="B338" s="49" t="str">
        <f>'Номенклатура'!B338</f>
        <v>Transformer Assembly for HT-20C/H25/HTE/DC25/NR25</v>
      </c>
      <c r="C338" s="40">
        <v>20.0</v>
      </c>
      <c r="D338" s="40" t="s">
        <v>7</v>
      </c>
    </row>
    <row r="339" ht="22.5" customHeight="1">
      <c r="A339" s="38" t="str">
        <f>'Номенклатура'!A339</f>
        <v> 575-95003</v>
      </c>
      <c r="B339" s="49" t="str">
        <f>'Номенклатура'!B339</f>
        <v>Size25 Transformer Shell Part 1 with slot for wires Machined Powder metal</v>
      </c>
      <c r="C339" s="40">
        <v>20.0</v>
      </c>
      <c r="D339" s="40" t="s">
        <v>7</v>
      </c>
    </row>
    <row r="340" ht="22.5" customHeight="1">
      <c r="A340" s="38" t="str">
        <f>'Номенклатура'!A340</f>
        <v>575-95004</v>
      </c>
      <c r="B340" s="49" t="str">
        <f>'Номенклатура'!B340</f>
        <v>Size25 Transformer Shell Part 2 Machined Powder metal</v>
      </c>
      <c r="C340" s="40"/>
      <c r="D340" s="40"/>
    </row>
    <row r="341" ht="22.5" customHeight="1">
      <c r="A341" s="47" t="str">
        <f>'Номенклатура'!A341</f>
        <v>575-95005</v>
      </c>
      <c r="B341" s="49" t="str">
        <f>'Номенклатура'!B341</f>
        <v>H25-FE-R3HC-11 Rotor Assembly Ref # 211323000 flat on shaft For 150 degC Resolver</v>
      </c>
      <c r="C341" s="40">
        <v>20.0</v>
      </c>
      <c r="D341" s="40" t="s">
        <v>7</v>
      </c>
    </row>
    <row r="342" ht="22.5" customHeight="1">
      <c r="A342" s="47" t="str">
        <f>'Номенклатура'!A342</f>
        <v>21134202D</v>
      </c>
      <c r="B342" s="49" t="str">
        <f>'Номенклатура'!B342</f>
        <v/>
      </c>
      <c r="C342" s="40"/>
      <c r="D342" s="40"/>
    </row>
    <row r="343" ht="22.5" customHeight="1">
      <c r="A343" s="47" t="str">
        <f>'Номенклатура'!A343</f>
        <v>21139000A</v>
      </c>
      <c r="B343" s="49" t="str">
        <f>'Номенклатура'!B343</f>
        <v>NR60 Encoder Rear Cover- End. Conn.</v>
      </c>
      <c r="C343" s="40">
        <v>10.0</v>
      </c>
      <c r="D343" s="40" t="s">
        <v>7</v>
      </c>
    </row>
    <row r="344" ht="22.5" customHeight="1">
      <c r="A344" s="47" t="str">
        <f>'Номенклатура'!A344</f>
        <v>21141100А</v>
      </c>
      <c r="B344" s="49" t="str">
        <f>'Номенклатура'!B344</f>
        <v>NR60 Encoder 3/8" Multiturn shaft w/ flat</v>
      </c>
      <c r="C344" s="40"/>
      <c r="D344" s="40"/>
    </row>
    <row r="345" ht="22.5" customHeight="1">
      <c r="A345" s="47" t="str">
        <f>'Номенклатура'!A345</f>
        <v>22146701A</v>
      </c>
      <c r="B345" s="40" t="s">
        <v>75</v>
      </c>
      <c r="C345" s="40">
        <v>10.0</v>
      </c>
      <c r="D345" s="40" t="s">
        <v>7</v>
      </c>
    </row>
    <row r="346" ht="22.5" customHeight="1">
      <c r="A346" s="47">
        <f>'Номенклатура'!A346</f>
        <v>211415000</v>
      </c>
      <c r="B346" s="49" t="str">
        <f>'Номенклатура'!B346</f>
        <v>DC25&amp;H25 3/8" shaft muktiturn w/ 3mm key</v>
      </c>
      <c r="C346" s="40"/>
      <c r="D346" s="40"/>
    </row>
    <row r="347" ht="22.5" customHeight="1">
      <c r="A347" s="47">
        <f>'Номенклатура'!A347</f>
        <v>211442000</v>
      </c>
      <c r="B347" s="49" t="str">
        <f>'Номенклатура'!B347</f>
        <v>H25-F1E 3/8" shaft with keyway</v>
      </c>
      <c r="C347" s="40">
        <v>20.0</v>
      </c>
      <c r="D347" s="40" t="s">
        <v>7</v>
      </c>
    </row>
    <row r="348" ht="22.5" customHeight="1">
      <c r="A348" s="47" t="str">
        <f>'Номенклатура'!A348</f>
        <v>575-94001-2</v>
      </c>
      <c r="B348" s="49" t="str">
        <f>'Номенклатура'!B348</f>
        <v>NR25T, Multiturn Body TURCK 10mm shaft w/ flat;end con. servo nose; w/o rear cover</v>
      </c>
      <c r="C348" s="40"/>
      <c r="D348" s="40"/>
    </row>
    <row r="349" ht="22.5" customHeight="1">
      <c r="A349" s="47">
        <f>'Номенклатура'!A349</f>
        <v>211112060</v>
      </c>
      <c r="B349" s="49" t="str">
        <f>'Номенклатура'!B349</f>
        <v/>
      </c>
      <c r="C349" s="40"/>
      <c r="D349" s="40"/>
    </row>
    <row r="350" ht="22.5" customHeight="1">
      <c r="A350" s="47" t="str">
        <f>'Номенклатура'!A350</f>
        <v>H25 BODY</v>
      </c>
      <c r="B350" s="49" t="str">
        <f>'Номенклатура'!B350</f>
        <v>H25 BODY</v>
      </c>
      <c r="C350" s="40"/>
      <c r="D350" s="40"/>
    </row>
    <row r="351" ht="22.5" customHeight="1">
      <c r="A351" s="47">
        <f>'Номенклатура'!A351</f>
        <v>211373000</v>
      </c>
      <c r="B351" s="49" t="str">
        <f>'Номенклатура'!B351</f>
        <v>DC25&amp;H25 3/8" shaft with flat</v>
      </c>
      <c r="C351" s="40"/>
      <c r="D351" s="40"/>
    </row>
    <row r="352" ht="22.5" customHeight="1">
      <c r="A352" s="47" t="str">
        <f>'Номенклатура'!A352</f>
        <v>21131800A</v>
      </c>
      <c r="B352" s="49" t="str">
        <f>'Номенклатура'!B352</f>
        <v>HT-400-M1C Shaft</v>
      </c>
      <c r="C352" s="40"/>
      <c r="D352" s="40"/>
    </row>
    <row r="353" ht="22.5" customHeight="1">
      <c r="A353" s="47">
        <f>'Номенклатура'!A353</f>
        <v>211347000</v>
      </c>
      <c r="B353" s="49" t="str">
        <f>'Номенклатура'!B353</f>
        <v>DC25 Multiturn 5/8" rotor</v>
      </c>
      <c r="C353" s="40"/>
      <c r="D353" s="40"/>
    </row>
    <row r="354" ht="22.5" customHeight="1">
      <c r="A354" s="47">
        <f>'Номенклатура'!A354</f>
        <v>211347010</v>
      </c>
      <c r="B354" s="49" t="str">
        <f>'Номенклатура'!B354</f>
        <v/>
      </c>
      <c r="C354" s="40"/>
      <c r="D354" s="40"/>
    </row>
    <row r="355" ht="22.5" customHeight="1">
      <c r="A355" s="47">
        <f>'Номенклатура'!A355</f>
        <v>211405000</v>
      </c>
      <c r="B355" s="49" t="str">
        <f>'Номенклатура'!B355</f>
        <v>NR60 Encoder 6mm Multiturn shaft w/ flat</v>
      </c>
      <c r="C355" s="40"/>
      <c r="D355" s="40"/>
    </row>
    <row r="356" ht="22.5" customHeight="1">
      <c r="A356" s="47">
        <f>'Номенклатура'!A356</f>
        <v>211417000</v>
      </c>
      <c r="B356" s="49" t="str">
        <f>'Номенклатура'!B356</f>
        <v>Rotor with magnet coupler for NR25 Dual output Enc.</v>
      </c>
      <c r="C356" s="40"/>
      <c r="D356" s="40"/>
    </row>
    <row r="357" ht="22.5" customHeight="1">
      <c r="A357" s="47">
        <f>'Номенклатура'!A357</f>
        <v>211540000</v>
      </c>
      <c r="B357" s="49" t="str">
        <f>'Номенклатура'!B357</f>
        <v>HTE-25 DUAL ENCODER SHAFT</v>
      </c>
      <c r="C357" s="40"/>
      <c r="D357" s="40"/>
    </row>
    <row r="358" ht="22.5" customHeight="1">
      <c r="A358" s="47" t="str">
        <f>'Номенклатура'!A358</f>
        <v>22145500C</v>
      </c>
      <c r="B358" s="49" t="str">
        <f>'Номенклатура'!B358</f>
        <v>Square Flange for NR60</v>
      </c>
      <c r="C358" s="40"/>
      <c r="D358" s="40"/>
    </row>
    <row r="359" ht="22.5" customHeight="1">
      <c r="A359" s="47" t="str">
        <f>'Номенклатура'!A359</f>
        <v>22139701А</v>
      </c>
      <c r="B359" s="49" t="str">
        <f>'Номенклатура'!B359</f>
        <v>5/8" Shaft flange 316</v>
      </c>
      <c r="C359" s="40"/>
      <c r="D359" s="40"/>
    </row>
    <row r="360" ht="22.5" customHeight="1">
      <c r="A360" s="47">
        <f>'Номенклатура'!A360</f>
        <v>221452000</v>
      </c>
      <c r="B360" s="49" t="str">
        <f>'Номенклатура'!B360</f>
        <v>NR60 Encoder Servo Nose 58mm</v>
      </c>
      <c r="C360" s="40">
        <v>76.0</v>
      </c>
      <c r="D360" s="40" t="s">
        <v>12</v>
      </c>
    </row>
    <row r="361" ht="22.5" customHeight="1">
      <c r="A361" s="47">
        <f>'Номенклатура'!A361</f>
        <v>221422000</v>
      </c>
      <c r="B361" s="49" t="str">
        <f>'Номенклатура'!B361</f>
        <v>DC25F-D1V2LS-16 Flange nose</v>
      </c>
      <c r="C361" s="40"/>
      <c r="D361" s="40"/>
    </row>
    <row r="362" ht="22.5" customHeight="1">
      <c r="A362" s="47" t="str">
        <f>'Номенклатура'!A362</f>
        <v>575-01921-7LD-23</v>
      </c>
      <c r="B362" s="49" t="str">
        <f>'Номенклатура'!B362</f>
        <v>Size11,2.5KHz/0.5,7 min 0.120" shaft w/seal,machined body</v>
      </c>
      <c r="C362" s="40"/>
      <c r="D362" s="40"/>
    </row>
    <row r="363" ht="22.5" customHeight="1">
      <c r="A363" s="47" t="str">
        <f>'Номенклатура'!A363</f>
        <v>575-15906-7GA-01</v>
      </c>
      <c r="B363" s="49" t="str">
        <f>'Номенклатура'!B363</f>
        <v/>
      </c>
      <c r="C363" s="40"/>
      <c r="D363" s="40"/>
    </row>
    <row r="364" ht="22.5" customHeight="1">
      <c r="A364" s="47" t="str">
        <f>'Номенклатура'!A364</f>
        <v>575-15906-7GB-01</v>
      </c>
      <c r="B364" s="49" t="str">
        <f>'Номенклатура'!B364</f>
        <v/>
      </c>
      <c r="C364" s="40"/>
      <c r="D364" s="40"/>
    </row>
    <row r="365" ht="22.5" customHeight="1">
      <c r="A365" s="47" t="str">
        <f>'Номенклатура'!A365</f>
        <v>575-15902-3A5-01</v>
      </c>
      <c r="B365" s="49" t="str">
        <f>'Номенклатура'!B365</f>
        <v>For R11X-J16/3N-7 res.</v>
      </c>
      <c r="C365" s="40"/>
      <c r="D365" s="40"/>
    </row>
    <row r="366" ht="22.5" customHeight="1">
      <c r="A366" s="47" t="str">
        <f>'Номенклатура'!A366</f>
        <v>575-01902-7L9-0022</v>
      </c>
      <c r="B366" s="49" t="str">
        <f>'Номенклатура'!B366</f>
        <v>OPTISYS S11</v>
      </c>
      <c r="C366" s="40"/>
      <c r="D366" s="40"/>
    </row>
    <row r="367" ht="22.5" customHeight="1">
      <c r="A367" s="47" t="str">
        <f>'Номенклатура'!A367</f>
        <v>575-01902-7А3</v>
      </c>
      <c r="B367" s="49" t="str">
        <f>'Номенклатура'!B367</f>
        <v/>
      </c>
      <c r="C367" s="40"/>
      <c r="D367" s="40"/>
    </row>
    <row r="368" ht="22.5" customHeight="1">
      <c r="A368" s="47">
        <f>'Номенклатура'!A368</f>
        <v>211414000</v>
      </c>
      <c r="B368" s="49" t="str">
        <f>'Номенклатура'!B368</f>
        <v>R11 with M12 conn rear cover</v>
      </c>
      <c r="C368" s="40"/>
      <c r="D368" s="40"/>
    </row>
    <row r="369" ht="22.5" customHeight="1">
      <c r="A369" s="47">
        <f>'Номенклатура'!A369</f>
        <v>211357000</v>
      </c>
      <c r="B369" s="49" t="str">
        <f>'Номенклатура'!B369</f>
        <v>size 11 side cable option rear cover</v>
      </c>
      <c r="C369" s="40"/>
      <c r="D369" s="40"/>
    </row>
    <row r="370" ht="22.5" customHeight="1">
      <c r="A370" s="47" t="str">
        <f>'Номенклатура'!A370</f>
        <v>575-01912-7K0</v>
      </c>
      <c r="B370" s="49" t="str">
        <f>'Номенклатура'!B370</f>
        <v>R11X-C10/7-H</v>
      </c>
      <c r="C370" s="40"/>
      <c r="D370" s="40"/>
    </row>
    <row r="371" ht="22.5" customHeight="1">
      <c r="A371" s="47" t="str">
        <f>'Номенклатура'!A371</f>
        <v>575-01920-7F9</v>
      </c>
      <c r="B371" s="49" t="str">
        <f>'Номенклатура'!B371</f>
        <v>R11X-N</v>
      </c>
      <c r="C371" s="40"/>
      <c r="D371" s="40"/>
    </row>
    <row r="372" ht="22.5" customHeight="1">
      <c r="A372" s="47">
        <f>'Номенклатура'!A372</f>
        <v>211460000</v>
      </c>
      <c r="B372" s="49" t="str">
        <f>'Номенклатура'!B372</f>
        <v>Rear cover for R11 resolver</v>
      </c>
      <c r="C372" s="40"/>
      <c r="D372" s="40"/>
    </row>
    <row r="373" ht="22.5" customHeight="1">
      <c r="A373" s="47" t="str">
        <f>'Номенклатура'!A373</f>
        <v>575-15900-70C</v>
      </c>
      <c r="B373" s="49" t="str">
        <f>'Номенклатура'!B373</f>
        <v> Resolver for GR11X-H</v>
      </c>
      <c r="C373" s="40"/>
      <c r="D373" s="40"/>
    </row>
    <row r="374" ht="22.5" customHeight="1">
      <c r="A374" s="47" t="str">
        <f>'Номенклатура'!A374</f>
        <v>575-01926-701</v>
      </c>
      <c r="B374" s="49" t="str">
        <f>'Номенклатура'!B374</f>
        <v>R11X-J121B-7NA6-0008</v>
      </c>
      <c r="C374" s="40"/>
      <c r="D374" s="40"/>
    </row>
    <row r="375" ht="22.5" customHeight="1">
      <c r="A375" s="47" t="str">
        <f>'Номенклатура'!A375</f>
        <v>575-15906-5GA-01</v>
      </c>
      <c r="B375" s="49" t="str">
        <f>'Номенклатура'!B375</f>
        <v/>
      </c>
      <c r="C375" s="40">
        <v>10.0</v>
      </c>
      <c r="D375" s="40" t="s">
        <v>7</v>
      </c>
    </row>
    <row r="376" ht="22.5" customHeight="1">
      <c r="A376" s="47" t="str">
        <f>'Номенклатура'!A376</f>
        <v>575-15906-3GA-01</v>
      </c>
      <c r="B376" s="49" t="str">
        <f>'Номенклатура'!B376</f>
        <v/>
      </c>
      <c r="C376" s="40"/>
      <c r="D376" s="40"/>
    </row>
    <row r="377" ht="22.5" customHeight="1">
      <c r="A377" s="47">
        <f>'Номенклатура'!A377</f>
        <v>211398000</v>
      </c>
      <c r="B377" s="49" t="str">
        <f>'Номенклатура'!B377</f>
        <v>NR60 Encoder brass standoff</v>
      </c>
      <c r="C377" s="40">
        <v>10.0</v>
      </c>
      <c r="D377" s="40" t="s">
        <v>7</v>
      </c>
    </row>
    <row r="378" ht="22.5" customHeight="1">
      <c r="A378" s="47">
        <f>'Номенклатура'!A378</f>
        <v>211294010</v>
      </c>
      <c r="B378" s="49" t="str">
        <f>'Номенклатура'!B378</f>
        <v/>
      </c>
      <c r="C378" s="40"/>
      <c r="D378" s="40"/>
    </row>
    <row r="379" ht="22.5" customHeight="1">
      <c r="A379" s="47">
        <f>'Номенклатура'!A379</f>
        <v>211294020</v>
      </c>
      <c r="B379" s="49" t="str">
        <f>'Номенклатура'!B379</f>
        <v/>
      </c>
      <c r="C379" s="40"/>
      <c r="D379" s="40"/>
    </row>
    <row r="380" ht="22.5" customHeight="1">
      <c r="A380" s="47">
        <f>'Номенклатура'!A380</f>
        <v>211294030</v>
      </c>
      <c r="B380" s="49" t="str">
        <f>'Номенклатура'!B380</f>
        <v/>
      </c>
      <c r="C380" s="40"/>
      <c r="D380" s="40"/>
    </row>
    <row r="381" ht="22.5" customHeight="1">
      <c r="A381" s="47">
        <f>'Номенклатура'!A381</f>
        <v>211294040</v>
      </c>
      <c r="B381" s="49" t="str">
        <f>'Номенклатура'!B381</f>
        <v/>
      </c>
      <c r="C381" s="40"/>
      <c r="D381" s="40"/>
    </row>
    <row r="382" ht="22.5" customHeight="1">
      <c r="A382" s="47" t="str">
        <f>'Номенклатура'!A382</f>
        <v>21129405А</v>
      </c>
      <c r="B382" s="49" t="str">
        <f>'Номенклатура'!B382</f>
        <v/>
      </c>
      <c r="C382" s="40"/>
      <c r="D382" s="40"/>
    </row>
    <row r="383" ht="22.5" customHeight="1">
      <c r="A383" s="47" t="str">
        <f>'Номенклатура'!A383</f>
        <v>21137800А</v>
      </c>
      <c r="B383" s="49" t="str">
        <f>'Номенклатура'!B383</f>
        <v/>
      </c>
      <c r="C383" s="40"/>
      <c r="D383" s="40"/>
    </row>
    <row r="384" ht="22.5" customHeight="1">
      <c r="A384" s="47" t="str">
        <f>'Номенклатура'!A384</f>
        <v>575-01924-701</v>
      </c>
      <c r="B384" s="49" t="str">
        <f>'Номенклатура'!B384</f>
        <v/>
      </c>
      <c r="C384" s="40"/>
      <c r="D384" s="40"/>
    </row>
    <row r="385" ht="22.5" customHeight="1">
      <c r="A385" s="47" t="str">
        <f>'Номенклатура'!A385</f>
        <v>21129600C</v>
      </c>
      <c r="B385" s="49" t="str">
        <f>'Номенклатура'!B385</f>
        <v/>
      </c>
      <c r="C385" s="40"/>
      <c r="D385" s="40"/>
    </row>
    <row r="386" ht="22.5" customHeight="1">
      <c r="A386" s="47" t="str">
        <f>'Номенклатура'!A386</f>
        <v>22140700A</v>
      </c>
      <c r="B386" s="49" t="str">
        <f>'Номенклатура'!B386</f>
        <v>Special H25 BODY for HT400</v>
      </c>
      <c r="C386" s="40"/>
      <c r="D386" s="40"/>
    </row>
    <row r="387" ht="22.5" customHeight="1">
      <c r="A387" s="47" t="str">
        <f>'Номенклатура'!A387</f>
        <v>575-15902-5KC</v>
      </c>
      <c r="B387" s="49" t="str">
        <f>'Номенклатура'!B387</f>
        <v>Size11, 5KHz/0.95, 5min acc modified shaft, w/ seal Nuclear, 1.88" body length</v>
      </c>
      <c r="C387" s="40"/>
      <c r="D387" s="40"/>
    </row>
    <row r="388" ht="22.5" customHeight="1">
      <c r="A388" s="47">
        <f>'Номенклатура'!A388</f>
        <v>221502000</v>
      </c>
      <c r="B388" s="49" t="str">
        <f>'Номенклатура'!B388</f>
        <v/>
      </c>
      <c r="C388" s="40"/>
      <c r="D388" s="40"/>
    </row>
    <row r="389" ht="22.5" customHeight="1">
      <c r="A389" s="47">
        <f>'Номенклатура'!A389</f>
        <v>221451000</v>
      </c>
      <c r="B389" s="49" t="str">
        <f>'Номенклатура'!B389</f>
        <v/>
      </c>
      <c r="C389" s="40"/>
      <c r="D389" s="40"/>
    </row>
    <row r="390" ht="22.5" customHeight="1">
      <c r="A390" s="47" t="str">
        <f>'Номенклатура'!A390</f>
        <v>211398000A</v>
      </c>
      <c r="B390" s="49" t="str">
        <f>'Номенклатура'!B390</f>
        <v/>
      </c>
      <c r="C390" s="40"/>
      <c r="D390" s="40"/>
    </row>
    <row r="391" ht="22.5" customHeight="1">
      <c r="A391" s="47" t="str">
        <f>'Номенклатура'!A391</f>
        <v>21134800A</v>
      </c>
      <c r="B391" s="49" t="str">
        <f>'Номенклатура'!B391</f>
        <v/>
      </c>
      <c r="C391" s="40"/>
      <c r="D391" s="40"/>
    </row>
    <row r="392" ht="22.5" customHeight="1">
      <c r="A392" s="47">
        <f>'Номенклатура'!A392</f>
        <v>221459000</v>
      </c>
      <c r="B392" s="49" t="str">
        <f>'Номенклатура'!B392</f>
        <v/>
      </c>
      <c r="C392" s="40"/>
      <c r="D392" s="40"/>
    </row>
    <row r="393" ht="22.5" customHeight="1">
      <c r="A393" s="47">
        <f>'Номенклатура'!A393</f>
        <v>211448000</v>
      </c>
      <c r="B393" s="49" t="str">
        <f>'Номенклатура'!B393</f>
        <v/>
      </c>
      <c r="C393" s="40"/>
      <c r="D393" s="40"/>
    </row>
    <row r="394" ht="22.5" customHeight="1">
      <c r="A394" s="47" t="str">
        <f>'Номенклатура'!A394</f>
        <v>21131600C</v>
      </c>
      <c r="B394" s="40" t="s">
        <v>80</v>
      </c>
      <c r="C394" s="40">
        <v>10.0</v>
      </c>
      <c r="D394" s="40" t="s">
        <v>7</v>
      </c>
    </row>
    <row r="395" ht="22.5" customHeight="1">
      <c r="A395" s="47">
        <f>'Номенклатура'!A395</f>
        <v>221467000</v>
      </c>
      <c r="B395" s="40" t="s">
        <v>81</v>
      </c>
      <c r="C395" s="40">
        <v>20.0</v>
      </c>
      <c r="D395" s="40" t="s">
        <v>7</v>
      </c>
    </row>
    <row r="396" ht="22.5" customHeight="1">
      <c r="A396" s="47">
        <f>'Номенклатура'!A396</f>
        <v>211482000</v>
      </c>
      <c r="B396" s="49" t="str">
        <f>'Номенклатура'!B396</f>
        <v>NR25 DUAL PORT MULTITURN COVER</v>
      </c>
      <c r="C396" s="40"/>
      <c r="D396" s="40"/>
    </row>
    <row r="397" ht="22.5" customHeight="1">
      <c r="A397" s="47">
        <f>'Номенклатура'!A397</f>
        <v>211394000</v>
      </c>
      <c r="B397" s="40" t="s">
        <v>82</v>
      </c>
      <c r="C397" s="40">
        <v>85.4</v>
      </c>
      <c r="D397" s="40" t="s">
        <v>7</v>
      </c>
    </row>
    <row r="398" ht="22.5" customHeight="1">
      <c r="A398" s="47" t="str">
        <f>'Номенклатура'!A398</f>
        <v>21100201K</v>
      </c>
      <c r="B398" s="40"/>
      <c r="C398" s="40"/>
      <c r="D398" s="40"/>
    </row>
    <row r="399" ht="22.5" customHeight="1">
      <c r="A399" s="47" t="str">
        <f>'Номенклатура'!A399</f>
        <v>21100202N</v>
      </c>
      <c r="B399" s="49" t="str">
        <f>'Номенклатура'!B399</f>
        <v>HT-20 TRANSDUCER BEARING/SHAFT 5/8"</v>
      </c>
      <c r="C399" s="40">
        <v>85.4</v>
      </c>
      <c r="D399" s="40" t="s">
        <v>7</v>
      </c>
    </row>
    <row r="400" ht="22.5" customHeight="1">
      <c r="A400" s="47">
        <f>'Номенклатура'!A400</f>
        <v>211446000</v>
      </c>
      <c r="B400" s="49" t="str">
        <f>'Номенклатура'!B400</f>
        <v>DC-25 Rear Cover Switch &amp; LED for Absolute (-10 option)</v>
      </c>
      <c r="C400" s="40"/>
      <c r="D400" s="40"/>
    </row>
    <row r="401" ht="22.5" customHeight="1">
      <c r="A401" s="47" t="str">
        <f>'Номенклатура'!A401</f>
        <v>H25-M1E-R6</v>
      </c>
      <c r="B401" s="40" t="str">
        <f>'Номенклатура'!B401</f>
        <v>H25-M1E Transmitter TR=0.5; f=5KHz; end conn.</v>
      </c>
      <c r="C401" s="40">
        <v>8.5</v>
      </c>
      <c r="D401" s="40" t="s">
        <v>12</v>
      </c>
    </row>
    <row r="402" ht="22.5" customHeight="1">
      <c r="A402" s="38" t="str">
        <f>'Номенклатура'!A402</f>
        <v/>
      </c>
      <c r="B402" s="40" t="str">
        <f>'Номенклатура'!B402</f>
        <v/>
      </c>
      <c r="C402" s="40"/>
      <c r="D402" s="40"/>
    </row>
    <row r="403" ht="22.5" customHeight="1">
      <c r="A403" s="38" t="str">
        <f>'Номенклатура'!A403</f>
        <v/>
      </c>
      <c r="B403" s="40" t="str">
        <f>'Номенклатура'!B403</f>
        <v/>
      </c>
      <c r="C403" s="40"/>
      <c r="D403" s="40"/>
    </row>
    <row r="404" ht="22.5" customHeight="1">
      <c r="A404" s="38" t="str">
        <f>'Номенклатура'!A404</f>
        <v/>
      </c>
      <c r="B404" s="40" t="str">
        <f>'Номенклатура'!B404</f>
        <v/>
      </c>
      <c r="C404" s="40"/>
      <c r="D404" s="40"/>
    </row>
    <row r="405" ht="22.5" customHeight="1">
      <c r="A405" s="38" t="str">
        <f>'Номенклатура'!A405</f>
        <v/>
      </c>
      <c r="B405" s="40" t="str">
        <f>'Номенклатура'!B405</f>
        <v/>
      </c>
      <c r="C405" s="40"/>
      <c r="D405" s="40"/>
    </row>
    <row r="406" ht="22.5" customHeight="1">
      <c r="A406" s="38" t="str">
        <f>'Номенклатура'!A406</f>
        <v/>
      </c>
      <c r="B406" s="40" t="str">
        <f>'Номенклатура'!B406</f>
        <v/>
      </c>
      <c r="C406" s="40"/>
      <c r="D406" s="40"/>
    </row>
    <row r="407" ht="22.5" customHeight="1">
      <c r="A407" s="38" t="str">
        <f>'Номенклатура'!A407</f>
        <v/>
      </c>
      <c r="B407" s="40" t="str">
        <f>'Номенклатура'!B407</f>
        <v/>
      </c>
      <c r="C407" s="40"/>
      <c r="D407" s="40"/>
    </row>
    <row r="408" ht="22.5" customHeight="1">
      <c r="A408" s="38" t="str">
        <f>'Номенклатура'!A408</f>
        <v/>
      </c>
      <c r="B408" s="40" t="str">
        <f>'Номенклатура'!B408</f>
        <v/>
      </c>
      <c r="C408" s="40"/>
      <c r="D408" s="40"/>
    </row>
    <row r="409" ht="22.5" customHeight="1">
      <c r="A409" s="38" t="str">
        <f>'Номенклатура'!A409</f>
        <v/>
      </c>
      <c r="B409" s="40" t="str">
        <f>'Номенклатура'!B409</f>
        <v/>
      </c>
      <c r="C409" s="40"/>
      <c r="D409" s="40"/>
    </row>
    <row r="410" ht="22.5" customHeight="1">
      <c r="A410" s="38" t="str">
        <f>'Номенклатура'!A410</f>
        <v/>
      </c>
      <c r="B410" s="40" t="str">
        <f>'Номенклатура'!B410</f>
        <v/>
      </c>
      <c r="C410" s="40"/>
      <c r="D410" s="40"/>
    </row>
    <row r="411" ht="22.5" customHeight="1">
      <c r="A411" s="38" t="str">
        <f>'Номенклатура'!A411</f>
        <v/>
      </c>
      <c r="B411" s="40" t="str">
        <f>'Номенклатура'!B411</f>
        <v/>
      </c>
      <c r="C411" s="40"/>
      <c r="D411" s="40"/>
    </row>
    <row r="412" ht="22.5" customHeight="1">
      <c r="A412" s="38" t="str">
        <f>'Номенклатура'!A412</f>
        <v/>
      </c>
      <c r="B412" s="40" t="str">
        <f>'Номенклатура'!B412</f>
        <v/>
      </c>
      <c r="C412" s="40"/>
      <c r="D412" s="40"/>
    </row>
    <row r="413" ht="22.5" customHeight="1">
      <c r="A413" s="38" t="str">
        <f>'Номенклатура'!A413</f>
        <v/>
      </c>
      <c r="B413" s="40" t="str">
        <f>'Номенклатура'!B413</f>
        <v/>
      </c>
      <c r="C413" s="40"/>
      <c r="D413" s="40"/>
    </row>
    <row r="414" ht="22.5" customHeight="1">
      <c r="A414" s="38" t="str">
        <f>'Номенклатура'!A414</f>
        <v/>
      </c>
      <c r="B414" s="40" t="str">
        <f>'Номенклатура'!B414</f>
        <v/>
      </c>
      <c r="C414" s="40"/>
      <c r="D414" s="40"/>
    </row>
    <row r="415" ht="22.5" customHeight="1">
      <c r="A415" s="38" t="str">
        <f>'Номенклатура'!A415</f>
        <v/>
      </c>
      <c r="B415" s="40" t="str">
        <f>'Номенклатура'!B415</f>
        <v/>
      </c>
      <c r="C415" s="40"/>
      <c r="D415" s="40"/>
    </row>
    <row r="416" ht="22.5" customHeight="1">
      <c r="A416" s="38" t="str">
        <f>'Номенклатура'!A416</f>
        <v/>
      </c>
      <c r="B416" s="40" t="str">
        <f>'Номенклатура'!B416</f>
        <v/>
      </c>
      <c r="C416" s="40"/>
      <c r="D416" s="40"/>
    </row>
    <row r="417" ht="22.5" customHeight="1">
      <c r="A417" s="38" t="str">
        <f>'Номенклатура'!A417</f>
        <v/>
      </c>
      <c r="B417" s="40" t="str">
        <f>'Номенклатура'!B417</f>
        <v/>
      </c>
      <c r="C417" s="40"/>
      <c r="D417" s="40"/>
    </row>
    <row r="418" ht="22.5" customHeight="1">
      <c r="A418" s="38" t="str">
        <f>'Номенклатура'!A418</f>
        <v/>
      </c>
      <c r="B418" s="40" t="str">
        <f>'Номенклатура'!B418</f>
        <v/>
      </c>
      <c r="C418" s="40"/>
      <c r="D418" s="40"/>
    </row>
    <row r="419" ht="22.5" customHeight="1">
      <c r="A419" s="38" t="str">
        <f>'Номенклатура'!A419</f>
        <v/>
      </c>
      <c r="B419" s="40" t="str">
        <f>'Номенклатура'!B419</f>
        <v/>
      </c>
      <c r="C419" s="40"/>
      <c r="D419" s="40"/>
    </row>
    <row r="420" ht="22.5" customHeight="1">
      <c r="A420" s="38" t="str">
        <f>'Номенклатура'!A420</f>
        <v/>
      </c>
      <c r="B420" s="40" t="str">
        <f>'Номенклатура'!B420</f>
        <v/>
      </c>
      <c r="C420" s="40"/>
      <c r="D420" s="40"/>
    </row>
    <row r="421" ht="22.5" customHeight="1">
      <c r="A421" s="38" t="str">
        <f>'Номенклатура'!A421</f>
        <v/>
      </c>
      <c r="B421" s="40" t="str">
        <f>'Номенклатура'!B421</f>
        <v/>
      </c>
      <c r="C421" s="40"/>
      <c r="D421" s="40"/>
    </row>
    <row r="422" ht="22.5" customHeight="1">
      <c r="A422" s="38" t="str">
        <f>'Номенклатура'!A422</f>
        <v/>
      </c>
      <c r="B422" s="40" t="str">
        <f>'Номенклатура'!B422</f>
        <v/>
      </c>
      <c r="C422" s="40"/>
      <c r="D422" s="40"/>
    </row>
    <row r="423" ht="22.5" customHeight="1">
      <c r="A423" s="38" t="str">
        <f>'Номенклатура'!A423</f>
        <v/>
      </c>
      <c r="B423" s="40" t="str">
        <f>'Номенклатура'!B423</f>
        <v/>
      </c>
      <c r="C423" s="40"/>
      <c r="D423" s="40"/>
    </row>
    <row r="424" ht="22.5" customHeight="1">
      <c r="A424" s="38" t="str">
        <f>'Номенклатура'!A424</f>
        <v/>
      </c>
      <c r="B424" s="40" t="str">
        <f>'Номенклатура'!B424</f>
        <v/>
      </c>
      <c r="C424" s="40"/>
      <c r="D424" s="40"/>
    </row>
    <row r="425" ht="22.5" customHeight="1">
      <c r="A425" s="38" t="str">
        <f>'Номенклатура'!A425</f>
        <v/>
      </c>
      <c r="B425" s="40" t="str">
        <f>'Номенклатура'!B425</f>
        <v/>
      </c>
      <c r="C425" s="40"/>
      <c r="D425" s="40"/>
    </row>
    <row r="426" ht="22.5" customHeight="1">
      <c r="A426" s="38" t="str">
        <f>'Номенклатура'!A426</f>
        <v/>
      </c>
      <c r="B426" s="40" t="str">
        <f>'Номенклатура'!B426</f>
        <v/>
      </c>
      <c r="C426" s="40"/>
      <c r="D426" s="40"/>
    </row>
    <row r="427" ht="22.5" customHeight="1">
      <c r="A427" s="38" t="str">
        <f>'Номенклатура'!A427</f>
        <v/>
      </c>
      <c r="B427" s="40" t="str">
        <f>'Номенклатура'!B427</f>
        <v/>
      </c>
      <c r="C427" s="40"/>
      <c r="D427" s="40"/>
    </row>
    <row r="428" ht="22.5" customHeight="1">
      <c r="A428" s="38" t="str">
        <f>'Номенклатура'!A428</f>
        <v/>
      </c>
      <c r="B428" s="40" t="str">
        <f>'Номенклатура'!B428</f>
        <v/>
      </c>
      <c r="C428" s="40"/>
      <c r="D428" s="40"/>
    </row>
    <row r="429" ht="22.5" customHeight="1">
      <c r="A429" s="38" t="str">
        <f>'Номенклатура'!A429</f>
        <v/>
      </c>
      <c r="B429" s="40" t="str">
        <f>'Номенклатура'!B429</f>
        <v/>
      </c>
      <c r="C429" s="40"/>
      <c r="D429" s="40"/>
    </row>
    <row r="430" ht="22.5" customHeight="1">
      <c r="A430" s="38" t="str">
        <f>'Номенклатура'!A430</f>
        <v/>
      </c>
      <c r="B430" s="40" t="str">
        <f>'Номенклатура'!B430</f>
        <v/>
      </c>
      <c r="C430" s="40"/>
      <c r="D430" s="40"/>
    </row>
    <row r="431" ht="22.5" customHeight="1">
      <c r="A431" s="38" t="str">
        <f>'Номенклатура'!A431</f>
        <v/>
      </c>
      <c r="B431" s="40" t="str">
        <f>'Номенклатура'!B431</f>
        <v/>
      </c>
      <c r="C431" s="40"/>
      <c r="D431" s="40"/>
    </row>
    <row r="432" ht="22.5" customHeight="1">
      <c r="A432" s="38" t="str">
        <f>'Номенклатура'!A432</f>
        <v/>
      </c>
      <c r="B432" s="40" t="str">
        <f>'Номенклатура'!B432</f>
        <v/>
      </c>
      <c r="C432" s="40"/>
      <c r="D432" s="40"/>
    </row>
    <row r="433" ht="22.5" customHeight="1">
      <c r="A433" s="38" t="str">
        <f>'Номенклатура'!A433</f>
        <v/>
      </c>
      <c r="B433" s="40" t="str">
        <f>'Номенклатура'!B433</f>
        <v/>
      </c>
      <c r="C433" s="40"/>
      <c r="D433" s="40"/>
    </row>
    <row r="434" ht="22.5" customHeight="1">
      <c r="A434" s="38" t="str">
        <f>'Номенклатура'!A434</f>
        <v/>
      </c>
      <c r="B434" s="40" t="str">
        <f>'Номенклатура'!B434</f>
        <v/>
      </c>
      <c r="C434" s="40"/>
      <c r="D434" s="40"/>
    </row>
    <row r="435" ht="22.5" customHeight="1">
      <c r="A435" s="38" t="str">
        <f>'Номенклатура'!A435</f>
        <v/>
      </c>
      <c r="B435" s="40" t="str">
        <f>'Номенклатура'!B435</f>
        <v/>
      </c>
      <c r="C435" s="40"/>
      <c r="D435" s="40"/>
    </row>
    <row r="436" ht="22.5" customHeight="1">
      <c r="A436" s="38" t="str">
        <f>'Номенклатура'!A436</f>
        <v/>
      </c>
      <c r="B436" s="40" t="str">
        <f>'Номенклатура'!B436</f>
        <v/>
      </c>
      <c r="C436" s="40"/>
      <c r="D436" s="40"/>
    </row>
    <row r="437" ht="22.5" customHeight="1">
      <c r="A437" s="38" t="str">
        <f>'Номенклатура'!A437</f>
        <v/>
      </c>
      <c r="B437" s="40" t="str">
        <f>'Номенклатура'!B437</f>
        <v/>
      </c>
      <c r="C437" s="40"/>
      <c r="D437" s="40"/>
    </row>
    <row r="438" ht="22.5" customHeight="1">
      <c r="A438" s="38" t="str">
        <f>'Номенклатура'!A438</f>
        <v/>
      </c>
      <c r="B438" s="40" t="str">
        <f>'Номенклатура'!B438</f>
        <v/>
      </c>
      <c r="C438" s="40"/>
      <c r="D438" s="40"/>
    </row>
    <row r="439" ht="22.5" customHeight="1">
      <c r="A439" s="38" t="str">
        <f>'Номенклатура'!A439</f>
        <v/>
      </c>
      <c r="B439" s="40" t="str">
        <f>'Номенклатура'!B439</f>
        <v/>
      </c>
      <c r="C439" s="40"/>
      <c r="D439" s="40"/>
    </row>
    <row r="440" ht="22.5" customHeight="1">
      <c r="A440" s="38" t="str">
        <f>'Номенклатура'!A440</f>
        <v/>
      </c>
      <c r="B440" s="40" t="str">
        <f>'Номенклатура'!B440</f>
        <v/>
      </c>
      <c r="C440" s="40"/>
      <c r="D440" s="40"/>
    </row>
    <row r="441" ht="22.5" customHeight="1">
      <c r="A441" s="38" t="str">
        <f>'Номенклатура'!A441</f>
        <v/>
      </c>
      <c r="B441" s="40" t="str">
        <f>'Номенклатура'!B441</f>
        <v/>
      </c>
      <c r="C441" s="40"/>
      <c r="D441" s="40"/>
    </row>
    <row r="442" ht="22.5" customHeight="1">
      <c r="A442" s="38" t="str">
        <f>'Номенклатура'!A442</f>
        <v/>
      </c>
      <c r="B442" s="40" t="str">
        <f>'Номенклатура'!B442</f>
        <v/>
      </c>
      <c r="C442" s="40"/>
      <c r="D442" s="40"/>
    </row>
    <row r="443" ht="22.5" customHeight="1">
      <c r="A443" s="38" t="str">
        <f>'Номенклатура'!A443</f>
        <v/>
      </c>
      <c r="B443" s="40" t="str">
        <f>'Номенклатура'!B443</f>
        <v/>
      </c>
      <c r="C443" s="40"/>
      <c r="D443" s="40"/>
    </row>
    <row r="444" ht="22.5" customHeight="1">
      <c r="A444" s="38" t="str">
        <f>'Номенклатура'!A444</f>
        <v/>
      </c>
      <c r="B444" s="40" t="str">
        <f>'Номенклатура'!B444</f>
        <v/>
      </c>
      <c r="C444" s="40"/>
      <c r="D444" s="40"/>
    </row>
    <row r="445" ht="22.5" customHeight="1">
      <c r="A445" s="38" t="str">
        <f>'Номенклатура'!A445</f>
        <v/>
      </c>
      <c r="B445" s="40" t="str">
        <f>'Номенклатура'!B445</f>
        <v/>
      </c>
      <c r="C445" s="40"/>
      <c r="D445" s="40"/>
    </row>
    <row r="446" ht="22.5" customHeight="1">
      <c r="A446" s="38" t="str">
        <f>'Номенклатура'!A446</f>
        <v/>
      </c>
      <c r="B446" s="40" t="str">
        <f>'Номенклатура'!B446</f>
        <v/>
      </c>
      <c r="C446" s="40"/>
      <c r="D446" s="40"/>
    </row>
    <row r="447" ht="22.5" customHeight="1">
      <c r="A447" s="38" t="str">
        <f>'Номенклатура'!A447</f>
        <v/>
      </c>
      <c r="B447" s="40" t="str">
        <f>'Номенклатура'!B447</f>
        <v/>
      </c>
      <c r="C447" s="40"/>
      <c r="D447" s="40"/>
    </row>
    <row r="448" ht="22.5" customHeight="1">
      <c r="A448" s="38" t="str">
        <f>'Номенклатура'!A448</f>
        <v/>
      </c>
      <c r="B448" s="40" t="str">
        <f>'Номенклатура'!B448</f>
        <v/>
      </c>
      <c r="C448" s="40"/>
      <c r="D448" s="40"/>
    </row>
    <row r="449" ht="22.5" customHeight="1">
      <c r="A449" s="38" t="str">
        <f>'Номенклатура'!A449</f>
        <v/>
      </c>
      <c r="B449" s="40" t="str">
        <f>'Номенклатура'!B449</f>
        <v/>
      </c>
      <c r="C449" s="40"/>
      <c r="D449" s="40"/>
    </row>
    <row r="450" ht="22.5" customHeight="1">
      <c r="A450" s="38" t="str">
        <f>'Номенклатура'!A450</f>
        <v/>
      </c>
      <c r="B450" s="40" t="str">
        <f>'Номенклатура'!B450</f>
        <v/>
      </c>
      <c r="C450" s="40"/>
      <c r="D450" s="40"/>
    </row>
    <row r="451" ht="22.5" customHeight="1">
      <c r="A451" s="38" t="str">
        <f>'Номенклатура'!A451</f>
        <v/>
      </c>
      <c r="B451" s="40" t="str">
        <f>'Номенклатура'!B451</f>
        <v/>
      </c>
      <c r="C451" s="40"/>
      <c r="D451" s="40"/>
    </row>
    <row r="452" ht="22.5" customHeight="1">
      <c r="A452" s="38" t="str">
        <f>'Номенклатура'!A452</f>
        <v/>
      </c>
      <c r="B452" s="40" t="str">
        <f>'Номенклатура'!B452</f>
        <v/>
      </c>
      <c r="C452" s="40"/>
      <c r="D452" s="40"/>
    </row>
    <row r="453" ht="22.5" customHeight="1">
      <c r="A453" s="38" t="str">
        <f>'Номенклатура'!A453</f>
        <v/>
      </c>
      <c r="B453" s="40" t="str">
        <f>'Номенклатура'!B453</f>
        <v/>
      </c>
      <c r="C453" s="40"/>
      <c r="D453" s="40"/>
    </row>
    <row r="454" ht="22.5" customHeight="1">
      <c r="A454" s="38" t="str">
        <f>'Номенклатура'!A454</f>
        <v/>
      </c>
      <c r="B454" s="40" t="str">
        <f>'Номенклатура'!B454</f>
        <v/>
      </c>
      <c r="C454" s="40"/>
      <c r="D454" s="40"/>
    </row>
    <row r="455" ht="22.5" customHeight="1">
      <c r="A455" s="38" t="str">
        <f>'Номенклатура'!A455</f>
        <v/>
      </c>
      <c r="B455" s="40" t="str">
        <f>'Номенклатура'!B455</f>
        <v/>
      </c>
      <c r="C455" s="40"/>
      <c r="D455" s="40"/>
    </row>
    <row r="456" ht="22.5" customHeight="1">
      <c r="A456" s="38" t="str">
        <f>'Номенклатура'!A456</f>
        <v/>
      </c>
      <c r="B456" s="40" t="str">
        <f>'Номенклатура'!B456</f>
        <v/>
      </c>
      <c r="C456" s="40"/>
      <c r="D456" s="40"/>
    </row>
    <row r="457" ht="22.5" customHeight="1">
      <c r="A457" s="38" t="str">
        <f>'Номенклатура'!A457</f>
        <v/>
      </c>
      <c r="B457" s="40" t="str">
        <f>'Номенклатура'!B457</f>
        <v/>
      </c>
      <c r="C457" s="40"/>
      <c r="D457" s="40"/>
    </row>
    <row r="458" ht="22.5" customHeight="1">
      <c r="A458" s="38" t="str">
        <f>'Номенклатура'!A458</f>
        <v/>
      </c>
      <c r="B458" s="40" t="str">
        <f>'Номенклатура'!B458</f>
        <v/>
      </c>
      <c r="C458" s="40"/>
      <c r="D458" s="40"/>
    </row>
    <row r="459" ht="22.5" customHeight="1">
      <c r="A459" s="38" t="str">
        <f>'Номенклатура'!A459</f>
        <v/>
      </c>
      <c r="B459" s="40" t="str">
        <f>'Номенклатура'!B459</f>
        <v/>
      </c>
      <c r="C459" s="40"/>
      <c r="D459" s="40"/>
    </row>
    <row r="460" ht="22.5" customHeight="1">
      <c r="A460" s="38" t="str">
        <f>'Номенклатура'!A460</f>
        <v/>
      </c>
      <c r="B460" s="40" t="str">
        <f>'Номенклатура'!B460</f>
        <v/>
      </c>
      <c r="C460" s="40"/>
      <c r="D460" s="40"/>
    </row>
    <row r="461" ht="22.5" customHeight="1">
      <c r="A461" s="38" t="str">
        <f>'Номенклатура'!A461</f>
        <v/>
      </c>
      <c r="B461" s="40" t="str">
        <f>'Номенклатура'!B461</f>
        <v/>
      </c>
      <c r="C461" s="40"/>
      <c r="D461" s="40"/>
    </row>
    <row r="462" ht="22.5" customHeight="1">
      <c r="A462" s="38" t="str">
        <f>'Номенклатура'!A462</f>
        <v/>
      </c>
      <c r="B462" s="40" t="str">
        <f>'Номенклатура'!B462</f>
        <v/>
      </c>
      <c r="C462" s="40"/>
      <c r="D462" s="40"/>
    </row>
    <row r="463" ht="22.5" customHeight="1">
      <c r="A463" s="38" t="str">
        <f>'Номенклатура'!A463</f>
        <v/>
      </c>
      <c r="B463" s="40" t="str">
        <f>'Номенклатура'!B463</f>
        <v/>
      </c>
      <c r="C463" s="40"/>
      <c r="D463" s="40"/>
    </row>
    <row r="464" ht="22.5" customHeight="1">
      <c r="A464" s="38" t="str">
        <f>'Номенклатура'!A464</f>
        <v/>
      </c>
      <c r="B464" s="40" t="str">
        <f>'Номенклатура'!B464</f>
        <v/>
      </c>
      <c r="C464" s="40"/>
      <c r="D464" s="40"/>
    </row>
    <row r="465" ht="22.5" customHeight="1">
      <c r="A465" s="38" t="str">
        <f>'Номенклатура'!A465</f>
        <v/>
      </c>
      <c r="B465" s="40" t="str">
        <f>'Номенклатура'!B465</f>
        <v/>
      </c>
      <c r="C465" s="40"/>
      <c r="D465" s="40"/>
    </row>
    <row r="466" ht="22.5" customHeight="1">
      <c r="A466" s="38" t="str">
        <f>'Номенклатура'!A466</f>
        <v/>
      </c>
      <c r="B466" s="40" t="str">
        <f>'Номенклатура'!B466</f>
        <v/>
      </c>
      <c r="C466" s="40"/>
      <c r="D466" s="40"/>
    </row>
    <row r="467" ht="22.5" customHeight="1">
      <c r="A467" s="38" t="str">
        <f>'Номенклатура'!A467</f>
        <v/>
      </c>
      <c r="B467" s="40" t="str">
        <f>'Номенклатура'!B467</f>
        <v/>
      </c>
      <c r="C467" s="40"/>
      <c r="D467" s="40"/>
    </row>
    <row r="468" ht="22.5" customHeight="1">
      <c r="A468" s="38" t="str">
        <f>'Номенклатура'!A468</f>
        <v/>
      </c>
      <c r="B468" s="40" t="str">
        <f>'Номенклатура'!B468</f>
        <v/>
      </c>
      <c r="C468" s="40"/>
      <c r="D468" s="40"/>
    </row>
    <row r="469" ht="22.5" customHeight="1">
      <c r="A469" s="38" t="str">
        <f>'Номенклатура'!A469</f>
        <v/>
      </c>
      <c r="B469" s="40" t="str">
        <f>'Номенклатура'!B469</f>
        <v/>
      </c>
      <c r="C469" s="40"/>
      <c r="D469" s="40"/>
    </row>
    <row r="470" ht="22.5" customHeight="1">
      <c r="A470" s="38" t="str">
        <f>'Номенклатура'!A470</f>
        <v/>
      </c>
      <c r="B470" s="40" t="str">
        <f>'Номенклатура'!B470</f>
        <v/>
      </c>
      <c r="C470" s="40"/>
      <c r="D470" s="40"/>
    </row>
    <row r="471" ht="22.5" customHeight="1">
      <c r="A471" s="38" t="str">
        <f>'Номенклатура'!A471</f>
        <v/>
      </c>
      <c r="B471" s="40" t="str">
        <f>'Номенклатура'!B471</f>
        <v/>
      </c>
      <c r="C471" s="40"/>
      <c r="D471" s="40"/>
    </row>
    <row r="472" ht="22.5" customHeight="1">
      <c r="A472" s="38" t="str">
        <f>'Номенклатура'!A472</f>
        <v/>
      </c>
      <c r="B472" s="40" t="str">
        <f>'Номенклатура'!B472</f>
        <v/>
      </c>
      <c r="C472" s="40"/>
      <c r="D472" s="40"/>
    </row>
    <row r="473" ht="22.5" customHeight="1">
      <c r="A473" s="38" t="str">
        <f>'Номенклатура'!A473</f>
        <v/>
      </c>
      <c r="B473" s="40" t="str">
        <f>'Номенклатура'!B473</f>
        <v/>
      </c>
      <c r="C473" s="40"/>
      <c r="D473" s="40"/>
    </row>
    <row r="474" ht="22.5" customHeight="1">
      <c r="A474" s="38" t="str">
        <f>'Номенклатура'!A474</f>
        <v/>
      </c>
      <c r="B474" s="40" t="str">
        <f>'Номенклатура'!B474</f>
        <v/>
      </c>
      <c r="C474" s="40"/>
      <c r="D474" s="40"/>
    </row>
    <row r="475" ht="22.5" customHeight="1">
      <c r="A475" s="38" t="str">
        <f>'Номенклатура'!A475</f>
        <v/>
      </c>
      <c r="B475" s="40" t="str">
        <f>'Номенклатура'!B475</f>
        <v/>
      </c>
      <c r="C475" s="40"/>
      <c r="D475" s="40"/>
    </row>
    <row r="476" ht="22.5" customHeight="1">
      <c r="A476" s="38" t="str">
        <f>'Номенклатура'!A476</f>
        <v/>
      </c>
      <c r="B476" s="40" t="str">
        <f>'Номенклатура'!B476</f>
        <v/>
      </c>
      <c r="C476" s="40"/>
      <c r="D476" s="40"/>
    </row>
    <row r="477" ht="22.5" customHeight="1">
      <c r="A477" s="38" t="str">
        <f>'Номенклатура'!A477</f>
        <v/>
      </c>
      <c r="B477" s="40" t="str">
        <f>'Номенклатура'!B477</f>
        <v/>
      </c>
      <c r="C477" s="40"/>
      <c r="D477" s="40"/>
    </row>
    <row r="478" ht="22.5" customHeight="1">
      <c r="A478" s="38" t="str">
        <f>'Номенклатура'!A478</f>
        <v/>
      </c>
      <c r="B478" s="40" t="str">
        <f>'Номенклатура'!B478</f>
        <v/>
      </c>
      <c r="C478" s="40"/>
      <c r="D478" s="40"/>
    </row>
    <row r="479" ht="22.5" customHeight="1">
      <c r="A479" s="38" t="str">
        <f>'Номенклатура'!A479</f>
        <v/>
      </c>
      <c r="B479" s="40" t="str">
        <f>'Номенклатура'!B479</f>
        <v/>
      </c>
      <c r="C479" s="40"/>
      <c r="D479" s="40"/>
    </row>
    <row r="480" ht="22.5" customHeight="1">
      <c r="A480" s="38" t="str">
        <f>'Номенклатура'!A480</f>
        <v/>
      </c>
      <c r="B480" s="40" t="str">
        <f>'Номенклатура'!B480</f>
        <v/>
      </c>
      <c r="C480" s="40"/>
      <c r="D480" s="40"/>
    </row>
    <row r="481" ht="22.5" customHeight="1">
      <c r="A481" s="38" t="str">
        <f>'Номенклатура'!A481</f>
        <v/>
      </c>
      <c r="B481" s="40" t="str">
        <f>'Номенклатура'!B481</f>
        <v/>
      </c>
      <c r="C481" s="40"/>
      <c r="D481" s="40"/>
    </row>
    <row r="482" ht="22.5" customHeight="1">
      <c r="A482" s="38" t="str">
        <f>'Номенклатура'!A482</f>
        <v/>
      </c>
      <c r="B482" s="40" t="str">
        <f>'Номенклатура'!B482</f>
        <v/>
      </c>
      <c r="C482" s="40"/>
      <c r="D482" s="40"/>
    </row>
    <row r="483" ht="22.5" customHeight="1">
      <c r="A483" s="38" t="str">
        <f>'Номенклатура'!A483</f>
        <v/>
      </c>
      <c r="B483" s="40" t="str">
        <f>'Номенклатура'!B483</f>
        <v/>
      </c>
      <c r="C483" s="40"/>
      <c r="D483" s="40"/>
    </row>
    <row r="484" ht="22.5" customHeight="1">
      <c r="A484" s="38" t="str">
        <f>'Номенклатура'!A484</f>
        <v/>
      </c>
      <c r="B484" s="40" t="str">
        <f>'Номенклатура'!B484</f>
        <v/>
      </c>
      <c r="C484" s="40"/>
      <c r="D484" s="40"/>
    </row>
    <row r="485" ht="22.5" customHeight="1">
      <c r="A485" s="38" t="str">
        <f>'Номенклатура'!A485</f>
        <v/>
      </c>
      <c r="B485" s="40" t="str">
        <f>'Номенклатура'!B485</f>
        <v/>
      </c>
      <c r="C485" s="40"/>
      <c r="D485" s="40"/>
    </row>
    <row r="486" ht="22.5" customHeight="1">
      <c r="A486" s="38" t="str">
        <f>'Номенклатура'!A486</f>
        <v/>
      </c>
      <c r="B486" s="40" t="str">
        <f>'Номенклатура'!B486</f>
        <v/>
      </c>
      <c r="C486" s="40"/>
      <c r="D486" s="40"/>
    </row>
    <row r="487" ht="22.5" customHeight="1">
      <c r="A487" s="38" t="str">
        <f>'Номенклатура'!A487</f>
        <v/>
      </c>
      <c r="B487" s="40" t="str">
        <f>'Номенклатура'!B487</f>
        <v/>
      </c>
      <c r="C487" s="40"/>
      <c r="D487" s="40"/>
    </row>
    <row r="488" ht="22.5" customHeight="1">
      <c r="A488" s="38" t="str">
        <f>'Номенклатура'!A488</f>
        <v/>
      </c>
      <c r="B488" s="40" t="str">
        <f>'Номенклатура'!B488</f>
        <v/>
      </c>
      <c r="C488" s="40"/>
      <c r="D488" s="40"/>
    </row>
    <row r="489" ht="22.5" customHeight="1">
      <c r="A489" s="38" t="str">
        <f>'Номенклатура'!A489</f>
        <v/>
      </c>
      <c r="B489" s="40" t="str">
        <f>'Номенклатура'!B489</f>
        <v/>
      </c>
      <c r="C489" s="40"/>
      <c r="D489" s="40"/>
    </row>
    <row r="490" ht="22.5" customHeight="1">
      <c r="A490" s="38" t="str">
        <f>'Номенклатура'!A490</f>
        <v/>
      </c>
      <c r="B490" s="40" t="str">
        <f>'Номенклатура'!B490</f>
        <v/>
      </c>
      <c r="C490" s="40"/>
      <c r="D490" s="40"/>
    </row>
    <row r="491" ht="22.5" customHeight="1">
      <c r="A491" s="38" t="str">
        <f>'Номенклатура'!A491</f>
        <v/>
      </c>
      <c r="B491" s="40" t="str">
        <f>'Номенклатура'!B491</f>
        <v/>
      </c>
      <c r="C491" s="40"/>
      <c r="D491" s="40"/>
    </row>
    <row r="492" ht="22.5" customHeight="1">
      <c r="A492" s="38" t="str">
        <f>'Номенклатура'!A492</f>
        <v/>
      </c>
      <c r="B492" s="40" t="str">
        <f>'Номенклатура'!B492</f>
        <v/>
      </c>
      <c r="C492" s="40"/>
      <c r="D492" s="40"/>
    </row>
    <row r="493" ht="22.5" customHeight="1">
      <c r="A493" s="38" t="str">
        <f>'Номенклатура'!A493</f>
        <v/>
      </c>
      <c r="B493" s="40" t="str">
        <f>'Номенклатура'!B493</f>
        <v/>
      </c>
      <c r="C493" s="40"/>
      <c r="D493" s="40"/>
    </row>
    <row r="494" ht="22.5" customHeight="1">
      <c r="A494" s="38" t="str">
        <f>'Номенклатура'!A494</f>
        <v/>
      </c>
      <c r="B494" s="40" t="str">
        <f>'Номенклатура'!B494</f>
        <v/>
      </c>
      <c r="C494" s="40"/>
      <c r="D494" s="40"/>
    </row>
    <row r="495" ht="22.5" customHeight="1">
      <c r="A495" s="38" t="str">
        <f>'Номенклатура'!A495</f>
        <v/>
      </c>
      <c r="B495" s="40" t="str">
        <f>'Номенклатура'!B495</f>
        <v/>
      </c>
      <c r="C495" s="40"/>
      <c r="D495" s="40"/>
    </row>
    <row r="496" ht="22.5" customHeight="1">
      <c r="A496" s="38" t="str">
        <f>'Номенклатура'!A496</f>
        <v/>
      </c>
      <c r="B496" s="40" t="str">
        <f>'Номенклатура'!B496</f>
        <v/>
      </c>
      <c r="C496" s="40"/>
      <c r="D496" s="40"/>
    </row>
    <row r="497" ht="22.5" customHeight="1">
      <c r="A497" s="38" t="str">
        <f>'Номенклатура'!A497</f>
        <v/>
      </c>
      <c r="B497" s="40" t="str">
        <f>'Номенклатура'!B497</f>
        <v/>
      </c>
      <c r="C497" s="40"/>
      <c r="D497" s="40"/>
    </row>
    <row r="498" ht="22.5" customHeight="1">
      <c r="A498" s="38" t="str">
        <f>'Номенклатура'!A498</f>
        <v/>
      </c>
      <c r="B498" s="40" t="str">
        <f>'Номенклатура'!B498</f>
        <v/>
      </c>
      <c r="C498" s="40"/>
      <c r="D498" s="40"/>
    </row>
    <row r="499" ht="22.5" customHeight="1">
      <c r="A499" s="38" t="str">
        <f>'Номенклатура'!A499</f>
        <v/>
      </c>
      <c r="B499" s="40" t="str">
        <f>'Номенклатура'!B499</f>
        <v/>
      </c>
      <c r="C499" s="40"/>
      <c r="D499" s="40"/>
    </row>
    <row r="500" ht="22.5" customHeight="1">
      <c r="A500" s="113"/>
      <c r="B500" s="216"/>
      <c r="C500" s="216"/>
      <c r="D500" s="216"/>
    </row>
    <row r="501" ht="22.5" customHeight="1">
      <c r="A501" s="113"/>
      <c r="B501" s="216"/>
      <c r="C501" s="216"/>
      <c r="D501" s="216"/>
    </row>
    <row r="502" ht="22.5" customHeight="1">
      <c r="A502" s="113"/>
      <c r="B502" s="216"/>
      <c r="C502" s="216"/>
      <c r="D502" s="216"/>
    </row>
    <row r="503" ht="22.5" customHeight="1">
      <c r="A503" s="113"/>
      <c r="B503" s="216"/>
      <c r="C503" s="216"/>
      <c r="D503" s="216"/>
    </row>
    <row r="504" ht="22.5" customHeight="1">
      <c r="A504" s="113"/>
      <c r="B504" s="216"/>
      <c r="C504" s="216"/>
      <c r="D504" s="216"/>
    </row>
    <row r="505" ht="22.5" customHeight="1">
      <c r="A505" s="113"/>
      <c r="B505" s="216"/>
      <c r="C505" s="216"/>
      <c r="D505" s="216"/>
    </row>
    <row r="506" ht="22.5" customHeight="1">
      <c r="A506" s="113"/>
      <c r="B506" s="216"/>
      <c r="C506" s="216"/>
      <c r="D506" s="216"/>
    </row>
    <row r="507" ht="22.5" customHeight="1">
      <c r="A507" s="113"/>
      <c r="B507" s="216"/>
      <c r="C507" s="216"/>
      <c r="D507" s="216"/>
    </row>
    <row r="508" ht="22.5" customHeight="1">
      <c r="A508" s="113"/>
      <c r="B508" s="216"/>
      <c r="C508" s="216"/>
      <c r="D508" s="216"/>
    </row>
    <row r="509" ht="22.5" customHeight="1">
      <c r="A509" s="113"/>
      <c r="B509" s="216"/>
      <c r="C509" s="216"/>
      <c r="D509" s="216"/>
    </row>
    <row r="510" ht="22.5" customHeight="1">
      <c r="A510" s="113"/>
      <c r="B510" s="216"/>
      <c r="C510" s="216"/>
      <c r="D510" s="216"/>
    </row>
    <row r="511" ht="22.5" customHeight="1">
      <c r="A511" s="113"/>
      <c r="B511" s="216"/>
      <c r="C511" s="216"/>
      <c r="D511" s="216"/>
    </row>
    <row r="512" ht="22.5" customHeight="1">
      <c r="A512" s="113"/>
      <c r="B512" s="216"/>
      <c r="C512" s="216"/>
      <c r="D512" s="216"/>
    </row>
    <row r="513" ht="22.5" customHeight="1">
      <c r="A513" s="113"/>
      <c r="B513" s="216"/>
      <c r="C513" s="216"/>
      <c r="D513" s="216"/>
    </row>
    <row r="514" ht="22.5" customHeight="1">
      <c r="A514" s="113"/>
      <c r="B514" s="216"/>
      <c r="C514" s="216"/>
      <c r="D514" s="216"/>
    </row>
    <row r="515" ht="22.5" customHeight="1">
      <c r="A515" s="113"/>
      <c r="B515" s="216"/>
      <c r="C515" s="216"/>
      <c r="D515" s="216"/>
    </row>
    <row r="516" ht="22.5" customHeight="1">
      <c r="A516" s="113"/>
      <c r="B516" s="216"/>
      <c r="C516" s="216"/>
      <c r="D516" s="216"/>
    </row>
    <row r="517" ht="22.5" customHeight="1">
      <c r="A517" s="113"/>
      <c r="B517" s="216"/>
      <c r="C517" s="216"/>
      <c r="D517" s="216"/>
    </row>
    <row r="518" ht="22.5" customHeight="1">
      <c r="A518" s="113"/>
      <c r="B518" s="216"/>
      <c r="C518" s="216"/>
      <c r="D518" s="216"/>
    </row>
    <row r="519" ht="22.5" customHeight="1">
      <c r="A519" s="113"/>
      <c r="B519" s="216"/>
      <c r="C519" s="216"/>
      <c r="D519" s="216"/>
    </row>
    <row r="520" ht="22.5" customHeight="1">
      <c r="A520" s="113"/>
      <c r="B520" s="216"/>
      <c r="C520" s="216"/>
      <c r="D520" s="216"/>
    </row>
    <row r="521" ht="22.5" customHeight="1">
      <c r="A521" s="113"/>
      <c r="B521" s="216"/>
      <c r="C521" s="216"/>
      <c r="D521" s="216"/>
    </row>
    <row r="522" ht="22.5" customHeight="1">
      <c r="A522" s="113"/>
      <c r="B522" s="216"/>
      <c r="C522" s="216"/>
      <c r="D522" s="216"/>
    </row>
    <row r="523" ht="22.5" customHeight="1">
      <c r="A523" s="113"/>
      <c r="B523" s="216"/>
      <c r="C523" s="216"/>
      <c r="D523" s="216"/>
    </row>
    <row r="524" ht="22.5" customHeight="1">
      <c r="A524" s="113"/>
      <c r="B524" s="216"/>
      <c r="C524" s="216"/>
      <c r="D524" s="216"/>
    </row>
    <row r="525" ht="22.5" customHeight="1">
      <c r="A525" s="113"/>
      <c r="B525" s="216"/>
      <c r="C525" s="216"/>
      <c r="D525" s="216"/>
    </row>
    <row r="526" ht="22.5" customHeight="1">
      <c r="A526" s="113"/>
      <c r="B526" s="216"/>
      <c r="C526" s="216"/>
      <c r="D526" s="216"/>
    </row>
    <row r="527" ht="22.5" customHeight="1">
      <c r="A527" s="113"/>
      <c r="B527" s="216"/>
      <c r="C527" s="216"/>
      <c r="D527" s="216"/>
    </row>
    <row r="528" ht="22.5" customHeight="1">
      <c r="A528" s="113"/>
      <c r="B528" s="216"/>
      <c r="C528" s="216"/>
      <c r="D528" s="216"/>
    </row>
    <row r="529" ht="22.5" customHeight="1">
      <c r="A529" s="113"/>
      <c r="B529" s="216"/>
      <c r="C529" s="216"/>
      <c r="D529" s="216"/>
    </row>
    <row r="530" ht="22.5" customHeight="1">
      <c r="A530" s="113"/>
      <c r="B530" s="216"/>
      <c r="C530" s="216"/>
      <c r="D530" s="216"/>
    </row>
    <row r="531" ht="22.5" customHeight="1">
      <c r="A531" s="113"/>
      <c r="B531" s="216"/>
      <c r="C531" s="216"/>
      <c r="D531" s="216"/>
    </row>
    <row r="532" ht="22.5" customHeight="1">
      <c r="A532" s="113"/>
      <c r="B532" s="216"/>
      <c r="C532" s="216"/>
      <c r="D532" s="216"/>
    </row>
    <row r="533" ht="22.5" customHeight="1">
      <c r="A533" s="113"/>
      <c r="B533" s="216"/>
      <c r="C533" s="216"/>
      <c r="D533" s="216"/>
    </row>
    <row r="534" ht="22.5" customHeight="1">
      <c r="A534" s="113"/>
      <c r="B534" s="216"/>
      <c r="C534" s="216"/>
      <c r="D534" s="216"/>
    </row>
    <row r="535" ht="22.5" customHeight="1">
      <c r="A535" s="113"/>
      <c r="B535" s="216"/>
      <c r="C535" s="216"/>
      <c r="D535" s="216"/>
    </row>
    <row r="536" ht="22.5" customHeight="1">
      <c r="A536" s="113"/>
      <c r="B536" s="216"/>
      <c r="C536" s="216"/>
      <c r="D536" s="216"/>
    </row>
    <row r="537" ht="22.5" customHeight="1">
      <c r="A537" s="113"/>
      <c r="B537" s="216"/>
      <c r="C537" s="216"/>
      <c r="D537" s="216"/>
    </row>
    <row r="538" ht="22.5" customHeight="1">
      <c r="A538" s="113"/>
      <c r="B538" s="216"/>
      <c r="C538" s="216"/>
      <c r="D538" s="216"/>
    </row>
    <row r="539" ht="22.5" customHeight="1">
      <c r="A539" s="113"/>
      <c r="B539" s="216"/>
      <c r="C539" s="216"/>
      <c r="D539" s="216"/>
    </row>
    <row r="540" ht="22.5" customHeight="1">
      <c r="A540" s="113"/>
      <c r="B540" s="216"/>
      <c r="C540" s="216"/>
      <c r="D540" s="216"/>
    </row>
    <row r="541" ht="22.5" customHeight="1">
      <c r="A541" s="113"/>
      <c r="B541" s="216"/>
      <c r="C541" s="216"/>
      <c r="D541" s="216"/>
    </row>
    <row r="542" ht="22.5" customHeight="1">
      <c r="A542" s="113"/>
      <c r="B542" s="216"/>
      <c r="C542" s="216"/>
      <c r="D542" s="216"/>
    </row>
    <row r="543" ht="22.5" customHeight="1">
      <c r="A543" s="113"/>
      <c r="B543" s="216"/>
      <c r="C543" s="216"/>
      <c r="D543" s="216"/>
    </row>
    <row r="544" ht="22.5" customHeight="1">
      <c r="A544" s="113"/>
      <c r="B544" s="216"/>
      <c r="C544" s="216"/>
      <c r="D544" s="216"/>
    </row>
    <row r="545" ht="22.5" customHeight="1">
      <c r="A545" s="113"/>
      <c r="B545" s="216"/>
      <c r="C545" s="216"/>
      <c r="D545" s="216"/>
    </row>
    <row r="546" ht="22.5" customHeight="1">
      <c r="A546" s="113"/>
      <c r="B546" s="216"/>
      <c r="C546" s="216"/>
      <c r="D546" s="216"/>
    </row>
    <row r="547" ht="22.5" customHeight="1">
      <c r="A547" s="113"/>
      <c r="B547" s="216"/>
      <c r="C547" s="216"/>
      <c r="D547" s="216"/>
    </row>
    <row r="548" ht="22.5" customHeight="1">
      <c r="A548" s="113"/>
      <c r="B548" s="216"/>
      <c r="C548" s="216"/>
      <c r="D548" s="216"/>
    </row>
    <row r="549" ht="22.5" customHeight="1">
      <c r="A549" s="113"/>
      <c r="B549" s="216"/>
      <c r="C549" s="216"/>
      <c r="D549" s="216"/>
    </row>
    <row r="550" ht="22.5" customHeight="1">
      <c r="A550" s="113"/>
      <c r="B550" s="216"/>
      <c r="C550" s="216"/>
      <c r="D550" s="216"/>
    </row>
    <row r="551" ht="22.5" customHeight="1">
      <c r="A551" s="113"/>
      <c r="B551" s="216"/>
      <c r="C551" s="216"/>
      <c r="D551" s="216"/>
    </row>
    <row r="552" ht="22.5" customHeight="1">
      <c r="A552" s="113"/>
      <c r="B552" s="216"/>
      <c r="C552" s="216"/>
      <c r="D552" s="216"/>
    </row>
    <row r="553" ht="22.5" customHeight="1">
      <c r="A553" s="113"/>
      <c r="B553" s="216"/>
      <c r="C553" s="216"/>
      <c r="D553" s="216"/>
    </row>
    <row r="554" ht="22.5" customHeight="1">
      <c r="A554" s="113"/>
      <c r="B554" s="216"/>
      <c r="C554" s="216"/>
      <c r="D554" s="216"/>
    </row>
    <row r="555" ht="22.5" customHeight="1">
      <c r="A555" s="113"/>
      <c r="B555" s="216"/>
      <c r="C555" s="216"/>
      <c r="D555" s="216"/>
    </row>
    <row r="556" ht="22.5" customHeight="1">
      <c r="A556" s="113"/>
      <c r="B556" s="216"/>
      <c r="C556" s="216"/>
      <c r="D556" s="216"/>
    </row>
    <row r="557" ht="22.5" customHeight="1">
      <c r="A557" s="113"/>
      <c r="B557" s="216"/>
      <c r="C557" s="216"/>
      <c r="D557" s="216"/>
    </row>
    <row r="558" ht="22.5" customHeight="1">
      <c r="A558" s="113"/>
      <c r="B558" s="216"/>
      <c r="C558" s="216"/>
      <c r="D558" s="216"/>
    </row>
    <row r="559" ht="22.5" customHeight="1">
      <c r="A559" s="113"/>
      <c r="B559" s="216"/>
      <c r="C559" s="216"/>
      <c r="D559" s="216"/>
    </row>
    <row r="560" ht="22.5" customHeight="1">
      <c r="A560" s="113"/>
      <c r="B560" s="216"/>
      <c r="C560" s="216"/>
      <c r="D560" s="216"/>
    </row>
    <row r="561" ht="22.5" customHeight="1">
      <c r="A561" s="113"/>
      <c r="B561" s="216"/>
      <c r="C561" s="216"/>
      <c r="D561" s="216"/>
    </row>
    <row r="562" ht="22.5" customHeight="1">
      <c r="A562" s="113"/>
      <c r="B562" s="216"/>
      <c r="C562" s="216"/>
      <c r="D562" s="216"/>
    </row>
    <row r="563" ht="22.5" customHeight="1">
      <c r="A563" s="113"/>
      <c r="B563" s="216"/>
      <c r="C563" s="216"/>
      <c r="D563" s="216"/>
    </row>
    <row r="564" ht="22.5" customHeight="1">
      <c r="A564" s="113"/>
      <c r="B564" s="216"/>
      <c r="C564" s="216"/>
      <c r="D564" s="216"/>
    </row>
    <row r="565" ht="22.5" customHeight="1">
      <c r="A565" s="113"/>
      <c r="B565" s="216"/>
      <c r="C565" s="216"/>
      <c r="D565" s="216"/>
    </row>
    <row r="566" ht="22.5" customHeight="1">
      <c r="A566" s="113"/>
      <c r="B566" s="216"/>
      <c r="C566" s="216"/>
      <c r="D566" s="216"/>
    </row>
    <row r="567" ht="22.5" customHeight="1">
      <c r="A567" s="113"/>
      <c r="B567" s="216"/>
      <c r="C567" s="216"/>
      <c r="D567" s="216"/>
    </row>
    <row r="568" ht="22.5" customHeight="1">
      <c r="A568" s="113"/>
      <c r="B568" s="216"/>
      <c r="C568" s="216"/>
      <c r="D568" s="216"/>
    </row>
    <row r="569" ht="22.5" customHeight="1">
      <c r="A569" s="113"/>
      <c r="B569" s="216"/>
      <c r="C569" s="216"/>
      <c r="D569" s="216"/>
    </row>
    <row r="570" ht="22.5" customHeight="1">
      <c r="A570" s="113"/>
      <c r="B570" s="216"/>
      <c r="C570" s="216"/>
      <c r="D570" s="216"/>
    </row>
    <row r="571" ht="22.5" customHeight="1">
      <c r="A571" s="113"/>
      <c r="B571" s="216"/>
      <c r="C571" s="216"/>
      <c r="D571" s="216"/>
    </row>
    <row r="572" ht="22.5" customHeight="1">
      <c r="A572" s="113"/>
      <c r="B572" s="216"/>
      <c r="C572" s="216"/>
      <c r="D572" s="216"/>
    </row>
    <row r="573" ht="22.5" customHeight="1">
      <c r="A573" s="113"/>
      <c r="B573" s="216"/>
      <c r="C573" s="216"/>
      <c r="D573" s="216"/>
    </row>
    <row r="574" ht="22.5" customHeight="1">
      <c r="A574" s="113"/>
      <c r="B574" s="216"/>
      <c r="C574" s="216"/>
      <c r="D574" s="216"/>
    </row>
    <row r="575" ht="22.5" customHeight="1">
      <c r="A575" s="113"/>
      <c r="B575" s="216"/>
      <c r="C575" s="216"/>
      <c r="D575" s="216"/>
    </row>
    <row r="576" ht="22.5" customHeight="1">
      <c r="A576" s="113"/>
      <c r="B576" s="216"/>
      <c r="C576" s="216"/>
      <c r="D576" s="216"/>
    </row>
    <row r="577" ht="22.5" customHeight="1">
      <c r="A577" s="113"/>
      <c r="B577" s="216"/>
      <c r="C577" s="216"/>
      <c r="D577" s="216"/>
    </row>
    <row r="578" ht="22.5" customHeight="1">
      <c r="A578" s="113"/>
      <c r="B578" s="216"/>
      <c r="C578" s="216"/>
      <c r="D578" s="216"/>
    </row>
    <row r="579" ht="22.5" customHeight="1">
      <c r="A579" s="113"/>
      <c r="B579" s="216"/>
      <c r="C579" s="216"/>
      <c r="D579" s="216"/>
    </row>
    <row r="580" ht="22.5" customHeight="1">
      <c r="A580" s="113"/>
      <c r="B580" s="216"/>
      <c r="C580" s="216"/>
      <c r="D580" s="216"/>
    </row>
    <row r="581" ht="22.5" customHeight="1">
      <c r="A581" s="113"/>
      <c r="B581" s="216"/>
      <c r="C581" s="216"/>
      <c r="D581" s="216"/>
    </row>
    <row r="582" ht="22.5" customHeight="1">
      <c r="A582" s="113"/>
      <c r="B582" s="216"/>
      <c r="C582" s="216"/>
      <c r="D582" s="216"/>
    </row>
    <row r="583" ht="22.5" customHeight="1">
      <c r="A583" s="113"/>
      <c r="B583" s="216"/>
      <c r="C583" s="216"/>
      <c r="D583" s="216"/>
    </row>
    <row r="584" ht="22.5" customHeight="1">
      <c r="A584" s="113"/>
      <c r="B584" s="216"/>
      <c r="C584" s="216"/>
      <c r="D584" s="216"/>
    </row>
    <row r="585" ht="22.5" customHeight="1">
      <c r="A585" s="113"/>
      <c r="B585" s="216"/>
      <c r="C585" s="216"/>
      <c r="D585" s="216"/>
    </row>
    <row r="586" ht="22.5" customHeight="1">
      <c r="A586" s="113"/>
      <c r="B586" s="216"/>
      <c r="C586" s="216"/>
      <c r="D586" s="216"/>
    </row>
    <row r="587" ht="22.5" customHeight="1">
      <c r="A587" s="113"/>
      <c r="B587" s="216"/>
      <c r="C587" s="216"/>
      <c r="D587" s="216"/>
    </row>
    <row r="588" ht="22.5" customHeight="1">
      <c r="A588" s="113"/>
      <c r="B588" s="216"/>
      <c r="C588" s="216"/>
      <c r="D588" s="216"/>
    </row>
    <row r="589" ht="22.5" customHeight="1">
      <c r="A589" s="113"/>
      <c r="B589" s="216"/>
      <c r="C589" s="216"/>
      <c r="D589" s="216"/>
    </row>
    <row r="590" ht="22.5" customHeight="1">
      <c r="A590" s="113"/>
      <c r="B590" s="216"/>
      <c r="C590" s="216"/>
      <c r="D590" s="216"/>
    </row>
    <row r="591" ht="22.5" customHeight="1">
      <c r="A591" s="113"/>
      <c r="B591" s="216"/>
      <c r="C591" s="216"/>
      <c r="D591" s="216"/>
    </row>
    <row r="592" ht="22.5" customHeight="1">
      <c r="A592" s="113"/>
      <c r="B592" s="216"/>
      <c r="C592" s="216"/>
      <c r="D592" s="216"/>
    </row>
    <row r="593" ht="22.5" customHeight="1">
      <c r="A593" s="113"/>
      <c r="B593" s="216"/>
      <c r="C593" s="216"/>
      <c r="D593" s="216"/>
    </row>
    <row r="594" ht="22.5" customHeight="1">
      <c r="A594" s="113"/>
      <c r="B594" s="216"/>
      <c r="C594" s="216"/>
      <c r="D594" s="216"/>
    </row>
    <row r="595" ht="22.5" customHeight="1">
      <c r="A595" s="113"/>
      <c r="B595" s="216"/>
      <c r="C595" s="216"/>
      <c r="D595" s="216"/>
    </row>
    <row r="596" ht="22.5" customHeight="1">
      <c r="A596" s="113"/>
      <c r="B596" s="216"/>
      <c r="C596" s="216"/>
      <c r="D596" s="216"/>
    </row>
    <row r="597" ht="22.5" customHeight="1">
      <c r="A597" s="113"/>
      <c r="B597" s="216"/>
      <c r="C597" s="216"/>
      <c r="D597" s="216"/>
    </row>
    <row r="598" ht="22.5" customHeight="1">
      <c r="A598" s="113"/>
      <c r="B598" s="216"/>
      <c r="C598" s="216"/>
      <c r="D598" s="216"/>
    </row>
    <row r="599" ht="22.5" customHeight="1">
      <c r="A599" s="113"/>
      <c r="B599" s="216"/>
      <c r="C599" s="216"/>
      <c r="D599" s="216"/>
    </row>
    <row r="600" ht="22.5" customHeight="1">
      <c r="A600" s="113"/>
      <c r="B600" s="216"/>
      <c r="C600" s="216"/>
      <c r="D600" s="216"/>
    </row>
    <row r="601" ht="22.5" customHeight="1">
      <c r="A601" s="113"/>
      <c r="B601" s="216"/>
      <c r="C601" s="216"/>
      <c r="D601" s="216"/>
    </row>
    <row r="602" ht="22.5" customHeight="1">
      <c r="A602" s="113"/>
      <c r="B602" s="216"/>
      <c r="C602" s="216"/>
      <c r="D602" s="216"/>
    </row>
    <row r="603" ht="22.5" customHeight="1">
      <c r="A603" s="113"/>
      <c r="B603" s="216"/>
      <c r="C603" s="216"/>
      <c r="D603" s="216"/>
    </row>
    <row r="604" ht="22.5" customHeight="1">
      <c r="A604" s="113"/>
      <c r="B604" s="216"/>
      <c r="C604" s="216"/>
      <c r="D604" s="216"/>
    </row>
    <row r="605" ht="22.5" customHeight="1">
      <c r="A605" s="113"/>
      <c r="B605" s="216"/>
      <c r="C605" s="216"/>
      <c r="D605" s="216"/>
    </row>
    <row r="606" ht="22.5" customHeight="1">
      <c r="A606" s="113"/>
      <c r="B606" s="216"/>
      <c r="C606" s="216"/>
      <c r="D606" s="216"/>
    </row>
    <row r="607" ht="22.5" customHeight="1">
      <c r="A607" s="113"/>
      <c r="B607" s="216"/>
      <c r="C607" s="216"/>
      <c r="D607" s="216"/>
    </row>
    <row r="608" ht="22.5" customHeight="1">
      <c r="A608" s="113"/>
      <c r="B608" s="216"/>
      <c r="C608" s="216"/>
      <c r="D608" s="216"/>
    </row>
    <row r="609" ht="22.5" customHeight="1">
      <c r="A609" s="113"/>
      <c r="B609" s="216"/>
      <c r="C609" s="216"/>
      <c r="D609" s="216"/>
    </row>
    <row r="610" ht="22.5" customHeight="1">
      <c r="A610" s="113"/>
      <c r="B610" s="216"/>
      <c r="C610" s="216"/>
      <c r="D610" s="216"/>
    </row>
    <row r="611" ht="22.5" customHeight="1">
      <c r="A611" s="113"/>
      <c r="B611" s="216"/>
      <c r="C611" s="216"/>
      <c r="D611" s="216"/>
    </row>
    <row r="612" ht="22.5" customHeight="1">
      <c r="A612" s="113"/>
      <c r="B612" s="216"/>
      <c r="C612" s="216"/>
      <c r="D612" s="216"/>
    </row>
    <row r="613" ht="22.5" customHeight="1">
      <c r="A613" s="113"/>
      <c r="B613" s="216"/>
      <c r="C613" s="216"/>
      <c r="D613" s="216"/>
    </row>
    <row r="614" ht="22.5" customHeight="1">
      <c r="A614" s="113"/>
      <c r="B614" s="216"/>
      <c r="C614" s="216"/>
      <c r="D614" s="216"/>
    </row>
    <row r="615" ht="22.5" customHeight="1">
      <c r="A615" s="113"/>
      <c r="B615" s="216"/>
      <c r="C615" s="216"/>
      <c r="D615" s="216"/>
    </row>
    <row r="616" ht="22.5" customHeight="1">
      <c r="A616" s="113"/>
      <c r="B616" s="216"/>
      <c r="C616" s="216"/>
      <c r="D616" s="216"/>
    </row>
    <row r="617" ht="22.5" customHeight="1">
      <c r="A617" s="113"/>
      <c r="B617" s="216"/>
      <c r="C617" s="216"/>
      <c r="D617" s="216"/>
    </row>
    <row r="618" ht="22.5" customHeight="1">
      <c r="A618" s="113"/>
      <c r="B618" s="216"/>
      <c r="C618" s="216"/>
      <c r="D618" s="216"/>
    </row>
    <row r="619" ht="22.5" customHeight="1">
      <c r="A619" s="113"/>
      <c r="B619" s="216"/>
      <c r="C619" s="216"/>
      <c r="D619" s="216"/>
    </row>
    <row r="620" ht="22.5" customHeight="1">
      <c r="A620" s="113"/>
      <c r="B620" s="216"/>
      <c r="C620" s="216"/>
      <c r="D620" s="216"/>
    </row>
    <row r="621" ht="22.5" customHeight="1">
      <c r="A621" s="113"/>
      <c r="B621" s="216"/>
      <c r="C621" s="216"/>
      <c r="D621" s="216"/>
    </row>
    <row r="622" ht="22.5" customHeight="1">
      <c r="A622" s="113"/>
      <c r="B622" s="216"/>
      <c r="C622" s="216"/>
      <c r="D622" s="216"/>
    </row>
    <row r="623" ht="22.5" customHeight="1">
      <c r="A623" s="113"/>
      <c r="B623" s="216"/>
      <c r="C623" s="216"/>
      <c r="D623" s="216"/>
    </row>
    <row r="624" ht="22.5" customHeight="1">
      <c r="A624" s="113"/>
      <c r="B624" s="216"/>
      <c r="C624" s="216"/>
      <c r="D624" s="216"/>
    </row>
    <row r="625" ht="22.5" customHeight="1">
      <c r="A625" s="113"/>
      <c r="B625" s="216"/>
      <c r="C625" s="216"/>
      <c r="D625" s="216"/>
    </row>
    <row r="626" ht="22.5" customHeight="1">
      <c r="A626" s="113"/>
      <c r="B626" s="216"/>
      <c r="C626" s="216"/>
      <c r="D626" s="216"/>
    </row>
    <row r="627" ht="22.5" customHeight="1">
      <c r="A627" s="113"/>
      <c r="B627" s="216"/>
      <c r="C627" s="216"/>
      <c r="D627" s="216"/>
    </row>
    <row r="628" ht="22.5" customHeight="1">
      <c r="A628" s="113"/>
      <c r="B628" s="216"/>
      <c r="C628" s="216"/>
      <c r="D628" s="216"/>
    </row>
    <row r="629" ht="22.5" customHeight="1">
      <c r="A629" s="113"/>
      <c r="B629" s="216"/>
      <c r="C629" s="216"/>
      <c r="D629" s="216"/>
    </row>
    <row r="630" ht="22.5" customHeight="1">
      <c r="A630" s="113"/>
      <c r="B630" s="216"/>
      <c r="C630" s="216"/>
      <c r="D630" s="216"/>
    </row>
    <row r="631" ht="22.5" customHeight="1">
      <c r="A631" s="113"/>
      <c r="B631" s="216"/>
      <c r="C631" s="216"/>
      <c r="D631" s="216"/>
    </row>
    <row r="632" ht="22.5" customHeight="1">
      <c r="A632" s="113"/>
      <c r="B632" s="216"/>
      <c r="C632" s="216"/>
      <c r="D632" s="216"/>
    </row>
    <row r="633" ht="22.5" customHeight="1">
      <c r="A633" s="113"/>
      <c r="B633" s="216"/>
      <c r="C633" s="216"/>
      <c r="D633" s="216"/>
    </row>
    <row r="634" ht="22.5" customHeight="1">
      <c r="A634" s="113"/>
      <c r="B634" s="216"/>
      <c r="C634" s="216"/>
      <c r="D634" s="216"/>
    </row>
    <row r="635" ht="22.5" customHeight="1">
      <c r="A635" s="113"/>
      <c r="B635" s="216"/>
      <c r="C635" s="216"/>
      <c r="D635" s="216"/>
    </row>
    <row r="636" ht="22.5" customHeight="1">
      <c r="A636" s="113"/>
      <c r="B636" s="216"/>
      <c r="C636" s="216"/>
      <c r="D636" s="216"/>
    </row>
    <row r="637" ht="22.5" customHeight="1">
      <c r="A637" s="113"/>
      <c r="B637" s="216"/>
      <c r="C637" s="216"/>
      <c r="D637" s="216"/>
    </row>
    <row r="638" ht="22.5" customHeight="1">
      <c r="A638" s="113"/>
      <c r="B638" s="216"/>
      <c r="C638" s="216"/>
      <c r="D638" s="216"/>
    </row>
    <row r="639" ht="22.5" customHeight="1">
      <c r="A639" s="113"/>
      <c r="B639" s="216"/>
      <c r="C639" s="216"/>
      <c r="D639" s="216"/>
    </row>
    <row r="640" ht="22.5" customHeight="1">
      <c r="A640" s="113"/>
      <c r="B640" s="216"/>
      <c r="C640" s="216"/>
      <c r="D640" s="216"/>
    </row>
    <row r="641" ht="22.5" customHeight="1">
      <c r="A641" s="113"/>
      <c r="B641" s="216"/>
      <c r="C641" s="216"/>
      <c r="D641" s="216"/>
    </row>
    <row r="642" ht="22.5" customHeight="1">
      <c r="A642" s="113"/>
      <c r="B642" s="216"/>
      <c r="C642" s="216"/>
      <c r="D642" s="216"/>
    </row>
    <row r="643" ht="22.5" customHeight="1">
      <c r="A643" s="113"/>
      <c r="B643" s="216"/>
      <c r="C643" s="216"/>
      <c r="D643" s="216"/>
    </row>
    <row r="644" ht="22.5" customHeight="1">
      <c r="A644" s="113"/>
      <c r="B644" s="216"/>
      <c r="C644" s="216"/>
      <c r="D644" s="216"/>
    </row>
    <row r="645" ht="22.5" customHeight="1">
      <c r="A645" s="113"/>
      <c r="B645" s="216"/>
      <c r="C645" s="216"/>
      <c r="D645" s="216"/>
    </row>
    <row r="646" ht="22.5" customHeight="1">
      <c r="A646" s="113"/>
      <c r="B646" s="216"/>
      <c r="C646" s="216"/>
      <c r="D646" s="216"/>
    </row>
    <row r="647" ht="22.5" customHeight="1">
      <c r="A647" s="113"/>
      <c r="B647" s="216"/>
      <c r="C647" s="216"/>
      <c r="D647" s="216"/>
    </row>
    <row r="648" ht="22.5" customHeight="1">
      <c r="A648" s="113"/>
      <c r="B648" s="216"/>
      <c r="C648" s="216"/>
      <c r="D648" s="216"/>
    </row>
    <row r="649" ht="22.5" customHeight="1">
      <c r="A649" s="113"/>
      <c r="B649" s="216"/>
      <c r="C649" s="216"/>
      <c r="D649" s="216"/>
    </row>
    <row r="650" ht="22.5" customHeight="1">
      <c r="A650" s="113"/>
      <c r="B650" s="216"/>
      <c r="C650" s="216"/>
      <c r="D650" s="216"/>
    </row>
    <row r="651" ht="22.5" customHeight="1">
      <c r="A651" s="113"/>
      <c r="B651" s="216"/>
      <c r="C651" s="216"/>
      <c r="D651" s="216"/>
    </row>
    <row r="652" ht="22.5" customHeight="1">
      <c r="A652" s="113"/>
      <c r="B652" s="216"/>
      <c r="C652" s="216"/>
      <c r="D652" s="216"/>
    </row>
    <row r="653" ht="22.5" customHeight="1">
      <c r="A653" s="113"/>
      <c r="B653" s="216"/>
      <c r="C653" s="216"/>
      <c r="D653" s="216"/>
    </row>
    <row r="654" ht="22.5" customHeight="1">
      <c r="A654" s="113"/>
      <c r="B654" s="216"/>
      <c r="C654" s="216"/>
      <c r="D654" s="216"/>
    </row>
    <row r="655" ht="22.5" customHeight="1">
      <c r="A655" s="113"/>
      <c r="B655" s="216"/>
      <c r="C655" s="216"/>
      <c r="D655" s="216"/>
    </row>
    <row r="656" ht="22.5" customHeight="1">
      <c r="A656" s="113"/>
      <c r="B656" s="216"/>
      <c r="C656" s="216"/>
      <c r="D656" s="216"/>
    </row>
    <row r="657" ht="22.5" customHeight="1">
      <c r="A657" s="113"/>
      <c r="B657" s="216"/>
      <c r="C657" s="216"/>
      <c r="D657" s="216"/>
    </row>
    <row r="658" ht="22.5" customHeight="1">
      <c r="A658" s="113"/>
      <c r="B658" s="216"/>
      <c r="C658" s="216"/>
      <c r="D658" s="216"/>
    </row>
    <row r="659" ht="22.5" customHeight="1">
      <c r="A659" s="113"/>
      <c r="B659" s="216"/>
      <c r="C659" s="216"/>
      <c r="D659" s="216"/>
    </row>
    <row r="660" ht="22.5" customHeight="1">
      <c r="A660" s="113"/>
      <c r="B660" s="216"/>
      <c r="C660" s="216"/>
      <c r="D660" s="216"/>
    </row>
    <row r="661" ht="22.5" customHeight="1">
      <c r="A661" s="113"/>
      <c r="B661" s="216"/>
      <c r="C661" s="216"/>
      <c r="D661" s="216"/>
    </row>
    <row r="662" ht="22.5" customHeight="1">
      <c r="A662" s="113"/>
      <c r="B662" s="216"/>
      <c r="C662" s="216"/>
      <c r="D662" s="216"/>
    </row>
    <row r="663" ht="22.5" customHeight="1">
      <c r="A663" s="113"/>
      <c r="B663" s="216"/>
      <c r="C663" s="216"/>
      <c r="D663" s="216"/>
    </row>
    <row r="664" ht="22.5" customHeight="1">
      <c r="A664" s="113"/>
      <c r="B664" s="216"/>
      <c r="C664" s="216"/>
      <c r="D664" s="216"/>
    </row>
    <row r="665" ht="22.5" customHeight="1">
      <c r="A665" s="113"/>
      <c r="B665" s="216"/>
      <c r="C665" s="216"/>
      <c r="D665" s="216"/>
    </row>
    <row r="666" ht="22.5" customHeight="1">
      <c r="A666" s="113"/>
      <c r="B666" s="216"/>
      <c r="C666" s="216"/>
      <c r="D666" s="216"/>
    </row>
    <row r="667" ht="22.5" customHeight="1">
      <c r="A667" s="113"/>
      <c r="B667" s="216"/>
      <c r="C667" s="216"/>
      <c r="D667" s="216"/>
    </row>
    <row r="668" ht="22.5" customHeight="1">
      <c r="A668" s="113"/>
      <c r="B668" s="216"/>
      <c r="C668" s="216"/>
      <c r="D668" s="216"/>
    </row>
    <row r="669" ht="22.5" customHeight="1">
      <c r="A669" s="113"/>
      <c r="B669" s="216"/>
      <c r="C669" s="216"/>
      <c r="D669" s="216"/>
    </row>
    <row r="670" ht="22.5" customHeight="1">
      <c r="A670" s="113"/>
      <c r="B670" s="216"/>
      <c r="C670" s="216"/>
      <c r="D670" s="216"/>
    </row>
    <row r="671" ht="22.5" customHeight="1">
      <c r="A671" s="113"/>
      <c r="B671" s="216"/>
      <c r="C671" s="216"/>
      <c r="D671" s="216"/>
    </row>
    <row r="672" ht="22.5" customHeight="1">
      <c r="A672" s="113"/>
      <c r="B672" s="216"/>
      <c r="C672" s="216"/>
      <c r="D672" s="216"/>
    </row>
    <row r="673" ht="22.5" customHeight="1">
      <c r="A673" s="113"/>
      <c r="B673" s="216"/>
      <c r="C673" s="216"/>
      <c r="D673" s="216"/>
    </row>
    <row r="674" ht="22.5" customHeight="1">
      <c r="A674" s="113"/>
      <c r="B674" s="216"/>
      <c r="C674" s="216"/>
      <c r="D674" s="216"/>
    </row>
    <row r="675" ht="22.5" customHeight="1">
      <c r="A675" s="113"/>
      <c r="B675" s="216"/>
      <c r="C675" s="216"/>
      <c r="D675" s="216"/>
    </row>
    <row r="676" ht="22.5" customHeight="1">
      <c r="A676" s="113"/>
      <c r="B676" s="216"/>
      <c r="C676" s="216"/>
      <c r="D676" s="216"/>
    </row>
    <row r="677" ht="22.5" customHeight="1">
      <c r="A677" s="113"/>
      <c r="B677" s="216"/>
      <c r="C677" s="216"/>
      <c r="D677" s="216"/>
    </row>
    <row r="678" ht="22.5" customHeight="1">
      <c r="A678" s="113"/>
      <c r="B678" s="216"/>
      <c r="C678" s="216"/>
      <c r="D678" s="216"/>
    </row>
    <row r="679" ht="22.5" customHeight="1">
      <c r="A679" s="113"/>
      <c r="B679" s="216"/>
      <c r="C679" s="216"/>
      <c r="D679" s="216"/>
    </row>
    <row r="680" ht="22.5" customHeight="1">
      <c r="A680" s="113"/>
      <c r="B680" s="216"/>
      <c r="C680" s="216"/>
      <c r="D680" s="216"/>
    </row>
    <row r="681" ht="22.5" customHeight="1">
      <c r="A681" s="113"/>
      <c r="B681" s="216"/>
      <c r="C681" s="216"/>
      <c r="D681" s="216"/>
    </row>
    <row r="682" ht="22.5" customHeight="1">
      <c r="A682" s="113"/>
      <c r="B682" s="216"/>
      <c r="C682" s="216"/>
      <c r="D682" s="216"/>
    </row>
    <row r="683" ht="22.5" customHeight="1">
      <c r="A683" s="113"/>
      <c r="B683" s="216"/>
      <c r="C683" s="216"/>
      <c r="D683" s="216"/>
    </row>
    <row r="684" ht="22.5" customHeight="1">
      <c r="A684" s="113"/>
      <c r="B684" s="216"/>
      <c r="C684" s="216"/>
      <c r="D684" s="216"/>
    </row>
    <row r="685" ht="22.5" customHeight="1">
      <c r="A685" s="113"/>
      <c r="B685" s="216"/>
      <c r="C685" s="216"/>
      <c r="D685" s="216"/>
    </row>
    <row r="686" ht="22.5" customHeight="1">
      <c r="A686" s="113"/>
      <c r="B686" s="216"/>
      <c r="C686" s="216"/>
      <c r="D686" s="216"/>
    </row>
    <row r="687" ht="22.5" customHeight="1">
      <c r="A687" s="113"/>
      <c r="B687" s="216"/>
      <c r="C687" s="216"/>
      <c r="D687" s="216"/>
    </row>
    <row r="688" ht="22.5" customHeight="1">
      <c r="A688" s="113"/>
      <c r="B688" s="216"/>
      <c r="C688" s="216"/>
      <c r="D688" s="216"/>
    </row>
    <row r="689" ht="22.5" customHeight="1">
      <c r="A689" s="113"/>
      <c r="B689" s="216"/>
      <c r="C689" s="216"/>
      <c r="D689" s="216"/>
    </row>
    <row r="690" ht="22.5" customHeight="1">
      <c r="A690" s="113"/>
      <c r="B690" s="216"/>
      <c r="C690" s="216"/>
      <c r="D690" s="216"/>
    </row>
    <row r="691" ht="22.5" customHeight="1">
      <c r="A691" s="113"/>
      <c r="B691" s="216"/>
      <c r="C691" s="216"/>
      <c r="D691" s="216"/>
    </row>
    <row r="692" ht="22.5" customHeight="1">
      <c r="A692" s="113"/>
      <c r="B692" s="216"/>
      <c r="C692" s="216"/>
      <c r="D692" s="216"/>
    </row>
    <row r="693" ht="22.5" customHeight="1">
      <c r="A693" s="113"/>
      <c r="B693" s="216"/>
      <c r="C693" s="216"/>
      <c r="D693" s="216"/>
    </row>
    <row r="694" ht="22.5" customHeight="1">
      <c r="A694" s="113"/>
      <c r="B694" s="216"/>
      <c r="C694" s="216"/>
      <c r="D694" s="216"/>
    </row>
    <row r="695" ht="22.5" customHeight="1">
      <c r="A695" s="113"/>
      <c r="B695" s="216"/>
      <c r="C695" s="216"/>
      <c r="D695" s="216"/>
    </row>
    <row r="696" ht="22.5" customHeight="1">
      <c r="A696" s="113"/>
      <c r="B696" s="216"/>
      <c r="C696" s="216"/>
      <c r="D696" s="216"/>
    </row>
    <row r="697" ht="22.5" customHeight="1">
      <c r="A697" s="113"/>
      <c r="B697" s="216"/>
      <c r="C697" s="216"/>
      <c r="D697" s="216"/>
    </row>
    <row r="698" ht="22.5" customHeight="1">
      <c r="A698" s="113"/>
      <c r="B698" s="216"/>
      <c r="C698" s="216"/>
      <c r="D698" s="216"/>
    </row>
    <row r="699" ht="22.5" customHeight="1">
      <c r="A699" s="113"/>
      <c r="B699" s="216"/>
      <c r="C699" s="216"/>
      <c r="D699" s="216"/>
    </row>
    <row r="700" ht="22.5" customHeight="1">
      <c r="A700" s="113"/>
      <c r="B700" s="216"/>
      <c r="C700" s="216"/>
      <c r="D700" s="216"/>
    </row>
    <row r="701" ht="22.5" customHeight="1">
      <c r="A701" s="113"/>
      <c r="B701" s="216"/>
      <c r="C701" s="216"/>
      <c r="D701" s="216"/>
    </row>
    <row r="702" ht="22.5" customHeight="1">
      <c r="A702" s="113"/>
      <c r="B702" s="216"/>
      <c r="C702" s="216"/>
      <c r="D702" s="216"/>
    </row>
    <row r="703" ht="22.5" customHeight="1">
      <c r="A703" s="113"/>
      <c r="B703" s="216"/>
      <c r="C703" s="216"/>
      <c r="D703" s="216"/>
    </row>
    <row r="704" ht="22.5" customHeight="1">
      <c r="A704" s="113"/>
      <c r="B704" s="216"/>
      <c r="C704" s="216"/>
      <c r="D704" s="216"/>
    </row>
    <row r="705" ht="22.5" customHeight="1">
      <c r="A705" s="113"/>
      <c r="B705" s="216"/>
      <c r="C705" s="216"/>
      <c r="D705" s="216"/>
    </row>
    <row r="706" ht="22.5" customHeight="1">
      <c r="A706" s="113"/>
      <c r="B706" s="216"/>
      <c r="C706" s="216"/>
      <c r="D706" s="216"/>
    </row>
    <row r="707" ht="22.5" customHeight="1">
      <c r="A707" s="113"/>
      <c r="B707" s="216"/>
      <c r="C707" s="216"/>
      <c r="D707" s="216"/>
    </row>
    <row r="708" ht="22.5" customHeight="1">
      <c r="A708" s="113"/>
      <c r="B708" s="216"/>
      <c r="C708" s="216"/>
      <c r="D708" s="216"/>
    </row>
    <row r="709" ht="22.5" customHeight="1">
      <c r="A709" s="113"/>
      <c r="B709" s="216"/>
      <c r="C709" s="216"/>
      <c r="D709" s="216"/>
    </row>
    <row r="710" ht="22.5" customHeight="1">
      <c r="A710" s="113"/>
      <c r="B710" s="216"/>
      <c r="C710" s="216"/>
      <c r="D710" s="216"/>
    </row>
    <row r="711" ht="22.5" customHeight="1">
      <c r="A711" s="113"/>
      <c r="B711" s="216"/>
      <c r="C711" s="216"/>
      <c r="D711" s="216"/>
    </row>
    <row r="712" ht="22.5" customHeight="1">
      <c r="A712" s="113"/>
      <c r="B712" s="216"/>
      <c r="C712" s="216"/>
      <c r="D712" s="216"/>
    </row>
    <row r="713" ht="22.5" customHeight="1">
      <c r="A713" s="113"/>
      <c r="B713" s="216"/>
      <c r="C713" s="216"/>
      <c r="D713" s="216"/>
    </row>
    <row r="714" ht="22.5" customHeight="1">
      <c r="A714" s="113"/>
      <c r="B714" s="216"/>
      <c r="C714" s="216"/>
      <c r="D714" s="216"/>
    </row>
    <row r="715" ht="22.5" customHeight="1">
      <c r="A715" s="113"/>
      <c r="B715" s="216"/>
      <c r="C715" s="216"/>
      <c r="D715" s="216"/>
    </row>
    <row r="716" ht="22.5" customHeight="1">
      <c r="A716" s="113"/>
      <c r="B716" s="216"/>
      <c r="C716" s="216"/>
      <c r="D716" s="216"/>
    </row>
    <row r="717" ht="22.5" customHeight="1">
      <c r="A717" s="113"/>
      <c r="B717" s="216"/>
      <c r="C717" s="216"/>
      <c r="D717" s="216"/>
    </row>
    <row r="718" ht="22.5" customHeight="1">
      <c r="A718" s="113"/>
      <c r="B718" s="216"/>
      <c r="C718" s="216"/>
      <c r="D718" s="216"/>
    </row>
    <row r="719" ht="22.5" customHeight="1">
      <c r="A719" s="113"/>
      <c r="B719" s="216"/>
      <c r="C719" s="216"/>
      <c r="D719" s="216"/>
    </row>
    <row r="720" ht="22.5" customHeight="1">
      <c r="A720" s="113"/>
      <c r="B720" s="216"/>
      <c r="C720" s="216"/>
      <c r="D720" s="216"/>
    </row>
    <row r="721" ht="22.5" customHeight="1">
      <c r="A721" s="113"/>
      <c r="B721" s="216"/>
      <c r="C721" s="216"/>
      <c r="D721" s="216"/>
    </row>
    <row r="722" ht="22.5" customHeight="1">
      <c r="A722" s="113"/>
      <c r="B722" s="216"/>
      <c r="C722" s="216"/>
      <c r="D722" s="216"/>
    </row>
    <row r="723" ht="22.5" customHeight="1">
      <c r="A723" s="113"/>
      <c r="B723" s="216"/>
      <c r="C723" s="216"/>
      <c r="D723" s="216"/>
    </row>
    <row r="724" ht="22.5" customHeight="1">
      <c r="A724" s="113"/>
      <c r="B724" s="216"/>
      <c r="C724" s="216"/>
      <c r="D724" s="216"/>
    </row>
    <row r="725" ht="22.5" customHeight="1">
      <c r="A725" s="113"/>
      <c r="B725" s="216"/>
      <c r="C725" s="216"/>
      <c r="D725" s="216"/>
    </row>
    <row r="726" ht="22.5" customHeight="1">
      <c r="A726" s="113"/>
      <c r="B726" s="216"/>
      <c r="C726" s="216"/>
      <c r="D726" s="216"/>
    </row>
    <row r="727" ht="22.5" customHeight="1">
      <c r="A727" s="113"/>
      <c r="B727" s="216"/>
      <c r="C727" s="216"/>
      <c r="D727" s="216"/>
    </row>
    <row r="728" ht="22.5" customHeight="1">
      <c r="A728" s="113"/>
      <c r="B728" s="216"/>
      <c r="C728" s="216"/>
      <c r="D728" s="216"/>
    </row>
    <row r="729" ht="22.5" customHeight="1">
      <c r="A729" s="113"/>
      <c r="B729" s="216"/>
      <c r="C729" s="216"/>
      <c r="D729" s="216"/>
    </row>
    <row r="730" ht="22.5" customHeight="1">
      <c r="A730" s="113"/>
      <c r="B730" s="216"/>
      <c r="C730" s="216"/>
      <c r="D730" s="216"/>
    </row>
    <row r="731" ht="22.5" customHeight="1">
      <c r="A731" s="113"/>
      <c r="B731" s="216"/>
      <c r="C731" s="216"/>
      <c r="D731" s="216"/>
    </row>
    <row r="732" ht="22.5" customHeight="1">
      <c r="A732" s="113"/>
      <c r="B732" s="216"/>
      <c r="C732" s="216"/>
      <c r="D732" s="216"/>
    </row>
    <row r="733" ht="22.5" customHeight="1">
      <c r="A733" s="113"/>
      <c r="B733" s="216"/>
      <c r="C733" s="216"/>
      <c r="D733" s="216"/>
    </row>
    <row r="734" ht="22.5" customHeight="1">
      <c r="A734" s="113"/>
      <c r="B734" s="216"/>
      <c r="C734" s="216"/>
      <c r="D734" s="216"/>
    </row>
    <row r="735" ht="22.5" customHeight="1">
      <c r="A735" s="113"/>
      <c r="B735" s="216"/>
      <c r="C735" s="216"/>
      <c r="D735" s="216"/>
    </row>
    <row r="736" ht="22.5" customHeight="1">
      <c r="A736" s="113"/>
      <c r="B736" s="216"/>
      <c r="C736" s="216"/>
      <c r="D736" s="216"/>
    </row>
    <row r="737" ht="22.5" customHeight="1">
      <c r="A737" s="113"/>
      <c r="B737" s="216"/>
      <c r="C737" s="216"/>
      <c r="D737" s="216"/>
    </row>
    <row r="738" ht="22.5" customHeight="1">
      <c r="A738" s="113"/>
      <c r="B738" s="216"/>
      <c r="C738" s="216"/>
      <c r="D738" s="216"/>
    </row>
    <row r="739" ht="22.5" customHeight="1">
      <c r="A739" s="113"/>
      <c r="B739" s="216"/>
      <c r="C739" s="216"/>
      <c r="D739" s="216"/>
    </row>
    <row r="740" ht="22.5" customHeight="1">
      <c r="A740" s="113"/>
      <c r="B740" s="216"/>
      <c r="C740" s="216"/>
      <c r="D740" s="216"/>
    </row>
    <row r="741" ht="22.5" customHeight="1">
      <c r="A741" s="113"/>
      <c r="B741" s="216"/>
      <c r="C741" s="216"/>
      <c r="D741" s="216"/>
    </row>
    <row r="742" ht="22.5" customHeight="1">
      <c r="A742" s="113"/>
      <c r="B742" s="216"/>
      <c r="C742" s="216"/>
      <c r="D742" s="216"/>
    </row>
    <row r="743" ht="22.5" customHeight="1">
      <c r="A743" s="113"/>
      <c r="B743" s="216"/>
      <c r="C743" s="216"/>
      <c r="D743" s="216"/>
    </row>
    <row r="744" ht="22.5" customHeight="1">
      <c r="A744" s="113"/>
      <c r="B744" s="216"/>
      <c r="C744" s="216"/>
      <c r="D744" s="216"/>
    </row>
    <row r="745" ht="22.5" customHeight="1">
      <c r="A745" s="113"/>
      <c r="B745" s="216"/>
      <c r="C745" s="216"/>
      <c r="D745" s="216"/>
    </row>
    <row r="746" ht="22.5" customHeight="1">
      <c r="A746" s="113"/>
      <c r="B746" s="216"/>
      <c r="C746" s="216"/>
      <c r="D746" s="216"/>
    </row>
    <row r="747" ht="22.5" customHeight="1">
      <c r="A747" s="113"/>
      <c r="B747" s="216"/>
      <c r="C747" s="216"/>
      <c r="D747" s="216"/>
    </row>
    <row r="748" ht="22.5" customHeight="1">
      <c r="A748" s="113"/>
      <c r="B748" s="216"/>
      <c r="C748" s="216"/>
      <c r="D748" s="216"/>
    </row>
    <row r="749" ht="22.5" customHeight="1">
      <c r="A749" s="113"/>
      <c r="B749" s="216"/>
      <c r="C749" s="216"/>
      <c r="D749" s="216"/>
    </row>
    <row r="750" ht="22.5" customHeight="1">
      <c r="A750" s="113"/>
      <c r="B750" s="216"/>
      <c r="C750" s="216"/>
      <c r="D750" s="216"/>
    </row>
    <row r="751" ht="22.5" customHeight="1">
      <c r="A751" s="113"/>
      <c r="B751" s="216"/>
      <c r="C751" s="216"/>
      <c r="D751" s="216"/>
    </row>
    <row r="752" ht="22.5" customHeight="1">
      <c r="A752" s="113"/>
      <c r="B752" s="216"/>
      <c r="C752" s="216"/>
      <c r="D752" s="216"/>
    </row>
    <row r="753" ht="22.5" customHeight="1">
      <c r="A753" s="113"/>
      <c r="B753" s="216"/>
      <c r="C753" s="216"/>
      <c r="D753" s="216"/>
    </row>
    <row r="754" ht="22.5" customHeight="1">
      <c r="A754" s="113"/>
      <c r="B754" s="216"/>
      <c r="C754" s="216"/>
      <c r="D754" s="216"/>
    </row>
    <row r="755" ht="22.5" customHeight="1">
      <c r="A755" s="113"/>
      <c r="B755" s="216"/>
      <c r="C755" s="216"/>
      <c r="D755" s="216"/>
    </row>
    <row r="756" ht="22.5" customHeight="1">
      <c r="A756" s="113"/>
      <c r="B756" s="216"/>
      <c r="C756" s="216"/>
      <c r="D756" s="216"/>
    </row>
    <row r="757" ht="22.5" customHeight="1">
      <c r="A757" s="113"/>
      <c r="B757" s="216"/>
      <c r="C757" s="216"/>
      <c r="D757" s="216"/>
    </row>
    <row r="758" ht="22.5" customHeight="1">
      <c r="A758" s="113"/>
      <c r="B758" s="216"/>
      <c r="C758" s="216"/>
      <c r="D758" s="216"/>
    </row>
    <row r="759" ht="22.5" customHeight="1">
      <c r="A759" s="113"/>
      <c r="B759" s="216"/>
      <c r="C759" s="216"/>
      <c r="D759" s="216"/>
    </row>
    <row r="760" ht="22.5" customHeight="1">
      <c r="A760" s="113"/>
      <c r="B760" s="216"/>
      <c r="C760" s="216"/>
      <c r="D760" s="216"/>
    </row>
    <row r="761" ht="22.5" customHeight="1">
      <c r="A761" s="113"/>
      <c r="B761" s="216"/>
      <c r="C761" s="216"/>
      <c r="D761" s="216"/>
    </row>
    <row r="762" ht="22.5" customHeight="1">
      <c r="A762" s="113"/>
      <c r="B762" s="216"/>
      <c r="C762" s="216"/>
      <c r="D762" s="216"/>
    </row>
    <row r="763" ht="22.5" customHeight="1">
      <c r="A763" s="113"/>
      <c r="B763" s="216"/>
      <c r="C763" s="216"/>
      <c r="D763" s="216"/>
    </row>
    <row r="764" ht="22.5" customHeight="1">
      <c r="A764" s="113"/>
      <c r="B764" s="216"/>
      <c r="C764" s="216"/>
      <c r="D764" s="216"/>
    </row>
    <row r="765" ht="22.5" customHeight="1">
      <c r="A765" s="113"/>
      <c r="B765" s="216"/>
      <c r="C765" s="216"/>
      <c r="D765" s="216"/>
    </row>
    <row r="766" ht="22.5" customHeight="1">
      <c r="A766" s="113"/>
      <c r="B766" s="216"/>
      <c r="C766" s="216"/>
      <c r="D766" s="216"/>
    </row>
    <row r="767" ht="22.5" customHeight="1">
      <c r="A767" s="113"/>
      <c r="B767" s="216"/>
      <c r="C767" s="216"/>
      <c r="D767" s="216"/>
    </row>
    <row r="768" ht="22.5" customHeight="1">
      <c r="A768" s="113"/>
      <c r="B768" s="216"/>
      <c r="C768" s="216"/>
      <c r="D768" s="216"/>
    </row>
    <row r="769" ht="22.5" customHeight="1">
      <c r="A769" s="113"/>
      <c r="B769" s="216"/>
      <c r="C769" s="216"/>
      <c r="D769" s="216"/>
    </row>
    <row r="770" ht="22.5" customHeight="1">
      <c r="A770" s="113"/>
      <c r="B770" s="216"/>
      <c r="C770" s="216"/>
      <c r="D770" s="216"/>
    </row>
    <row r="771" ht="22.5" customHeight="1">
      <c r="A771" s="113"/>
      <c r="B771" s="216"/>
      <c r="C771" s="216"/>
      <c r="D771" s="216"/>
    </row>
    <row r="772" ht="22.5" customHeight="1">
      <c r="A772" s="113"/>
      <c r="B772" s="216"/>
      <c r="C772" s="216"/>
      <c r="D772" s="216"/>
    </row>
    <row r="773" ht="22.5" customHeight="1">
      <c r="A773" s="113"/>
      <c r="B773" s="216"/>
      <c r="C773" s="216"/>
      <c r="D773" s="216"/>
    </row>
    <row r="774" ht="22.5" customHeight="1">
      <c r="A774" s="113"/>
      <c r="B774" s="216"/>
      <c r="C774" s="216"/>
      <c r="D774" s="216"/>
    </row>
    <row r="775" ht="22.5" customHeight="1">
      <c r="A775" s="113"/>
      <c r="B775" s="216"/>
      <c r="C775" s="216"/>
      <c r="D775" s="216"/>
    </row>
    <row r="776" ht="22.5" customHeight="1">
      <c r="A776" s="113"/>
      <c r="B776" s="216"/>
      <c r="C776" s="216"/>
      <c r="D776" s="216"/>
    </row>
    <row r="777" ht="22.5" customHeight="1">
      <c r="A777" s="113"/>
      <c r="B777" s="216"/>
      <c r="C777" s="216"/>
      <c r="D777" s="216"/>
    </row>
    <row r="778" ht="22.5" customHeight="1">
      <c r="A778" s="113"/>
      <c r="B778" s="216"/>
      <c r="C778" s="216"/>
      <c r="D778" s="216"/>
    </row>
    <row r="779" ht="22.5" customHeight="1">
      <c r="A779" s="113"/>
      <c r="B779" s="216"/>
      <c r="C779" s="216"/>
      <c r="D779" s="216"/>
    </row>
    <row r="780" ht="22.5" customHeight="1">
      <c r="A780" s="113"/>
      <c r="B780" s="216"/>
      <c r="C780" s="216"/>
      <c r="D780" s="216"/>
    </row>
    <row r="781" ht="22.5" customHeight="1">
      <c r="A781" s="113"/>
      <c r="B781" s="216"/>
      <c r="C781" s="216"/>
      <c r="D781" s="216"/>
    </row>
    <row r="782" ht="22.5" customHeight="1">
      <c r="A782" s="113"/>
      <c r="B782" s="216"/>
      <c r="C782" s="216"/>
      <c r="D782" s="216"/>
    </row>
    <row r="783" ht="22.5" customHeight="1">
      <c r="A783" s="113"/>
      <c r="B783" s="216"/>
      <c r="C783" s="216"/>
      <c r="D783" s="216"/>
    </row>
    <row r="784" ht="22.5" customHeight="1">
      <c r="A784" s="113"/>
      <c r="B784" s="216"/>
      <c r="C784" s="216"/>
      <c r="D784" s="216"/>
    </row>
    <row r="785" ht="22.5" customHeight="1">
      <c r="A785" s="113"/>
      <c r="B785" s="216"/>
      <c r="C785" s="216"/>
      <c r="D785" s="216"/>
    </row>
    <row r="786" ht="22.5" customHeight="1">
      <c r="A786" s="113"/>
      <c r="B786" s="216"/>
      <c r="C786" s="216"/>
      <c r="D786" s="216"/>
    </row>
    <row r="787" ht="22.5" customHeight="1">
      <c r="A787" s="113"/>
      <c r="B787" s="216"/>
      <c r="C787" s="216"/>
      <c r="D787" s="216"/>
    </row>
    <row r="788" ht="22.5" customHeight="1">
      <c r="A788" s="113"/>
      <c r="B788" s="216"/>
      <c r="C788" s="216"/>
      <c r="D788" s="216"/>
    </row>
    <row r="789" ht="22.5" customHeight="1">
      <c r="A789" s="113"/>
      <c r="B789" s="216"/>
      <c r="C789" s="216"/>
      <c r="D789" s="216"/>
    </row>
    <row r="790" ht="22.5" customHeight="1">
      <c r="A790" s="113"/>
      <c r="B790" s="216"/>
      <c r="C790" s="216"/>
      <c r="D790" s="216"/>
    </row>
    <row r="791" ht="22.5" customHeight="1">
      <c r="A791" s="113"/>
      <c r="B791" s="216"/>
      <c r="C791" s="216"/>
      <c r="D791" s="216"/>
    </row>
    <row r="792" ht="22.5" customHeight="1">
      <c r="A792" s="113"/>
      <c r="B792" s="216"/>
      <c r="C792" s="216"/>
      <c r="D792" s="216"/>
    </row>
    <row r="793" ht="22.5" customHeight="1">
      <c r="A793" s="113"/>
      <c r="B793" s="216"/>
      <c r="C793" s="216"/>
      <c r="D793" s="216"/>
    </row>
    <row r="794" ht="22.5" customHeight="1">
      <c r="A794" s="113"/>
      <c r="B794" s="216"/>
      <c r="C794" s="216"/>
      <c r="D794" s="216"/>
    </row>
    <row r="795" ht="22.5" customHeight="1">
      <c r="A795" s="113"/>
      <c r="B795" s="216"/>
      <c r="C795" s="216"/>
      <c r="D795" s="216"/>
    </row>
    <row r="796" ht="22.5" customHeight="1">
      <c r="A796" s="113"/>
      <c r="B796" s="216"/>
      <c r="C796" s="216"/>
      <c r="D796" s="216"/>
    </row>
    <row r="797" ht="22.5" customHeight="1">
      <c r="A797" s="113"/>
      <c r="B797" s="216"/>
      <c r="C797" s="216"/>
      <c r="D797" s="216"/>
    </row>
    <row r="798" ht="22.5" customHeight="1">
      <c r="A798" s="113"/>
      <c r="B798" s="216"/>
      <c r="C798" s="216"/>
      <c r="D798" s="216"/>
    </row>
    <row r="799" ht="22.5" customHeight="1">
      <c r="A799" s="113"/>
      <c r="B799" s="216"/>
      <c r="C799" s="216"/>
      <c r="D799" s="216"/>
    </row>
    <row r="800" ht="22.5" customHeight="1">
      <c r="A800" s="113"/>
      <c r="B800" s="216"/>
      <c r="C800" s="216"/>
      <c r="D800" s="216"/>
    </row>
    <row r="801" ht="22.5" customHeight="1">
      <c r="A801" s="113"/>
      <c r="B801" s="216"/>
      <c r="C801" s="216"/>
      <c r="D801" s="216"/>
    </row>
    <row r="802" ht="22.5" customHeight="1">
      <c r="A802" s="113"/>
      <c r="B802" s="216"/>
      <c r="C802" s="216"/>
      <c r="D802" s="216"/>
    </row>
    <row r="803" ht="22.5" customHeight="1">
      <c r="A803" s="113"/>
      <c r="B803" s="216"/>
      <c r="C803" s="216"/>
      <c r="D803" s="216"/>
    </row>
    <row r="804" ht="22.5" customHeight="1">
      <c r="A804" s="113"/>
      <c r="B804" s="216"/>
      <c r="C804" s="216"/>
      <c r="D804" s="216"/>
    </row>
    <row r="805" ht="22.5" customHeight="1">
      <c r="A805" s="113"/>
      <c r="B805" s="216"/>
      <c r="C805" s="216"/>
      <c r="D805" s="216"/>
    </row>
    <row r="806" ht="22.5" customHeight="1">
      <c r="A806" s="113"/>
      <c r="B806" s="216"/>
      <c r="C806" s="216"/>
      <c r="D806" s="216"/>
    </row>
    <row r="807" ht="22.5" customHeight="1">
      <c r="A807" s="113"/>
      <c r="B807" s="216"/>
      <c r="C807" s="216"/>
      <c r="D807" s="216"/>
    </row>
    <row r="808" ht="22.5" customHeight="1">
      <c r="A808" s="113"/>
      <c r="B808" s="216"/>
      <c r="C808" s="216"/>
      <c r="D808" s="216"/>
    </row>
    <row r="809" ht="22.5" customHeight="1">
      <c r="A809" s="113"/>
      <c r="B809" s="216"/>
      <c r="C809" s="216"/>
      <c r="D809" s="216"/>
    </row>
    <row r="810" ht="22.5" customHeight="1">
      <c r="A810" s="113"/>
      <c r="B810" s="216"/>
      <c r="C810" s="216"/>
      <c r="D810" s="216"/>
    </row>
    <row r="811" ht="22.5" customHeight="1">
      <c r="A811" s="113"/>
      <c r="B811" s="216"/>
      <c r="C811" s="216"/>
      <c r="D811" s="216"/>
    </row>
    <row r="812" ht="22.5" customHeight="1">
      <c r="A812" s="113"/>
      <c r="B812" s="216"/>
      <c r="C812" s="216"/>
      <c r="D812" s="216"/>
    </row>
    <row r="813" ht="22.5" customHeight="1">
      <c r="A813" s="113"/>
      <c r="B813" s="216"/>
      <c r="C813" s="216"/>
      <c r="D813" s="216"/>
    </row>
    <row r="814" ht="22.5" customHeight="1">
      <c r="A814" s="113"/>
      <c r="B814" s="216"/>
      <c r="C814" s="216"/>
      <c r="D814" s="216"/>
    </row>
    <row r="815" ht="22.5" customHeight="1">
      <c r="A815" s="113"/>
      <c r="B815" s="216"/>
      <c r="C815" s="216"/>
      <c r="D815" s="216"/>
    </row>
    <row r="816" ht="22.5" customHeight="1">
      <c r="A816" s="113"/>
      <c r="B816" s="216"/>
      <c r="C816" s="216"/>
      <c r="D816" s="216"/>
    </row>
    <row r="817" ht="22.5" customHeight="1">
      <c r="A817" s="113"/>
      <c r="B817" s="216"/>
      <c r="C817" s="216"/>
      <c r="D817" s="216"/>
    </row>
    <row r="818" ht="22.5" customHeight="1">
      <c r="A818" s="113"/>
      <c r="B818" s="216"/>
      <c r="C818" s="216"/>
      <c r="D818" s="216"/>
    </row>
    <row r="819" ht="22.5" customHeight="1">
      <c r="A819" s="113"/>
      <c r="B819" s="216"/>
      <c r="C819" s="216"/>
      <c r="D819" s="216"/>
    </row>
    <row r="820" ht="22.5" customHeight="1">
      <c r="A820" s="113"/>
      <c r="B820" s="216"/>
      <c r="C820" s="216"/>
      <c r="D820" s="216"/>
    </row>
    <row r="821" ht="22.5" customHeight="1">
      <c r="A821" s="113"/>
      <c r="B821" s="216"/>
      <c r="C821" s="216"/>
      <c r="D821" s="216"/>
    </row>
    <row r="822" ht="22.5" customHeight="1">
      <c r="A822" s="113"/>
      <c r="B822" s="216"/>
      <c r="C822" s="216"/>
      <c r="D822" s="216"/>
    </row>
    <row r="823" ht="22.5" customHeight="1">
      <c r="A823" s="113"/>
      <c r="B823" s="216"/>
      <c r="C823" s="216"/>
      <c r="D823" s="216"/>
    </row>
    <row r="824" ht="22.5" customHeight="1">
      <c r="A824" s="113"/>
      <c r="B824" s="216"/>
      <c r="C824" s="216"/>
      <c r="D824" s="216"/>
    </row>
    <row r="825" ht="22.5" customHeight="1">
      <c r="A825" s="113"/>
      <c r="B825" s="216"/>
      <c r="C825" s="216"/>
      <c r="D825" s="216"/>
    </row>
    <row r="826" ht="22.5" customHeight="1">
      <c r="A826" s="113"/>
      <c r="B826" s="216"/>
      <c r="C826" s="216"/>
      <c r="D826" s="216"/>
    </row>
    <row r="827" ht="22.5" customHeight="1">
      <c r="A827" s="113"/>
      <c r="B827" s="216"/>
      <c r="C827" s="216"/>
      <c r="D827" s="216"/>
    </row>
    <row r="828" ht="22.5" customHeight="1">
      <c r="A828" s="113"/>
      <c r="B828" s="216"/>
      <c r="C828" s="216"/>
      <c r="D828" s="216"/>
    </row>
    <row r="829" ht="22.5" customHeight="1">
      <c r="A829" s="113"/>
      <c r="B829" s="216"/>
      <c r="C829" s="216"/>
      <c r="D829" s="216"/>
    </row>
    <row r="830" ht="22.5" customHeight="1">
      <c r="A830" s="113"/>
      <c r="B830" s="216"/>
      <c r="C830" s="216"/>
      <c r="D830" s="216"/>
    </row>
    <row r="831" ht="22.5" customHeight="1">
      <c r="A831" s="113"/>
      <c r="B831" s="216"/>
      <c r="C831" s="216"/>
      <c r="D831" s="216"/>
    </row>
    <row r="832" ht="22.5" customHeight="1">
      <c r="A832" s="113"/>
      <c r="B832" s="216"/>
      <c r="C832" s="216"/>
      <c r="D832" s="216"/>
    </row>
    <row r="833" ht="22.5" customHeight="1">
      <c r="A833" s="113"/>
      <c r="B833" s="216"/>
      <c r="C833" s="216"/>
      <c r="D833" s="216"/>
    </row>
    <row r="834" ht="22.5" customHeight="1">
      <c r="A834" s="113"/>
      <c r="B834" s="216"/>
      <c r="C834" s="216"/>
      <c r="D834" s="216"/>
    </row>
    <row r="835" ht="22.5" customHeight="1">
      <c r="A835" s="113"/>
      <c r="B835" s="216"/>
      <c r="C835" s="216"/>
      <c r="D835" s="216"/>
    </row>
    <row r="836" ht="22.5" customHeight="1">
      <c r="A836" s="113"/>
      <c r="B836" s="216"/>
      <c r="C836" s="216"/>
      <c r="D836" s="216"/>
    </row>
    <row r="837" ht="22.5" customHeight="1">
      <c r="A837" s="113"/>
      <c r="B837" s="216"/>
      <c r="C837" s="216"/>
      <c r="D837" s="216"/>
    </row>
    <row r="838" ht="22.5" customHeight="1">
      <c r="A838" s="113"/>
      <c r="B838" s="216"/>
      <c r="C838" s="216"/>
      <c r="D838" s="216"/>
    </row>
    <row r="839" ht="22.5" customHeight="1">
      <c r="A839" s="113"/>
      <c r="B839" s="216"/>
      <c r="C839" s="216"/>
      <c r="D839" s="216"/>
    </row>
    <row r="840" ht="22.5" customHeight="1">
      <c r="A840" s="113"/>
      <c r="B840" s="216"/>
      <c r="C840" s="216"/>
      <c r="D840" s="216"/>
    </row>
    <row r="841" ht="22.5" customHeight="1">
      <c r="A841" s="113"/>
      <c r="B841" s="216"/>
      <c r="C841" s="216"/>
      <c r="D841" s="216"/>
    </row>
    <row r="842" ht="22.5" customHeight="1">
      <c r="A842" s="113"/>
      <c r="B842" s="216"/>
      <c r="C842" s="216"/>
      <c r="D842" s="216"/>
    </row>
    <row r="843" ht="22.5" customHeight="1">
      <c r="A843" s="113"/>
      <c r="B843" s="216"/>
      <c r="C843" s="216"/>
      <c r="D843" s="216"/>
    </row>
    <row r="844" ht="22.5" customHeight="1">
      <c r="A844" s="113"/>
      <c r="B844" s="216"/>
      <c r="C844" s="216"/>
      <c r="D844" s="216"/>
    </row>
    <row r="845" ht="22.5" customHeight="1">
      <c r="A845" s="113"/>
      <c r="B845" s="216"/>
      <c r="C845" s="216"/>
      <c r="D845" s="216"/>
    </row>
    <row r="846" ht="22.5" customHeight="1">
      <c r="A846" s="113"/>
      <c r="B846" s="216"/>
      <c r="C846" s="216"/>
      <c r="D846" s="216"/>
    </row>
    <row r="847" ht="22.5" customHeight="1">
      <c r="A847" s="113"/>
      <c r="B847" s="216"/>
      <c r="C847" s="216"/>
      <c r="D847" s="216"/>
    </row>
    <row r="848" ht="22.5" customHeight="1">
      <c r="A848" s="113"/>
      <c r="B848" s="216"/>
      <c r="C848" s="216"/>
      <c r="D848" s="216"/>
    </row>
    <row r="849" ht="22.5" customHeight="1">
      <c r="A849" s="113"/>
      <c r="B849" s="216"/>
      <c r="C849" s="216"/>
      <c r="D849" s="216"/>
    </row>
    <row r="850" ht="22.5" customHeight="1">
      <c r="A850" s="113"/>
      <c r="B850" s="216"/>
      <c r="C850" s="216"/>
      <c r="D850" s="216"/>
    </row>
    <row r="851" ht="22.5" customHeight="1">
      <c r="A851" s="113"/>
      <c r="B851" s="216"/>
      <c r="C851" s="216"/>
      <c r="D851" s="216"/>
    </row>
    <row r="852" ht="22.5" customHeight="1">
      <c r="A852" s="113"/>
      <c r="B852" s="216"/>
      <c r="C852" s="216"/>
      <c r="D852" s="216"/>
    </row>
    <row r="853" ht="22.5" customHeight="1">
      <c r="A853" s="113"/>
      <c r="B853" s="216"/>
      <c r="C853" s="216"/>
      <c r="D853" s="216"/>
    </row>
    <row r="854" ht="22.5" customHeight="1">
      <c r="A854" s="113"/>
      <c r="B854" s="216"/>
      <c r="C854" s="216"/>
      <c r="D854" s="216"/>
    </row>
    <row r="855" ht="22.5" customHeight="1">
      <c r="A855" s="113"/>
      <c r="B855" s="216"/>
      <c r="C855" s="216"/>
      <c r="D855" s="216"/>
    </row>
    <row r="856" ht="22.5" customHeight="1">
      <c r="A856" s="113"/>
      <c r="B856" s="216"/>
      <c r="C856" s="216"/>
      <c r="D856" s="216"/>
    </row>
    <row r="857" ht="22.5" customHeight="1">
      <c r="A857" s="113"/>
      <c r="B857" s="216"/>
      <c r="C857" s="216"/>
      <c r="D857" s="216"/>
    </row>
    <row r="858" ht="22.5" customHeight="1">
      <c r="A858" s="113"/>
      <c r="B858" s="216"/>
      <c r="C858" s="216"/>
      <c r="D858" s="216"/>
    </row>
    <row r="859" ht="22.5" customHeight="1">
      <c r="A859" s="113"/>
      <c r="B859" s="216"/>
      <c r="C859" s="216"/>
      <c r="D859" s="216"/>
    </row>
    <row r="860" ht="22.5" customHeight="1">
      <c r="A860" s="113"/>
      <c r="B860" s="216"/>
      <c r="C860" s="216"/>
      <c r="D860" s="216"/>
    </row>
    <row r="861" ht="22.5" customHeight="1">
      <c r="A861" s="113"/>
      <c r="B861" s="216"/>
      <c r="C861" s="216"/>
      <c r="D861" s="216"/>
    </row>
    <row r="862" ht="22.5" customHeight="1">
      <c r="A862" s="113"/>
      <c r="B862" s="216"/>
      <c r="C862" s="216"/>
      <c r="D862" s="216"/>
    </row>
    <row r="863" ht="22.5" customHeight="1">
      <c r="A863" s="113"/>
      <c r="B863" s="216"/>
      <c r="C863" s="216"/>
      <c r="D863" s="216"/>
    </row>
    <row r="864" ht="22.5" customHeight="1">
      <c r="A864" s="113"/>
      <c r="B864" s="216"/>
      <c r="C864" s="216"/>
      <c r="D864" s="216"/>
    </row>
    <row r="865" ht="22.5" customHeight="1">
      <c r="A865" s="113"/>
      <c r="B865" s="216"/>
      <c r="C865" s="216"/>
      <c r="D865" s="216"/>
    </row>
    <row r="866" ht="22.5" customHeight="1">
      <c r="A866" s="113"/>
      <c r="B866" s="216"/>
      <c r="C866" s="216"/>
      <c r="D866" s="216"/>
    </row>
    <row r="867" ht="22.5" customHeight="1">
      <c r="A867" s="113"/>
      <c r="B867" s="216"/>
      <c r="C867" s="216"/>
      <c r="D867" s="216"/>
    </row>
    <row r="868" ht="22.5" customHeight="1">
      <c r="A868" s="113"/>
      <c r="B868" s="216"/>
      <c r="C868" s="216"/>
      <c r="D868" s="216"/>
    </row>
    <row r="869" ht="22.5" customHeight="1">
      <c r="A869" s="113"/>
      <c r="B869" s="216"/>
      <c r="C869" s="216"/>
      <c r="D869" s="216"/>
    </row>
    <row r="870" ht="22.5" customHeight="1">
      <c r="A870" s="113"/>
      <c r="B870" s="216"/>
      <c r="C870" s="216"/>
      <c r="D870" s="216"/>
    </row>
    <row r="871" ht="22.5" customHeight="1">
      <c r="A871" s="113"/>
      <c r="B871" s="216"/>
      <c r="C871" s="216"/>
      <c r="D871" s="216"/>
    </row>
    <row r="872" ht="22.5" customHeight="1">
      <c r="A872" s="113"/>
      <c r="B872" s="216"/>
      <c r="C872" s="216"/>
      <c r="D872" s="216"/>
    </row>
    <row r="873" ht="22.5" customHeight="1">
      <c r="A873" s="113"/>
      <c r="B873" s="216"/>
      <c r="C873" s="216"/>
      <c r="D873" s="216"/>
    </row>
    <row r="874" ht="22.5" customHeight="1">
      <c r="A874" s="113"/>
      <c r="B874" s="216"/>
      <c r="C874" s="216"/>
      <c r="D874" s="216"/>
    </row>
    <row r="875" ht="22.5" customHeight="1">
      <c r="A875" s="113"/>
      <c r="B875" s="216"/>
      <c r="C875" s="216"/>
      <c r="D875" s="216"/>
    </row>
    <row r="876" ht="22.5" customHeight="1">
      <c r="A876" s="113"/>
      <c r="B876" s="216"/>
      <c r="C876" s="216"/>
      <c r="D876" s="216"/>
    </row>
    <row r="877" ht="22.5" customHeight="1">
      <c r="A877" s="113"/>
      <c r="B877" s="216"/>
      <c r="C877" s="216"/>
      <c r="D877" s="216"/>
    </row>
    <row r="878" ht="22.5" customHeight="1">
      <c r="A878" s="113"/>
      <c r="B878" s="216"/>
      <c r="C878" s="216"/>
      <c r="D878" s="216"/>
    </row>
    <row r="879" ht="22.5" customHeight="1">
      <c r="A879" s="113"/>
      <c r="B879" s="216"/>
      <c r="C879" s="216"/>
      <c r="D879" s="216"/>
    </row>
    <row r="880" ht="22.5" customHeight="1">
      <c r="A880" s="113"/>
      <c r="B880" s="216"/>
      <c r="C880" s="216"/>
      <c r="D880" s="216"/>
    </row>
    <row r="881" ht="22.5" customHeight="1">
      <c r="A881" s="113"/>
      <c r="B881" s="216"/>
      <c r="C881" s="216"/>
      <c r="D881" s="216"/>
    </row>
    <row r="882" ht="22.5" customHeight="1">
      <c r="A882" s="113"/>
      <c r="B882" s="216"/>
      <c r="C882" s="216"/>
      <c r="D882" s="216"/>
    </row>
    <row r="883" ht="22.5" customHeight="1">
      <c r="A883" s="113"/>
      <c r="B883" s="216"/>
      <c r="C883" s="216"/>
      <c r="D883" s="216"/>
    </row>
    <row r="884" ht="22.5" customHeight="1">
      <c r="A884" s="113"/>
      <c r="B884" s="216"/>
      <c r="C884" s="216"/>
      <c r="D884" s="216"/>
    </row>
    <row r="885" ht="22.5" customHeight="1">
      <c r="A885" s="113"/>
      <c r="B885" s="216"/>
      <c r="C885" s="216"/>
      <c r="D885" s="216"/>
    </row>
    <row r="886" ht="22.5" customHeight="1">
      <c r="A886" s="113"/>
      <c r="B886" s="216"/>
      <c r="C886" s="216"/>
      <c r="D886" s="216"/>
    </row>
    <row r="887" ht="22.5" customHeight="1">
      <c r="A887" s="113"/>
      <c r="B887" s="216"/>
      <c r="C887" s="216"/>
      <c r="D887" s="216"/>
    </row>
    <row r="888" ht="22.5" customHeight="1">
      <c r="A888" s="113"/>
      <c r="B888" s="216"/>
      <c r="C888" s="216"/>
      <c r="D888" s="216"/>
    </row>
    <row r="889" ht="22.5" customHeight="1">
      <c r="A889" s="113"/>
      <c r="B889" s="216"/>
      <c r="C889" s="216"/>
      <c r="D889" s="216"/>
    </row>
    <row r="890" ht="22.5" customHeight="1">
      <c r="A890" s="113"/>
      <c r="B890" s="216"/>
      <c r="C890" s="216"/>
      <c r="D890" s="216"/>
    </row>
    <row r="891" ht="22.5" customHeight="1">
      <c r="A891" s="113"/>
      <c r="B891" s="216"/>
      <c r="C891" s="216"/>
      <c r="D891" s="216"/>
    </row>
    <row r="892" ht="22.5" customHeight="1">
      <c r="A892" s="113"/>
      <c r="B892" s="216"/>
      <c r="C892" s="216"/>
      <c r="D892" s="216"/>
    </row>
    <row r="893" ht="22.5" customHeight="1">
      <c r="A893" s="113"/>
      <c r="B893" s="216"/>
      <c r="C893" s="216"/>
      <c r="D893" s="216"/>
    </row>
    <row r="894" ht="22.5" customHeight="1">
      <c r="A894" s="113"/>
      <c r="B894" s="216"/>
      <c r="C894" s="216"/>
      <c r="D894" s="216"/>
    </row>
    <row r="895" ht="22.5" customHeight="1">
      <c r="A895" s="113"/>
      <c r="B895" s="216"/>
      <c r="C895" s="216"/>
      <c r="D895" s="216"/>
    </row>
    <row r="896" ht="22.5" customHeight="1">
      <c r="A896" s="113"/>
      <c r="B896" s="216"/>
      <c r="C896" s="216"/>
      <c r="D896" s="216"/>
    </row>
    <row r="897" ht="22.5" customHeight="1">
      <c r="A897" s="113"/>
      <c r="B897" s="216"/>
      <c r="C897" s="216"/>
      <c r="D897" s="216"/>
    </row>
    <row r="898" ht="22.5" customHeight="1">
      <c r="A898" s="113"/>
      <c r="B898" s="216"/>
      <c r="C898" s="216"/>
      <c r="D898" s="216"/>
    </row>
    <row r="899" ht="22.5" customHeight="1">
      <c r="A899" s="113"/>
      <c r="B899" s="216"/>
      <c r="C899" s="216"/>
      <c r="D899" s="216"/>
    </row>
    <row r="900" ht="22.5" customHeight="1">
      <c r="A900" s="113"/>
      <c r="B900" s="216"/>
      <c r="C900" s="216"/>
      <c r="D900" s="216"/>
    </row>
    <row r="901" ht="22.5" customHeight="1">
      <c r="A901" s="113"/>
      <c r="B901" s="216"/>
      <c r="C901" s="216"/>
      <c r="D901" s="216"/>
    </row>
    <row r="902" ht="22.5" customHeight="1">
      <c r="A902" s="113"/>
      <c r="B902" s="216"/>
      <c r="C902" s="216"/>
      <c r="D902" s="216"/>
    </row>
    <row r="903" ht="22.5" customHeight="1">
      <c r="A903" s="113"/>
      <c r="B903" s="216"/>
      <c r="C903" s="216"/>
      <c r="D903" s="216"/>
    </row>
    <row r="904" ht="22.5" customHeight="1">
      <c r="A904" s="113"/>
      <c r="B904" s="216"/>
      <c r="C904" s="216"/>
      <c r="D904" s="216"/>
    </row>
    <row r="905" ht="22.5" customHeight="1">
      <c r="A905" s="113"/>
      <c r="B905" s="216"/>
      <c r="C905" s="216"/>
      <c r="D905" s="216"/>
    </row>
    <row r="906" ht="22.5" customHeight="1">
      <c r="A906" s="113"/>
      <c r="B906" s="216"/>
      <c r="C906" s="216"/>
      <c r="D906" s="216"/>
    </row>
    <row r="907" ht="22.5" customHeight="1">
      <c r="A907" s="113"/>
      <c r="B907" s="216"/>
      <c r="C907" s="216"/>
      <c r="D907" s="216"/>
    </row>
    <row r="908" ht="22.5" customHeight="1">
      <c r="A908" s="113"/>
      <c r="B908" s="216"/>
      <c r="C908" s="216"/>
      <c r="D908" s="216"/>
    </row>
    <row r="909" ht="22.5" customHeight="1">
      <c r="A909" s="113"/>
      <c r="B909" s="216"/>
      <c r="C909" s="216"/>
      <c r="D909" s="216"/>
    </row>
    <row r="910" ht="22.5" customHeight="1">
      <c r="A910" s="113"/>
      <c r="B910" s="216"/>
      <c r="C910" s="216"/>
      <c r="D910" s="216"/>
    </row>
    <row r="911" ht="22.5" customHeight="1">
      <c r="A911" s="113"/>
      <c r="B911" s="216"/>
      <c r="C911" s="216"/>
      <c r="D911" s="216"/>
    </row>
    <row r="912" ht="22.5" customHeight="1">
      <c r="A912" s="113"/>
      <c r="B912" s="216"/>
      <c r="C912" s="216"/>
      <c r="D912" s="216"/>
    </row>
    <row r="913" ht="22.5" customHeight="1">
      <c r="A913" s="113"/>
      <c r="B913" s="216"/>
      <c r="C913" s="216"/>
      <c r="D913" s="216"/>
    </row>
    <row r="914" ht="22.5" customHeight="1">
      <c r="A914" s="113"/>
      <c r="B914" s="216"/>
      <c r="C914" s="216"/>
      <c r="D914" s="216"/>
    </row>
    <row r="915" ht="22.5" customHeight="1">
      <c r="A915" s="113"/>
      <c r="B915" s="216"/>
      <c r="C915" s="216"/>
      <c r="D915" s="216"/>
    </row>
    <row r="916" ht="22.5" customHeight="1">
      <c r="A916" s="113"/>
      <c r="B916" s="216"/>
      <c r="C916" s="216"/>
      <c r="D916" s="216"/>
    </row>
    <row r="917" ht="22.5" customHeight="1">
      <c r="A917" s="113"/>
      <c r="B917" s="216"/>
      <c r="C917" s="216"/>
      <c r="D917" s="216"/>
    </row>
    <row r="918" ht="22.5" customHeight="1">
      <c r="A918" s="113"/>
      <c r="B918" s="216"/>
      <c r="C918" s="216"/>
      <c r="D918" s="216"/>
    </row>
    <row r="919" ht="22.5" customHeight="1">
      <c r="A919" s="113"/>
      <c r="B919" s="216"/>
      <c r="C919" s="216"/>
      <c r="D919" s="216"/>
    </row>
    <row r="920" ht="22.5" customHeight="1">
      <c r="A920" s="113"/>
      <c r="B920" s="216"/>
      <c r="C920" s="216"/>
      <c r="D920" s="216"/>
    </row>
    <row r="921" ht="22.5" customHeight="1">
      <c r="A921" s="113"/>
      <c r="B921" s="216"/>
      <c r="C921" s="216"/>
      <c r="D921" s="216"/>
    </row>
    <row r="922" ht="22.5" customHeight="1">
      <c r="A922" s="113"/>
      <c r="B922" s="216"/>
      <c r="C922" s="216"/>
      <c r="D922" s="216"/>
    </row>
    <row r="923" ht="22.5" customHeight="1">
      <c r="A923" s="113"/>
      <c r="B923" s="216"/>
      <c r="C923" s="216"/>
      <c r="D923" s="216"/>
    </row>
    <row r="924" ht="22.5" customHeight="1">
      <c r="A924" s="113"/>
      <c r="B924" s="216"/>
      <c r="C924" s="216"/>
      <c r="D924" s="216"/>
    </row>
    <row r="925" ht="22.5" customHeight="1">
      <c r="A925" s="113"/>
      <c r="B925" s="216"/>
      <c r="C925" s="216"/>
      <c r="D925" s="216"/>
    </row>
    <row r="926" ht="22.5" customHeight="1">
      <c r="A926" s="113"/>
      <c r="B926" s="216"/>
      <c r="C926" s="216"/>
      <c r="D926" s="216"/>
    </row>
    <row r="927" ht="22.5" customHeight="1">
      <c r="A927" s="113"/>
      <c r="B927" s="216"/>
      <c r="C927" s="216"/>
      <c r="D927" s="216"/>
    </row>
    <row r="928" ht="22.5" customHeight="1">
      <c r="A928" s="113"/>
      <c r="B928" s="216"/>
      <c r="C928" s="216"/>
      <c r="D928" s="216"/>
    </row>
    <row r="929" ht="22.5" customHeight="1">
      <c r="A929" s="113"/>
      <c r="B929" s="216"/>
      <c r="C929" s="216"/>
      <c r="D929" s="216"/>
    </row>
    <row r="930" ht="22.5" customHeight="1">
      <c r="A930" s="113"/>
      <c r="B930" s="216"/>
      <c r="C930" s="216"/>
      <c r="D930" s="216"/>
    </row>
    <row r="931" ht="22.5" customHeight="1">
      <c r="A931" s="113"/>
      <c r="B931" s="216"/>
      <c r="C931" s="216"/>
      <c r="D931" s="216"/>
    </row>
    <row r="932" ht="22.5" customHeight="1">
      <c r="A932" s="113"/>
      <c r="B932" s="216"/>
      <c r="C932" s="216"/>
      <c r="D932" s="216"/>
    </row>
    <row r="933" ht="22.5" customHeight="1">
      <c r="A933" s="113"/>
      <c r="B933" s="216"/>
      <c r="C933" s="216"/>
      <c r="D933" s="216"/>
    </row>
    <row r="934" ht="22.5" customHeight="1">
      <c r="A934" s="113"/>
      <c r="B934" s="216"/>
      <c r="C934" s="216"/>
      <c r="D934" s="216"/>
    </row>
    <row r="935" ht="22.5" customHeight="1">
      <c r="A935" s="113"/>
      <c r="B935" s="216"/>
      <c r="C935" s="216"/>
      <c r="D935" s="216"/>
    </row>
    <row r="936" ht="22.5" customHeight="1">
      <c r="A936" s="113"/>
      <c r="B936" s="216"/>
      <c r="C936" s="216"/>
      <c r="D936" s="216"/>
    </row>
    <row r="937" ht="22.5" customHeight="1">
      <c r="A937" s="113"/>
      <c r="B937" s="216"/>
      <c r="C937" s="216"/>
      <c r="D937" s="216"/>
    </row>
    <row r="938" ht="22.5" customHeight="1">
      <c r="A938" s="113"/>
      <c r="B938" s="216"/>
      <c r="C938" s="216"/>
      <c r="D938" s="216"/>
    </row>
    <row r="939" ht="22.5" customHeight="1">
      <c r="A939" s="113"/>
      <c r="B939" s="216"/>
      <c r="C939" s="216"/>
      <c r="D939" s="216"/>
    </row>
    <row r="940" ht="22.5" customHeight="1">
      <c r="A940" s="113"/>
      <c r="B940" s="216"/>
      <c r="C940" s="216"/>
      <c r="D940" s="216"/>
    </row>
    <row r="941" ht="22.5" customHeight="1">
      <c r="A941" s="113"/>
      <c r="B941" s="216"/>
      <c r="C941" s="216"/>
      <c r="D941" s="216"/>
    </row>
    <row r="942" ht="22.5" customHeight="1">
      <c r="A942" s="113"/>
      <c r="B942" s="216"/>
      <c r="C942" s="216"/>
      <c r="D942" s="216"/>
    </row>
    <row r="943" ht="22.5" customHeight="1">
      <c r="A943" s="113"/>
      <c r="B943" s="216"/>
      <c r="C943" s="216"/>
      <c r="D943" s="216"/>
    </row>
    <row r="944" ht="22.5" customHeight="1">
      <c r="A944" s="113"/>
      <c r="B944" s="216"/>
      <c r="C944" s="216"/>
      <c r="D944" s="216"/>
    </row>
    <row r="945" ht="22.5" customHeight="1">
      <c r="A945" s="113"/>
      <c r="B945" s="216"/>
      <c r="C945" s="216"/>
      <c r="D945" s="216"/>
    </row>
    <row r="946" ht="22.5" customHeight="1">
      <c r="A946" s="113"/>
      <c r="B946" s="216"/>
      <c r="C946" s="216"/>
      <c r="D946" s="216"/>
    </row>
    <row r="947" ht="22.5" customHeight="1">
      <c r="A947" s="113"/>
      <c r="B947" s="216"/>
      <c r="C947" s="216"/>
      <c r="D947" s="216"/>
    </row>
    <row r="948" ht="22.5" customHeight="1">
      <c r="A948" s="113"/>
      <c r="B948" s="216"/>
      <c r="C948" s="216"/>
      <c r="D948" s="216"/>
    </row>
    <row r="949" ht="22.5" customHeight="1">
      <c r="A949" s="113"/>
      <c r="B949" s="216"/>
      <c r="C949" s="216"/>
      <c r="D949" s="216"/>
    </row>
    <row r="950" ht="22.5" customHeight="1">
      <c r="A950" s="113"/>
      <c r="B950" s="216"/>
      <c r="C950" s="216"/>
      <c r="D950" s="216"/>
    </row>
    <row r="951" ht="22.5" customHeight="1">
      <c r="A951" s="113"/>
      <c r="B951" s="216"/>
      <c r="C951" s="216"/>
      <c r="D951" s="216"/>
    </row>
    <row r="952" ht="22.5" customHeight="1">
      <c r="A952" s="113"/>
      <c r="B952" s="216"/>
      <c r="C952" s="216"/>
      <c r="D952" s="216"/>
    </row>
    <row r="953" ht="22.5" customHeight="1">
      <c r="A953" s="113"/>
      <c r="B953" s="216"/>
      <c r="C953" s="216"/>
      <c r="D953" s="216"/>
    </row>
    <row r="954" ht="22.5" customHeight="1">
      <c r="A954" s="113"/>
      <c r="B954" s="216"/>
      <c r="C954" s="216"/>
      <c r="D954" s="216"/>
    </row>
    <row r="955" ht="22.5" customHeight="1">
      <c r="A955" s="113"/>
      <c r="B955" s="216"/>
      <c r="C955" s="216"/>
      <c r="D955" s="216"/>
    </row>
    <row r="956" ht="22.5" customHeight="1">
      <c r="A956" s="113"/>
      <c r="B956" s="216"/>
      <c r="C956" s="216"/>
      <c r="D956" s="216"/>
    </row>
    <row r="957" ht="22.5" customHeight="1">
      <c r="A957" s="113"/>
      <c r="B957" s="216"/>
      <c r="C957" s="216"/>
      <c r="D957" s="216"/>
    </row>
    <row r="958" ht="22.5" customHeight="1">
      <c r="A958" s="113"/>
      <c r="B958" s="216"/>
      <c r="C958" s="216"/>
      <c r="D958" s="216"/>
    </row>
    <row r="959" ht="22.5" customHeight="1">
      <c r="A959" s="113"/>
      <c r="B959" s="216"/>
      <c r="C959" s="216"/>
      <c r="D959" s="216"/>
    </row>
    <row r="960" ht="22.5" customHeight="1">
      <c r="A960" s="113"/>
      <c r="B960" s="216"/>
      <c r="C960" s="216"/>
      <c r="D960" s="216"/>
    </row>
    <row r="961" ht="22.5" customHeight="1">
      <c r="A961" s="113"/>
      <c r="B961" s="216"/>
      <c r="C961" s="216"/>
      <c r="D961" s="216"/>
    </row>
    <row r="962" ht="22.5" customHeight="1">
      <c r="A962" s="113"/>
      <c r="B962" s="216"/>
      <c r="C962" s="216"/>
      <c r="D962" s="216"/>
    </row>
    <row r="963" ht="22.5" customHeight="1">
      <c r="A963" s="113"/>
      <c r="B963" s="216"/>
      <c r="C963" s="216"/>
      <c r="D963" s="216"/>
    </row>
    <row r="964" ht="22.5" customHeight="1">
      <c r="A964" s="113"/>
      <c r="B964" s="216"/>
      <c r="C964" s="216"/>
      <c r="D964" s="216"/>
    </row>
    <row r="965" ht="22.5" customHeight="1">
      <c r="A965" s="113"/>
      <c r="B965" s="216"/>
      <c r="C965" s="216"/>
      <c r="D965" s="216"/>
    </row>
    <row r="966" ht="22.5" customHeight="1">
      <c r="A966" s="113"/>
      <c r="B966" s="216"/>
      <c r="C966" s="216"/>
      <c r="D966" s="216"/>
    </row>
    <row r="967" ht="22.5" customHeight="1">
      <c r="A967" s="113"/>
      <c r="B967" s="216"/>
      <c r="C967" s="216"/>
      <c r="D967" s="216"/>
    </row>
    <row r="968" ht="22.5" customHeight="1">
      <c r="A968" s="113"/>
      <c r="B968" s="216"/>
      <c r="C968" s="216"/>
      <c r="D968" s="216"/>
    </row>
    <row r="969" ht="22.5" customHeight="1">
      <c r="A969" s="113"/>
      <c r="B969" s="216"/>
      <c r="C969" s="216"/>
      <c r="D969" s="216"/>
    </row>
    <row r="970" ht="22.5" customHeight="1">
      <c r="A970" s="113"/>
      <c r="B970" s="216"/>
      <c r="C970" s="216"/>
      <c r="D970" s="216"/>
    </row>
    <row r="971" ht="22.5" customHeight="1">
      <c r="A971" s="113"/>
      <c r="B971" s="216"/>
      <c r="C971" s="216"/>
      <c r="D971" s="216"/>
    </row>
    <row r="972" ht="22.5" customHeight="1">
      <c r="A972" s="113"/>
      <c r="B972" s="216"/>
      <c r="C972" s="216"/>
      <c r="D972" s="216"/>
    </row>
    <row r="973" ht="22.5" customHeight="1">
      <c r="A973" s="113"/>
      <c r="B973" s="216"/>
      <c r="C973" s="216"/>
      <c r="D973" s="216"/>
    </row>
    <row r="974" ht="22.5" customHeight="1">
      <c r="A974" s="113"/>
      <c r="B974" s="216"/>
      <c r="C974" s="216"/>
      <c r="D974" s="216"/>
    </row>
    <row r="975" ht="22.5" customHeight="1">
      <c r="A975" s="113"/>
      <c r="B975" s="216"/>
      <c r="C975" s="216"/>
      <c r="D975" s="216"/>
    </row>
    <row r="976" ht="22.5" customHeight="1">
      <c r="A976" s="113"/>
      <c r="B976" s="216"/>
      <c r="C976" s="216"/>
      <c r="D976" s="216"/>
    </row>
    <row r="977" ht="22.5" customHeight="1">
      <c r="A977" s="113"/>
      <c r="B977" s="216"/>
      <c r="C977" s="216"/>
      <c r="D977" s="216"/>
    </row>
    <row r="978" ht="22.5" customHeight="1">
      <c r="A978" s="113"/>
      <c r="B978" s="216"/>
      <c r="C978" s="216"/>
      <c r="D978" s="216"/>
    </row>
    <row r="979" ht="22.5" customHeight="1">
      <c r="A979" s="113"/>
      <c r="B979" s="216"/>
      <c r="C979" s="216"/>
      <c r="D979" s="216"/>
    </row>
    <row r="980" ht="22.5" customHeight="1">
      <c r="A980" s="113"/>
      <c r="B980" s="216"/>
      <c r="C980" s="216"/>
      <c r="D980" s="216"/>
    </row>
    <row r="981" ht="22.5" customHeight="1">
      <c r="A981" s="113"/>
      <c r="B981" s="216"/>
      <c r="C981" s="216"/>
      <c r="D981" s="216"/>
    </row>
    <row r="982" ht="22.5" customHeight="1">
      <c r="A982" s="113"/>
      <c r="B982" s="216"/>
      <c r="C982" s="216"/>
      <c r="D982" s="216"/>
    </row>
    <row r="983" ht="22.5" customHeight="1">
      <c r="A983" s="113"/>
      <c r="B983" s="216"/>
      <c r="C983" s="216"/>
      <c r="D983" s="216"/>
    </row>
    <row r="984" ht="22.5" customHeight="1">
      <c r="A984" s="113"/>
      <c r="B984" s="216"/>
      <c r="C984" s="216"/>
      <c r="D984" s="216"/>
    </row>
    <row r="985" ht="22.5" customHeight="1">
      <c r="A985" s="113"/>
      <c r="B985" s="216"/>
      <c r="C985" s="216"/>
      <c r="D985" s="216"/>
    </row>
    <row r="986" ht="22.5" customHeight="1">
      <c r="A986" s="113"/>
      <c r="B986" s="216"/>
      <c r="C986" s="216"/>
      <c r="D986" s="216"/>
    </row>
    <row r="987" ht="22.5" customHeight="1">
      <c r="A987" s="113"/>
      <c r="B987" s="216"/>
      <c r="C987" s="216"/>
      <c r="D987" s="216"/>
    </row>
    <row r="988" ht="22.5" customHeight="1">
      <c r="A988" s="113"/>
      <c r="B988" s="216"/>
      <c r="C988" s="216"/>
      <c r="D988" s="216"/>
    </row>
    <row r="989" ht="22.5" customHeight="1">
      <c r="A989" s="113"/>
      <c r="B989" s="216"/>
      <c r="C989" s="216"/>
      <c r="D989" s="216"/>
    </row>
    <row r="990" ht="22.5" customHeight="1">
      <c r="A990" s="113"/>
      <c r="B990" s="216"/>
      <c r="C990" s="216"/>
      <c r="D990" s="216"/>
    </row>
    <row r="991" ht="22.5" customHeight="1">
      <c r="A991" s="113"/>
      <c r="B991" s="216"/>
      <c r="C991" s="216"/>
      <c r="D991" s="216"/>
    </row>
    <row r="992" ht="22.5" customHeight="1">
      <c r="A992" s="113"/>
      <c r="B992" s="216"/>
      <c r="C992" s="216"/>
      <c r="D992" s="216"/>
    </row>
    <row r="993" ht="22.5" customHeight="1">
      <c r="A993" s="113"/>
      <c r="B993" s="216"/>
      <c r="C993" s="216"/>
      <c r="D993" s="216"/>
    </row>
    <row r="994" ht="22.5" customHeight="1">
      <c r="A994" s="113"/>
      <c r="B994" s="216"/>
      <c r="C994" s="216"/>
      <c r="D994" s="216"/>
    </row>
    <row r="995" ht="22.5" customHeight="1">
      <c r="A995" s="113"/>
      <c r="B995" s="216"/>
      <c r="C995" s="216"/>
      <c r="D995" s="216"/>
    </row>
    <row r="996" ht="22.5" customHeight="1">
      <c r="A996" s="113"/>
      <c r="B996" s="216"/>
      <c r="C996" s="216"/>
      <c r="D996" s="216"/>
    </row>
    <row r="997" ht="22.5" customHeight="1">
      <c r="A997" s="113"/>
      <c r="B997" s="216"/>
      <c r="C997" s="216"/>
      <c r="D997" s="216"/>
    </row>
    <row r="998" ht="22.5" customHeight="1">
      <c r="A998" s="113"/>
      <c r="B998" s="216"/>
      <c r="C998" s="216"/>
      <c r="D998" s="216"/>
    </row>
    <row r="999" ht="22.5" customHeight="1">
      <c r="A999" s="281"/>
      <c r="B999" s="282"/>
      <c r="C999" s="282"/>
      <c r="D999" s="28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hidden="1" min="2" max="2" width="12.25"/>
    <col customWidth="1" min="3" max="3" width="12.25"/>
    <col customWidth="1" min="4" max="4" width="4.75"/>
    <col customWidth="1" min="5" max="5" width="10.75"/>
    <col customWidth="1" min="6" max="6" width="11.5"/>
    <col customWidth="1" min="7" max="7" width="10.63"/>
    <col customWidth="1" min="8" max="8" width="10.5"/>
    <col customWidth="1" min="9" max="9" width="11.5"/>
    <col customWidth="1" min="10" max="10" width="4.0"/>
    <col customWidth="1" min="11" max="11" width="16.88"/>
    <col customWidth="1" min="12" max="12" width="5.5"/>
    <col customWidth="1" min="13" max="13" width="9.5"/>
    <col customWidth="1" min="14" max="14" width="6.38"/>
    <col customWidth="1" min="15" max="15" width="14.63"/>
    <col customWidth="1" min="16" max="16" width="8.5"/>
    <col customWidth="1" min="17" max="17" width="14.5"/>
    <col customWidth="1" min="18" max="18" width="8.25"/>
    <col customWidth="1" min="19" max="19" width="10.88"/>
    <col customWidth="1" min="20" max="20" width="6.13"/>
    <col customWidth="1" min="21" max="21" width="11.88"/>
    <col customWidth="1" min="22" max="22" width="6.13"/>
    <col customWidth="1" min="23" max="23" width="6.75"/>
    <col customWidth="1" min="24" max="24" width="7.38"/>
    <col customWidth="1" min="25" max="25" width="10.63"/>
    <col customWidth="1" min="26" max="26" width="7.0"/>
    <col customWidth="1" min="27" max="27" width="4.38"/>
    <col customWidth="1" min="28" max="28" width="56.75"/>
  </cols>
  <sheetData>
    <row r="1">
      <c r="A1" s="2" t="str">
        <f>IFERROR(__xludf.DUMMYFUNCTION("ARRAYFORMULA(IMPORTRANGE(""https://docs.google.com/spreadsheets/d/1iWfgTn_Pi02Cgzvv2hNxbn5R87Czwggoktc9asHRCjo/"",""Разбивка!A1:C1000""))"),"бр.")</f>
        <v>бр.</v>
      </c>
      <c r="B1" s="4"/>
      <c r="C1" s="5" t="str">
        <f>IFERROR(__xludf.DUMMYFUNCTION("""COMPUTED_VALUE"""),"Номер")</f>
        <v>Номер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8" t="s">
        <v>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>
      <c r="A2" s="14">
        <f>IFERROR(__xludf.DUMMYFUNCTION("""COMPUTED_VALUE"""),100.0)</f>
        <v>100</v>
      </c>
      <c r="B2" s="16" t="str">
        <f>IFERROR(__xludf.DUMMYFUNCTION("""COMPUTED_VALUE"""),"21100202N")</f>
        <v>21100202N</v>
      </c>
      <c r="C2" s="29" t="str">
        <f>IFERROR(__xludf.DUMMYFUNCTION("""COMPUTED_VALUE"""),"21100202N")</f>
        <v>21100202N</v>
      </c>
    </row>
    <row r="3">
      <c r="A3" s="33">
        <f>IFERROR(__xludf.DUMMYFUNCTION("""COMPUTED_VALUE"""),350.0)</f>
        <v>350</v>
      </c>
      <c r="B3" s="33">
        <f>IFERROR(__xludf.DUMMYFUNCTION("""COMPUTED_VALUE"""),2.11137E8)</f>
        <v>211137000</v>
      </c>
      <c r="C3" s="35">
        <f>IFERROR(__xludf.DUMMYFUNCTION("""COMPUTED_VALUE"""),2.11137E8)</f>
        <v>211137000</v>
      </c>
    </row>
    <row r="4">
      <c r="A4" s="33">
        <f>IFERROR(__xludf.DUMMYFUNCTION("""COMPUTED_VALUE"""),10.0)</f>
        <v>10</v>
      </c>
      <c r="B4" s="33">
        <f>IFERROR(__xludf.DUMMYFUNCTION("""COMPUTED_VALUE"""),2.11279E8)</f>
        <v>211279000</v>
      </c>
      <c r="C4" s="35">
        <f>IFERROR(__xludf.DUMMYFUNCTION("""COMPUTED_VALUE"""),2.11279E8)</f>
        <v>211279000</v>
      </c>
    </row>
    <row r="5">
      <c r="A5" s="33">
        <f>IFERROR(__xludf.DUMMYFUNCTION("""COMPUTED_VALUE"""),10.0)</f>
        <v>10</v>
      </c>
      <c r="B5" s="33" t="str">
        <f>IFERROR(__xludf.DUMMYFUNCTION("""COMPUTED_VALUE"""),"21129500A")</f>
        <v>21129500A</v>
      </c>
      <c r="C5" s="45" t="str">
        <f>IFERROR(__xludf.DUMMYFUNCTION("""COMPUTED_VALUE"""),"21129500A")</f>
        <v>21129500A</v>
      </c>
    </row>
    <row r="6">
      <c r="A6" s="33">
        <f>IFERROR(__xludf.DUMMYFUNCTION("""COMPUTED_VALUE"""),5.0)</f>
        <v>5</v>
      </c>
      <c r="B6" s="33" t="str">
        <f>IFERROR(__xludf.DUMMYFUNCTION("""COMPUTED_VALUE"""),"21130002D")</f>
        <v>21130002D</v>
      </c>
      <c r="C6" s="45" t="str">
        <f>IFERROR(__xludf.DUMMYFUNCTION("""COMPUTED_VALUE"""),"21130002D")</f>
        <v>21130002D</v>
      </c>
    </row>
    <row r="7">
      <c r="A7" s="33">
        <f>IFERROR(__xludf.DUMMYFUNCTION("""COMPUTED_VALUE"""),175.0)</f>
        <v>175</v>
      </c>
      <c r="B7" s="33" t="str">
        <f>IFERROR(__xludf.DUMMYFUNCTION("""COMPUTED_VALUE"""),"21134801A")</f>
        <v>21134801A</v>
      </c>
      <c r="C7" s="52" t="str">
        <f>IFERROR(__xludf.DUMMYFUNCTION("""COMPUTED_VALUE"""),"21134801A")</f>
        <v>21134801A</v>
      </c>
    </row>
    <row r="8">
      <c r="A8" s="33">
        <f>IFERROR(__xludf.DUMMYFUNCTION("""COMPUTED_VALUE"""),10.0)</f>
        <v>10</v>
      </c>
      <c r="B8" s="33">
        <f>IFERROR(__xludf.DUMMYFUNCTION("""COMPUTED_VALUE"""),2.11361E8)</f>
        <v>211361000</v>
      </c>
      <c r="C8" s="45">
        <f>IFERROR(__xludf.DUMMYFUNCTION("""COMPUTED_VALUE"""),2.11361E8)</f>
        <v>211361000</v>
      </c>
    </row>
    <row r="9">
      <c r="A9" s="33">
        <f>IFERROR(__xludf.DUMMYFUNCTION("""COMPUTED_VALUE"""),70.0)</f>
        <v>70</v>
      </c>
      <c r="B9" s="33" t="str">
        <f>IFERROR(__xludf.DUMMYFUNCTION("""COMPUTED_VALUE"""),"21137200A")</f>
        <v>21137200A</v>
      </c>
      <c r="C9" s="45" t="str">
        <f>IFERROR(__xludf.DUMMYFUNCTION("""COMPUTED_VALUE"""),"21137200A")</f>
        <v>21137200A</v>
      </c>
    </row>
    <row r="10">
      <c r="A10" s="33">
        <f>IFERROR(__xludf.DUMMYFUNCTION("""COMPUTED_VALUE"""),120.0)</f>
        <v>120</v>
      </c>
      <c r="B10" s="33" t="str">
        <f>IFERROR(__xludf.DUMMYFUNCTION("""COMPUTED_VALUE"""),"21139800A")</f>
        <v>21139800A</v>
      </c>
      <c r="C10" s="35" t="str">
        <f>IFERROR(__xludf.DUMMYFUNCTION("""COMPUTED_VALUE"""),"#N/A")</f>
        <v>#N/A</v>
      </c>
    </row>
    <row r="11">
      <c r="A11" s="33">
        <f>IFERROR(__xludf.DUMMYFUNCTION("""COMPUTED_VALUE"""),20.0)</f>
        <v>20</v>
      </c>
      <c r="B11" s="33">
        <f>IFERROR(__xludf.DUMMYFUNCTION("""COMPUTED_VALUE"""),2.11404E8)</f>
        <v>211404000</v>
      </c>
      <c r="C11" s="45">
        <f>IFERROR(__xludf.DUMMYFUNCTION("""COMPUTED_VALUE"""),2.11404E8)</f>
        <v>211404000</v>
      </c>
    </row>
    <row r="12">
      <c r="A12" s="33">
        <f>IFERROR(__xludf.DUMMYFUNCTION("""COMPUTED_VALUE"""),15.0)</f>
        <v>15</v>
      </c>
      <c r="B12" s="33" t="str">
        <f>IFERROR(__xludf.DUMMYFUNCTION("""COMPUTED_VALUE"""),"22146701A")</f>
        <v>22146701A</v>
      </c>
      <c r="C12" s="45" t="str">
        <f>IFERROR(__xludf.DUMMYFUNCTION("""COMPUTED_VALUE"""),"22146701A")</f>
        <v>22146701A</v>
      </c>
    </row>
    <row r="13">
      <c r="A13" s="33">
        <f>IFERROR(__xludf.DUMMYFUNCTION("""COMPUTED_VALUE"""),30.0)</f>
        <v>30</v>
      </c>
      <c r="B13" s="33" t="str">
        <f>IFERROR(__xludf.DUMMYFUNCTION("""COMPUTED_VALUE"""),"575-01902-750")</f>
        <v>575-01902-750</v>
      </c>
      <c r="C13" s="35" t="str">
        <f>IFERROR(__xludf.DUMMYFUNCTION("""COMPUTED_VALUE"""),"575-01902-750")</f>
        <v>575-01902-750</v>
      </c>
    </row>
    <row r="14">
      <c r="A14" s="33">
        <f>IFERROR(__xludf.DUMMYFUNCTION("""COMPUTED_VALUE"""),120.0)</f>
        <v>120</v>
      </c>
      <c r="B14" s="33" t="str">
        <f>IFERROR(__xludf.DUMMYFUNCTION("""COMPUTED_VALUE"""),"575-01921")</f>
        <v>575-01921</v>
      </c>
      <c r="C14" s="35" t="str">
        <f>IFERROR(__xludf.DUMMYFUNCTION("""COMPUTED_VALUE"""),"575-01921")</f>
        <v>575-01921</v>
      </c>
    </row>
    <row r="15">
      <c r="A15" s="33">
        <f>IFERROR(__xludf.DUMMYFUNCTION("""COMPUTED_VALUE"""),35.0)</f>
        <v>35</v>
      </c>
      <c r="B15" s="33" t="str">
        <f>IFERROR(__xludf.DUMMYFUNCTION("""COMPUTED_VALUE"""),"575-91001")</f>
        <v>575-91001</v>
      </c>
      <c r="C15" s="35" t="str">
        <f>IFERROR(__xludf.DUMMYFUNCTION("""COMPUTED_VALUE"""),"575-91001")</f>
        <v>575-91001</v>
      </c>
    </row>
    <row r="16">
      <c r="A16" s="33">
        <f>IFERROR(__xludf.DUMMYFUNCTION("""COMPUTED_VALUE"""),20.0)</f>
        <v>20</v>
      </c>
      <c r="B16" s="33" t="str">
        <f>IFERROR(__xludf.DUMMYFUNCTION("""COMPUTED_VALUE"""),"575-91009")</f>
        <v>575-91009</v>
      </c>
      <c r="C16" s="35" t="str">
        <f>IFERROR(__xludf.DUMMYFUNCTION("""COMPUTED_VALUE"""),"575-91009")</f>
        <v>575-91009</v>
      </c>
    </row>
    <row r="17">
      <c r="A17" s="33">
        <f>IFERROR(__xludf.DUMMYFUNCTION("""COMPUTED_VALUE"""),10.0)</f>
        <v>10</v>
      </c>
      <c r="B17" s="33" t="str">
        <f>IFERROR(__xludf.DUMMYFUNCTION("""COMPUTED_VALUE"""),"575-92003")</f>
        <v>575-92003</v>
      </c>
      <c r="C17" s="35" t="str">
        <f>IFERROR(__xludf.DUMMYFUNCTION("""COMPUTED_VALUE"""),"575-92003")</f>
        <v>575-92003</v>
      </c>
    </row>
    <row r="18">
      <c r="A18" s="33">
        <f>IFERROR(__xludf.DUMMYFUNCTION("""COMPUTED_VALUE"""),20.0)</f>
        <v>20</v>
      </c>
      <c r="B18" s="33" t="str">
        <f>IFERROR(__xludf.DUMMYFUNCTION("""COMPUTED_VALUE"""),"575-92006")</f>
        <v>575-92006</v>
      </c>
      <c r="C18" s="35" t="str">
        <f>IFERROR(__xludf.DUMMYFUNCTION("""COMPUTED_VALUE"""),"575-92006")</f>
        <v>575-92006</v>
      </c>
    </row>
    <row r="19">
      <c r="A19" s="33">
        <f>IFERROR(__xludf.DUMMYFUNCTION("""COMPUTED_VALUE"""),10.0)</f>
        <v>10</v>
      </c>
      <c r="B19" s="33" t="str">
        <f>IFERROR(__xludf.DUMMYFUNCTION("""COMPUTED_VALUE"""),"575-92011")</f>
        <v>575-92011</v>
      </c>
      <c r="C19" s="35" t="str">
        <f>IFERROR(__xludf.DUMMYFUNCTION("""COMPUTED_VALUE"""),"575-92011")</f>
        <v>575-92011</v>
      </c>
    </row>
    <row r="20">
      <c r="A20" s="33">
        <f>IFERROR(__xludf.DUMMYFUNCTION("""COMPUTED_VALUE"""),100.0)</f>
        <v>100</v>
      </c>
      <c r="B20" s="33" t="str">
        <f>IFERROR(__xludf.DUMMYFUNCTION("""COMPUTED_VALUE"""),"575-95001")</f>
        <v>575-95001</v>
      </c>
      <c r="C20" s="35" t="str">
        <f>IFERROR(__xludf.DUMMYFUNCTION("""COMPUTED_VALUE"""),"575-95001")</f>
        <v>575-95001</v>
      </c>
    </row>
    <row r="21">
      <c r="A21" s="33">
        <f>IFERROR(__xludf.DUMMYFUNCTION("""COMPUTED_VALUE"""),100.0)</f>
        <v>100</v>
      </c>
      <c r="B21" s="33" t="str">
        <f>IFERROR(__xludf.DUMMYFUNCTION("""COMPUTED_VALUE"""),"575-95002")</f>
        <v>575-95002</v>
      </c>
      <c r="C21" s="35" t="str">
        <f>IFERROR(__xludf.DUMMYFUNCTION("""COMPUTED_VALUE"""),"575-95002")</f>
        <v>575-95002</v>
      </c>
    </row>
    <row r="22">
      <c r="A22" s="33">
        <f>IFERROR(__xludf.DUMMYFUNCTION("""COMPUTED_VALUE"""),100.0)</f>
        <v>100</v>
      </c>
      <c r="B22" s="33" t="str">
        <f>IFERROR(__xludf.DUMMYFUNCTION("""COMPUTED_VALUE"""),"575-95003")</f>
        <v>575-95003</v>
      </c>
      <c r="C22" s="45" t="str">
        <f>IFERROR(__xludf.DUMMYFUNCTION("""COMPUTED_VALUE"""),"575-95003")</f>
        <v>575-95003</v>
      </c>
    </row>
    <row r="23">
      <c r="A23" s="33">
        <f>IFERROR(__xludf.DUMMYFUNCTION("""COMPUTED_VALUE"""),100.0)</f>
        <v>100</v>
      </c>
      <c r="B23" s="33" t="str">
        <f>IFERROR(__xludf.DUMMYFUNCTION("""COMPUTED_VALUE"""),"575-95004")</f>
        <v>575-95004</v>
      </c>
      <c r="C23" s="45" t="str">
        <f>IFERROR(__xludf.DUMMYFUNCTION("""COMPUTED_VALUE"""),"575-95004")</f>
        <v>575-95004</v>
      </c>
    </row>
    <row r="24">
      <c r="A24" s="33">
        <f>IFERROR(__xludf.DUMMYFUNCTION("""COMPUTED_VALUE"""),2.0)</f>
        <v>2</v>
      </c>
      <c r="B24" s="33" t="str">
        <f>IFERROR(__xludf.DUMMYFUNCTION("""COMPUTED_VALUE"""),"H25-FS-R2C")</f>
        <v>H25-FS-R2C</v>
      </c>
      <c r="C24" s="35" t="str">
        <f>IFERROR(__xludf.DUMMYFUNCTION("""COMPUTED_VALUE"""),"H25-FS-R2C")</f>
        <v>H25-FS-R2C</v>
      </c>
    </row>
    <row r="25">
      <c r="A25" s="33">
        <f>IFERROR(__xludf.DUMMYFUNCTION("""COMPUTED_VALUE"""),10.0)</f>
        <v>10</v>
      </c>
      <c r="B25" s="33" t="str">
        <f>IFERROR(__xludf.DUMMYFUNCTION("""COMPUTED_VALUE"""),"H25-FS-R3N")</f>
        <v>H25-FS-R3N</v>
      </c>
      <c r="C25" s="35" t="str">
        <f>IFERROR(__xludf.DUMMYFUNCTION("""COMPUTED_VALUE"""),"H25-FS-R3N")</f>
        <v>H25-FS-R3N</v>
      </c>
    </row>
    <row r="26">
      <c r="A26" s="33">
        <f>IFERROR(__xludf.DUMMYFUNCTION("""COMPUTED_VALUE"""),15.0)</f>
        <v>15</v>
      </c>
      <c r="B26" s="33" t="str">
        <f>IFERROR(__xludf.DUMMYFUNCTION("""COMPUTED_VALUE"""),"H25-SE")</f>
        <v>H25-SE</v>
      </c>
      <c r="C26" s="35" t="str">
        <f>IFERROR(__xludf.DUMMYFUNCTION("""COMPUTED_VALUE"""),"H25-SE")</f>
        <v>H25-SE</v>
      </c>
    </row>
    <row r="27">
      <c r="A27" s="33">
        <f>IFERROR(__xludf.DUMMYFUNCTION("""COMPUTED_VALUE"""),2.0)</f>
        <v>2</v>
      </c>
      <c r="B27" s="33" t="str">
        <f>IFERROR(__xludf.DUMMYFUNCTION("""COMPUTED_VALUE"""),"H25V-FE-10")</f>
        <v>H25V-FE-10</v>
      </c>
      <c r="C27" s="35" t="str">
        <f>IFERROR(__xludf.DUMMYFUNCTION("""COMPUTED_VALUE"""),"H25V-FE-10")</f>
        <v>H25V-FE-10</v>
      </c>
    </row>
    <row r="28">
      <c r="A28" s="33">
        <f>IFERROR(__xludf.DUMMYFUNCTION("""COMPUTED_VALUE"""),20.0)</f>
        <v>20</v>
      </c>
      <c r="B28" s="33" t="str">
        <f>IFERROR(__xludf.DUMMYFUNCTION("""COMPUTED_VALUE"""),"575-01910")</f>
        <v>575-01910</v>
      </c>
      <c r="C28" s="45" t="str">
        <f>IFERROR(__xludf.DUMMYFUNCTION("""COMPUTED_VALUE"""),"575-01910")</f>
        <v>575-01910</v>
      </c>
    </row>
    <row r="29">
      <c r="A29" s="33"/>
      <c r="B29" s="33"/>
      <c r="C29" s="35" t="str">
        <f>IFERROR(__xludf.DUMMYFUNCTION("""COMPUTED_VALUE"""),"")</f>
        <v/>
      </c>
    </row>
    <row r="30">
      <c r="A30" s="33"/>
      <c r="B30" s="33"/>
      <c r="C30" s="35" t="str">
        <f>IFERROR(__xludf.DUMMYFUNCTION("""COMPUTED_VALUE"""),"")</f>
        <v/>
      </c>
    </row>
    <row r="31">
      <c r="A31" s="33"/>
      <c r="B31" s="33"/>
      <c r="C31" s="32" t="str">
        <f>IFERROR(__xludf.DUMMYFUNCTION("""COMPUTED_VALUE"""),"")</f>
        <v/>
      </c>
    </row>
    <row r="32">
      <c r="A32" s="33"/>
      <c r="B32" s="33"/>
      <c r="C32" s="32" t="str">
        <f>IFERROR(__xludf.DUMMYFUNCTION("""COMPUTED_VALUE"""),"")</f>
        <v/>
      </c>
    </row>
    <row r="33">
      <c r="A33" s="33"/>
      <c r="B33" s="33"/>
      <c r="C33" s="32" t="str">
        <f>IFERROR(__xludf.DUMMYFUNCTION("""COMPUTED_VALUE"""),"")</f>
        <v/>
      </c>
    </row>
    <row r="34">
      <c r="A34" s="33"/>
      <c r="B34" s="33"/>
      <c r="C34" s="32" t="str">
        <f>IFERROR(__xludf.DUMMYFUNCTION("""COMPUTED_VALUE"""),"")</f>
        <v/>
      </c>
    </row>
    <row r="35">
      <c r="A35" s="33"/>
      <c r="B35" s="33"/>
      <c r="C35" s="32" t="str">
        <f>IFERROR(__xludf.DUMMYFUNCTION("""COMPUTED_VALUE"""),"")</f>
        <v/>
      </c>
    </row>
    <row r="36">
      <c r="A36" s="33"/>
      <c r="B36" s="33"/>
      <c r="C36" s="32" t="str">
        <f>IFERROR(__xludf.DUMMYFUNCTION("""COMPUTED_VALUE"""),"")</f>
        <v/>
      </c>
    </row>
    <row r="37">
      <c r="A37" s="33"/>
      <c r="B37" s="33"/>
      <c r="C37" s="32" t="str">
        <f>IFERROR(__xludf.DUMMYFUNCTION("""COMPUTED_VALUE"""),"")</f>
        <v/>
      </c>
    </row>
    <row r="38">
      <c r="A38" s="33"/>
      <c r="B38" s="33"/>
      <c r="C38" s="32" t="str">
        <f>IFERROR(__xludf.DUMMYFUNCTION("""COMPUTED_VALUE"""),"")</f>
        <v/>
      </c>
    </row>
    <row r="39">
      <c r="A39" s="33"/>
      <c r="B39" s="33"/>
      <c r="C39" s="32" t="str">
        <f>IFERROR(__xludf.DUMMYFUNCTION("""COMPUTED_VALUE"""),"")</f>
        <v/>
      </c>
    </row>
    <row r="40">
      <c r="A40" s="33"/>
      <c r="B40" s="33"/>
      <c r="C40" s="32" t="str">
        <f>IFERROR(__xludf.DUMMYFUNCTION("""COMPUTED_VALUE"""),"")</f>
        <v/>
      </c>
    </row>
    <row r="41">
      <c r="A41" s="33"/>
      <c r="B41" s="33"/>
      <c r="C41" s="32" t="str">
        <f>IFERROR(__xludf.DUMMYFUNCTION("""COMPUTED_VALUE"""),"")</f>
        <v/>
      </c>
    </row>
    <row r="42">
      <c r="A42" s="33"/>
      <c r="B42" s="33"/>
      <c r="C42" s="32" t="str">
        <f>IFERROR(__xludf.DUMMYFUNCTION("""COMPUTED_VALUE"""),"")</f>
        <v/>
      </c>
    </row>
    <row r="43">
      <c r="A43" s="33"/>
      <c r="B43" s="33"/>
      <c r="C43" s="32" t="str">
        <f>IFERROR(__xludf.DUMMYFUNCTION("""COMPUTED_VALUE"""),"")</f>
        <v/>
      </c>
    </row>
    <row r="44">
      <c r="A44" s="33"/>
      <c r="B44" s="33"/>
      <c r="C44" s="32" t="str">
        <f>IFERROR(__xludf.DUMMYFUNCTION("""COMPUTED_VALUE"""),"")</f>
        <v/>
      </c>
    </row>
    <row r="45">
      <c r="A45" s="33"/>
      <c r="B45" s="33"/>
      <c r="C45" s="32" t="str">
        <f>IFERROR(__xludf.DUMMYFUNCTION("""COMPUTED_VALUE"""),"")</f>
        <v/>
      </c>
    </row>
    <row r="46">
      <c r="A46" s="33"/>
      <c r="B46" s="33"/>
      <c r="C46" s="32" t="str">
        <f>IFERROR(__xludf.DUMMYFUNCTION("""COMPUTED_VALUE"""),"")</f>
        <v/>
      </c>
    </row>
    <row r="47">
      <c r="A47" s="33"/>
      <c r="B47" s="33"/>
      <c r="C47" s="32" t="str">
        <f>IFERROR(__xludf.DUMMYFUNCTION("""COMPUTED_VALUE"""),"")</f>
        <v/>
      </c>
    </row>
    <row r="48">
      <c r="A48" s="33"/>
      <c r="B48" s="33"/>
      <c r="C48" s="32" t="str">
        <f>IFERROR(__xludf.DUMMYFUNCTION("""COMPUTED_VALUE"""),"")</f>
        <v/>
      </c>
    </row>
    <row r="49">
      <c r="A49" s="33"/>
      <c r="B49" s="33"/>
      <c r="C49" s="32" t="str">
        <f>IFERROR(__xludf.DUMMYFUNCTION("""COMPUTED_VALUE"""),"")</f>
        <v/>
      </c>
    </row>
    <row r="50">
      <c r="A50" s="33"/>
      <c r="B50" s="33"/>
      <c r="C50" s="32" t="str">
        <f>IFERROR(__xludf.DUMMYFUNCTION("""COMPUTED_VALUE"""),"")</f>
        <v/>
      </c>
    </row>
    <row r="51">
      <c r="A51" s="33"/>
      <c r="B51" s="33"/>
      <c r="C51" s="32" t="str">
        <f>IFERROR(__xludf.DUMMYFUNCTION("""COMPUTED_VALUE"""),"")</f>
        <v/>
      </c>
    </row>
    <row r="52">
      <c r="A52" s="33"/>
      <c r="B52" s="33"/>
      <c r="C52" s="32" t="str">
        <f>IFERROR(__xludf.DUMMYFUNCTION("""COMPUTED_VALUE"""),"")</f>
        <v/>
      </c>
    </row>
    <row r="53">
      <c r="A53" s="33"/>
      <c r="B53" s="33"/>
      <c r="C53" s="32" t="str">
        <f>IFERROR(__xludf.DUMMYFUNCTION("""COMPUTED_VALUE"""),"")</f>
        <v/>
      </c>
    </row>
    <row r="54">
      <c r="A54" s="33"/>
      <c r="B54" s="33"/>
      <c r="C54" s="32" t="str">
        <f>IFERROR(__xludf.DUMMYFUNCTION("""COMPUTED_VALUE"""),"")</f>
        <v/>
      </c>
    </row>
    <row r="55">
      <c r="A55" s="33"/>
      <c r="B55" s="33"/>
      <c r="C55" s="32" t="str">
        <f>IFERROR(__xludf.DUMMYFUNCTION("""COMPUTED_VALUE"""),"")</f>
        <v/>
      </c>
    </row>
    <row r="56">
      <c r="A56" s="33"/>
      <c r="B56" s="33"/>
      <c r="C56" s="32" t="str">
        <f>IFERROR(__xludf.DUMMYFUNCTION("""COMPUTED_VALUE"""),"")</f>
        <v/>
      </c>
    </row>
    <row r="57">
      <c r="A57" s="33"/>
      <c r="B57" s="33"/>
      <c r="C57" s="32" t="str">
        <f>IFERROR(__xludf.DUMMYFUNCTION("""COMPUTED_VALUE"""),"")</f>
        <v/>
      </c>
    </row>
    <row r="58">
      <c r="A58" s="33"/>
      <c r="B58" s="33"/>
      <c r="C58" s="32" t="str">
        <f>IFERROR(__xludf.DUMMYFUNCTION("""COMPUTED_VALUE"""),"")</f>
        <v/>
      </c>
    </row>
    <row r="59">
      <c r="A59" s="33"/>
      <c r="B59" s="33"/>
      <c r="C59" s="32" t="str">
        <f>IFERROR(__xludf.DUMMYFUNCTION("""COMPUTED_VALUE"""),"")</f>
        <v/>
      </c>
    </row>
    <row r="60">
      <c r="A60" s="33"/>
      <c r="B60" s="33"/>
      <c r="C60" s="32" t="str">
        <f>IFERROR(__xludf.DUMMYFUNCTION("""COMPUTED_VALUE"""),"")</f>
        <v/>
      </c>
    </row>
    <row r="61">
      <c r="A61" s="33"/>
      <c r="B61" s="33"/>
      <c r="C61" s="32" t="str">
        <f>IFERROR(__xludf.DUMMYFUNCTION("""COMPUTED_VALUE"""),"")</f>
        <v/>
      </c>
    </row>
    <row r="62">
      <c r="A62" s="33"/>
      <c r="B62" s="33"/>
      <c r="C62" s="32" t="str">
        <f>IFERROR(__xludf.DUMMYFUNCTION("""COMPUTED_VALUE"""),"")</f>
        <v/>
      </c>
    </row>
    <row r="63">
      <c r="A63" s="33"/>
      <c r="B63" s="33"/>
      <c r="C63" s="32" t="str">
        <f>IFERROR(__xludf.DUMMYFUNCTION("""COMPUTED_VALUE"""),"")</f>
        <v/>
      </c>
    </row>
    <row r="64">
      <c r="A64" s="33"/>
      <c r="B64" s="33"/>
      <c r="C64" s="32" t="str">
        <f>IFERROR(__xludf.DUMMYFUNCTION("""COMPUTED_VALUE"""),"")</f>
        <v/>
      </c>
    </row>
    <row r="65">
      <c r="A65" s="33"/>
      <c r="B65" s="33"/>
      <c r="C65" s="32" t="str">
        <f>IFERROR(__xludf.DUMMYFUNCTION("""COMPUTED_VALUE"""),"")</f>
        <v/>
      </c>
    </row>
    <row r="66">
      <c r="A66" s="33"/>
      <c r="B66" s="33"/>
      <c r="C66" s="32" t="str">
        <f>IFERROR(__xludf.DUMMYFUNCTION("""COMPUTED_VALUE"""),"")</f>
        <v/>
      </c>
    </row>
    <row r="67">
      <c r="A67" s="33"/>
      <c r="B67" s="33"/>
      <c r="C67" s="32" t="str">
        <f>IFERROR(__xludf.DUMMYFUNCTION("""COMPUTED_VALUE"""),"")</f>
        <v/>
      </c>
    </row>
    <row r="68">
      <c r="A68" s="33"/>
      <c r="B68" s="33"/>
      <c r="C68" s="32" t="str">
        <f>IFERROR(__xludf.DUMMYFUNCTION("""COMPUTED_VALUE"""),"")</f>
        <v/>
      </c>
    </row>
    <row r="69">
      <c r="A69" s="33"/>
      <c r="B69" s="33"/>
      <c r="C69" s="32" t="str">
        <f>IFERROR(__xludf.DUMMYFUNCTION("""COMPUTED_VALUE"""),"")</f>
        <v/>
      </c>
    </row>
    <row r="70">
      <c r="A70" s="33"/>
      <c r="B70" s="33"/>
      <c r="C70" s="32" t="str">
        <f>IFERROR(__xludf.DUMMYFUNCTION("""COMPUTED_VALUE"""),"")</f>
        <v/>
      </c>
    </row>
    <row r="71">
      <c r="A71" s="33"/>
      <c r="B71" s="33"/>
      <c r="C71" s="32" t="str">
        <f>IFERROR(__xludf.DUMMYFUNCTION("""COMPUTED_VALUE"""),"")</f>
        <v/>
      </c>
    </row>
    <row r="72">
      <c r="A72" s="33"/>
      <c r="B72" s="33"/>
      <c r="C72" s="32" t="str">
        <f>IFERROR(__xludf.DUMMYFUNCTION("""COMPUTED_VALUE"""),"")</f>
        <v/>
      </c>
    </row>
    <row r="73">
      <c r="A73" s="33"/>
      <c r="B73" s="33"/>
      <c r="C73" s="32" t="str">
        <f>IFERROR(__xludf.DUMMYFUNCTION("""COMPUTED_VALUE"""),"")</f>
        <v/>
      </c>
    </row>
    <row r="74">
      <c r="A74" s="33"/>
      <c r="B74" s="33"/>
      <c r="C74" s="32" t="str">
        <f>IFERROR(__xludf.DUMMYFUNCTION("""COMPUTED_VALUE"""),"")</f>
        <v/>
      </c>
    </row>
    <row r="75">
      <c r="A75" s="33"/>
      <c r="B75" s="33"/>
      <c r="C75" s="32" t="str">
        <f>IFERROR(__xludf.DUMMYFUNCTION("""COMPUTED_VALUE"""),"")</f>
        <v/>
      </c>
    </row>
    <row r="76">
      <c r="A76" s="33"/>
      <c r="B76" s="33"/>
      <c r="C76" s="32" t="str">
        <f>IFERROR(__xludf.DUMMYFUNCTION("""COMPUTED_VALUE"""),"")</f>
        <v/>
      </c>
    </row>
    <row r="77">
      <c r="A77" s="33"/>
      <c r="B77" s="33"/>
      <c r="C77" s="32" t="str">
        <f>IFERROR(__xludf.DUMMYFUNCTION("""COMPUTED_VALUE"""),"")</f>
        <v/>
      </c>
    </row>
    <row r="78">
      <c r="A78" s="33"/>
      <c r="B78" s="33"/>
      <c r="C78" s="32" t="str">
        <f>IFERROR(__xludf.DUMMYFUNCTION("""COMPUTED_VALUE"""),"")</f>
        <v/>
      </c>
    </row>
    <row r="79">
      <c r="A79" s="33"/>
      <c r="B79" s="33"/>
      <c r="C79" s="32" t="str">
        <f>IFERROR(__xludf.DUMMYFUNCTION("""COMPUTED_VALUE"""),"")</f>
        <v/>
      </c>
    </row>
    <row r="80">
      <c r="A80" s="33"/>
      <c r="B80" s="33"/>
      <c r="C80" s="32" t="str">
        <f>IFERROR(__xludf.DUMMYFUNCTION("""COMPUTED_VALUE"""),"")</f>
        <v/>
      </c>
    </row>
    <row r="81">
      <c r="A81" s="33"/>
      <c r="B81" s="33"/>
      <c r="C81" s="32" t="str">
        <f>IFERROR(__xludf.DUMMYFUNCTION("""COMPUTED_VALUE"""),"")</f>
        <v/>
      </c>
    </row>
    <row r="82">
      <c r="A82" s="33"/>
      <c r="B82" s="33"/>
      <c r="C82" s="32" t="str">
        <f>IFERROR(__xludf.DUMMYFUNCTION("""COMPUTED_VALUE"""),"")</f>
        <v/>
      </c>
    </row>
    <row r="83">
      <c r="A83" s="33"/>
      <c r="B83" s="33"/>
      <c r="C83" s="32" t="str">
        <f>IFERROR(__xludf.DUMMYFUNCTION("""COMPUTED_VALUE"""),"")</f>
        <v/>
      </c>
    </row>
    <row r="84">
      <c r="A84" s="33"/>
      <c r="B84" s="33"/>
      <c r="C84" s="32" t="str">
        <f>IFERROR(__xludf.DUMMYFUNCTION("""COMPUTED_VALUE"""),"")</f>
        <v/>
      </c>
    </row>
    <row r="85">
      <c r="A85" s="33"/>
      <c r="B85" s="33"/>
      <c r="C85" s="32" t="str">
        <f>IFERROR(__xludf.DUMMYFUNCTION("""COMPUTED_VALUE"""),"")</f>
        <v/>
      </c>
    </row>
    <row r="86">
      <c r="A86" s="33"/>
      <c r="B86" s="33"/>
      <c r="C86" s="32" t="str">
        <f>IFERROR(__xludf.DUMMYFUNCTION("""COMPUTED_VALUE"""),"")</f>
        <v/>
      </c>
    </row>
    <row r="87">
      <c r="A87" s="33"/>
      <c r="B87" s="33"/>
      <c r="C87" s="32" t="str">
        <f>IFERROR(__xludf.DUMMYFUNCTION("""COMPUTED_VALUE"""),"")</f>
        <v/>
      </c>
    </row>
    <row r="88">
      <c r="A88" s="33"/>
      <c r="B88" s="33"/>
      <c r="C88" s="32" t="str">
        <f>IFERROR(__xludf.DUMMYFUNCTION("""COMPUTED_VALUE"""),"")</f>
        <v/>
      </c>
    </row>
    <row r="89">
      <c r="A89" s="33"/>
      <c r="B89" s="33"/>
      <c r="C89" s="32" t="str">
        <f>IFERROR(__xludf.DUMMYFUNCTION("""COMPUTED_VALUE"""),"")</f>
        <v/>
      </c>
    </row>
    <row r="90">
      <c r="A90" s="33"/>
      <c r="B90" s="33"/>
      <c r="C90" s="32" t="str">
        <f>IFERROR(__xludf.DUMMYFUNCTION("""COMPUTED_VALUE"""),"")</f>
        <v/>
      </c>
    </row>
    <row r="91">
      <c r="A91" s="33"/>
      <c r="B91" s="33"/>
      <c r="C91" s="32" t="str">
        <f>IFERROR(__xludf.DUMMYFUNCTION("""COMPUTED_VALUE"""),"")</f>
        <v/>
      </c>
    </row>
    <row r="92">
      <c r="A92" s="33"/>
      <c r="B92" s="33"/>
      <c r="C92" s="32" t="str">
        <f>IFERROR(__xludf.DUMMYFUNCTION("""COMPUTED_VALUE"""),"")</f>
        <v/>
      </c>
    </row>
    <row r="93">
      <c r="A93" s="33"/>
      <c r="B93" s="33"/>
      <c r="C93" s="32" t="str">
        <f>IFERROR(__xludf.DUMMYFUNCTION("""COMPUTED_VALUE"""),"")</f>
        <v/>
      </c>
    </row>
    <row r="94">
      <c r="A94" s="33"/>
      <c r="B94" s="33"/>
      <c r="C94" s="32" t="str">
        <f>IFERROR(__xludf.DUMMYFUNCTION("""COMPUTED_VALUE"""),"")</f>
        <v/>
      </c>
    </row>
    <row r="95">
      <c r="A95" s="33"/>
      <c r="B95" s="33"/>
      <c r="C95" s="32" t="str">
        <f>IFERROR(__xludf.DUMMYFUNCTION("""COMPUTED_VALUE"""),"")</f>
        <v/>
      </c>
    </row>
    <row r="96">
      <c r="A96" s="33"/>
      <c r="B96" s="33"/>
      <c r="C96" s="32" t="str">
        <f>IFERROR(__xludf.DUMMYFUNCTION("""COMPUTED_VALUE"""),"")</f>
        <v/>
      </c>
    </row>
    <row r="97">
      <c r="A97" s="33"/>
      <c r="B97" s="33"/>
      <c r="C97" s="32" t="str">
        <f>IFERROR(__xludf.DUMMYFUNCTION("""COMPUTED_VALUE"""),"")</f>
        <v/>
      </c>
    </row>
    <row r="98">
      <c r="A98" s="33"/>
      <c r="B98" s="33"/>
      <c r="C98" s="32" t="str">
        <f>IFERROR(__xludf.DUMMYFUNCTION("""COMPUTED_VALUE"""),"")</f>
        <v/>
      </c>
    </row>
    <row r="99">
      <c r="A99" s="33"/>
      <c r="B99" s="33"/>
      <c r="C99" s="32" t="str">
        <f>IFERROR(__xludf.DUMMYFUNCTION("""COMPUTED_VALUE"""),"")</f>
        <v/>
      </c>
    </row>
    <row r="100">
      <c r="A100" s="33"/>
      <c r="B100" s="33"/>
      <c r="C100" s="32" t="str">
        <f>IFERROR(__xludf.DUMMYFUNCTION("""COMPUTED_VALUE"""),"")</f>
        <v/>
      </c>
    </row>
    <row r="101">
      <c r="A101" s="33"/>
      <c r="B101" s="33"/>
      <c r="C101" s="32" t="str">
        <f>IFERROR(__xludf.DUMMYFUNCTION("""COMPUTED_VALUE"""),"")</f>
        <v/>
      </c>
    </row>
    <row r="102">
      <c r="A102" s="33"/>
      <c r="B102" s="33"/>
      <c r="C102" s="32" t="str">
        <f>IFERROR(__xludf.DUMMYFUNCTION("""COMPUTED_VALUE"""),"")</f>
        <v/>
      </c>
    </row>
    <row r="103">
      <c r="A103" s="33"/>
      <c r="B103" s="33"/>
      <c r="C103" s="32" t="str">
        <f>IFERROR(__xludf.DUMMYFUNCTION("""COMPUTED_VALUE"""),"")</f>
        <v/>
      </c>
    </row>
    <row r="104">
      <c r="A104" s="33"/>
      <c r="B104" s="33"/>
      <c r="C104" s="32" t="str">
        <f>IFERROR(__xludf.DUMMYFUNCTION("""COMPUTED_VALUE"""),"")</f>
        <v/>
      </c>
    </row>
    <row r="105">
      <c r="A105" s="33"/>
      <c r="B105" s="33"/>
      <c r="C105" s="32" t="str">
        <f>IFERROR(__xludf.DUMMYFUNCTION("""COMPUTED_VALUE"""),"")</f>
        <v/>
      </c>
    </row>
    <row r="106">
      <c r="A106" s="33"/>
      <c r="B106" s="33"/>
      <c r="C106" s="32" t="str">
        <f>IFERROR(__xludf.DUMMYFUNCTION("""COMPUTED_VALUE"""),"")</f>
        <v/>
      </c>
    </row>
    <row r="107">
      <c r="A107" s="33"/>
      <c r="B107" s="33"/>
      <c r="C107" s="32" t="str">
        <f>IFERROR(__xludf.DUMMYFUNCTION("""COMPUTED_VALUE"""),"")</f>
        <v/>
      </c>
    </row>
    <row r="108">
      <c r="A108" s="33"/>
      <c r="B108" s="33"/>
      <c r="C108" s="32" t="str">
        <f>IFERROR(__xludf.DUMMYFUNCTION("""COMPUTED_VALUE"""),"")</f>
        <v/>
      </c>
    </row>
    <row r="109">
      <c r="A109" s="33"/>
      <c r="B109" s="33"/>
      <c r="C109" s="32" t="str">
        <f>IFERROR(__xludf.DUMMYFUNCTION("""COMPUTED_VALUE"""),"")</f>
        <v/>
      </c>
    </row>
    <row r="110">
      <c r="A110" s="33"/>
      <c r="B110" s="33"/>
      <c r="C110" s="32" t="str">
        <f>IFERROR(__xludf.DUMMYFUNCTION("""COMPUTED_VALUE"""),"")</f>
        <v/>
      </c>
    </row>
    <row r="111">
      <c r="A111" s="33"/>
      <c r="B111" s="33"/>
      <c r="C111" s="32" t="str">
        <f>IFERROR(__xludf.DUMMYFUNCTION("""COMPUTED_VALUE"""),"")</f>
        <v/>
      </c>
    </row>
    <row r="112">
      <c r="A112" s="33"/>
      <c r="B112" s="33"/>
      <c r="C112" s="32" t="str">
        <f>IFERROR(__xludf.DUMMYFUNCTION("""COMPUTED_VALUE"""),"")</f>
        <v/>
      </c>
    </row>
    <row r="113">
      <c r="A113" s="33"/>
      <c r="B113" s="33"/>
      <c r="C113" s="32" t="str">
        <f>IFERROR(__xludf.DUMMYFUNCTION("""COMPUTED_VALUE"""),"")</f>
        <v/>
      </c>
    </row>
    <row r="114">
      <c r="A114" s="33"/>
      <c r="B114" s="33"/>
      <c r="C114" s="32" t="str">
        <f>IFERROR(__xludf.DUMMYFUNCTION("""COMPUTED_VALUE"""),"")</f>
        <v/>
      </c>
    </row>
    <row r="115">
      <c r="A115" s="33"/>
      <c r="B115" s="33"/>
      <c r="C115" s="32" t="str">
        <f>IFERROR(__xludf.DUMMYFUNCTION("""COMPUTED_VALUE"""),"")</f>
        <v/>
      </c>
    </row>
    <row r="116">
      <c r="A116" s="33"/>
      <c r="B116" s="33"/>
      <c r="C116" s="32" t="str">
        <f>IFERROR(__xludf.DUMMYFUNCTION("""COMPUTED_VALUE"""),"")</f>
        <v/>
      </c>
    </row>
    <row r="117">
      <c r="A117" s="33"/>
      <c r="B117" s="33"/>
      <c r="C117" s="32" t="str">
        <f>IFERROR(__xludf.DUMMYFUNCTION("""COMPUTED_VALUE"""),"")</f>
        <v/>
      </c>
    </row>
    <row r="118">
      <c r="A118" s="33"/>
      <c r="B118" s="33"/>
      <c r="C118" s="32" t="str">
        <f>IFERROR(__xludf.DUMMYFUNCTION("""COMPUTED_VALUE"""),"")</f>
        <v/>
      </c>
    </row>
    <row r="119">
      <c r="A119" s="33"/>
      <c r="B119" s="33"/>
      <c r="C119" s="32" t="str">
        <f>IFERROR(__xludf.DUMMYFUNCTION("""COMPUTED_VALUE"""),"")</f>
        <v/>
      </c>
    </row>
    <row r="120">
      <c r="A120" s="33"/>
      <c r="B120" s="33"/>
      <c r="C120" s="32" t="str">
        <f>IFERROR(__xludf.DUMMYFUNCTION("""COMPUTED_VALUE"""),"")</f>
        <v/>
      </c>
    </row>
    <row r="121">
      <c r="A121" s="33"/>
      <c r="B121" s="33"/>
      <c r="C121" s="32" t="str">
        <f>IFERROR(__xludf.DUMMYFUNCTION("""COMPUTED_VALUE"""),"")</f>
        <v/>
      </c>
    </row>
    <row r="122">
      <c r="A122" s="33"/>
      <c r="B122" s="33"/>
      <c r="C122" s="32" t="str">
        <f>IFERROR(__xludf.DUMMYFUNCTION("""COMPUTED_VALUE"""),"")</f>
        <v/>
      </c>
    </row>
    <row r="123">
      <c r="A123" s="33"/>
      <c r="B123" s="33"/>
      <c r="C123" s="32" t="str">
        <f>IFERROR(__xludf.DUMMYFUNCTION("""COMPUTED_VALUE"""),"")</f>
        <v/>
      </c>
    </row>
    <row r="124">
      <c r="A124" s="33"/>
      <c r="B124" s="33"/>
      <c r="C124" s="32" t="str">
        <f>IFERROR(__xludf.DUMMYFUNCTION("""COMPUTED_VALUE"""),"")</f>
        <v/>
      </c>
    </row>
    <row r="125">
      <c r="A125" s="33"/>
      <c r="B125" s="33"/>
      <c r="C125" s="32" t="str">
        <f>IFERROR(__xludf.DUMMYFUNCTION("""COMPUTED_VALUE"""),"")</f>
        <v/>
      </c>
    </row>
    <row r="126">
      <c r="A126" s="33"/>
      <c r="B126" s="33"/>
      <c r="C126" s="32" t="str">
        <f>IFERROR(__xludf.DUMMYFUNCTION("""COMPUTED_VALUE"""),"")</f>
        <v/>
      </c>
    </row>
    <row r="127">
      <c r="A127" s="33"/>
      <c r="B127" s="33"/>
      <c r="C127" s="32" t="str">
        <f>IFERROR(__xludf.DUMMYFUNCTION("""COMPUTED_VALUE"""),"")</f>
        <v/>
      </c>
    </row>
    <row r="128">
      <c r="A128" s="33"/>
      <c r="B128" s="33"/>
      <c r="C128" s="32" t="str">
        <f>IFERROR(__xludf.DUMMYFUNCTION("""COMPUTED_VALUE"""),"")</f>
        <v/>
      </c>
    </row>
    <row r="129">
      <c r="A129" s="33"/>
      <c r="B129" s="33"/>
      <c r="C129" s="32" t="str">
        <f>IFERROR(__xludf.DUMMYFUNCTION("""COMPUTED_VALUE"""),"")</f>
        <v/>
      </c>
    </row>
    <row r="130">
      <c r="A130" s="33"/>
      <c r="B130" s="33"/>
      <c r="C130" s="32" t="str">
        <f>IFERROR(__xludf.DUMMYFUNCTION("""COMPUTED_VALUE"""),"")</f>
        <v/>
      </c>
    </row>
    <row r="131">
      <c r="A131" s="33"/>
      <c r="B131" s="33"/>
      <c r="C131" s="32" t="str">
        <f>IFERROR(__xludf.DUMMYFUNCTION("""COMPUTED_VALUE"""),"")</f>
        <v/>
      </c>
    </row>
    <row r="132">
      <c r="A132" s="33"/>
      <c r="B132" s="33"/>
      <c r="C132" s="32" t="str">
        <f>IFERROR(__xludf.DUMMYFUNCTION("""COMPUTED_VALUE"""),"")</f>
        <v/>
      </c>
    </row>
    <row r="133">
      <c r="A133" s="33"/>
      <c r="B133" s="33"/>
      <c r="C133" s="32" t="str">
        <f>IFERROR(__xludf.DUMMYFUNCTION("""COMPUTED_VALUE"""),"")</f>
        <v/>
      </c>
    </row>
    <row r="134">
      <c r="A134" s="33"/>
      <c r="B134" s="33"/>
      <c r="C134" s="32" t="str">
        <f>IFERROR(__xludf.DUMMYFUNCTION("""COMPUTED_VALUE"""),"")</f>
        <v/>
      </c>
    </row>
    <row r="135">
      <c r="A135" s="33"/>
      <c r="B135" s="33"/>
      <c r="C135" s="32" t="str">
        <f>IFERROR(__xludf.DUMMYFUNCTION("""COMPUTED_VALUE"""),"")</f>
        <v/>
      </c>
    </row>
    <row r="136">
      <c r="A136" s="33"/>
      <c r="B136" s="33"/>
      <c r="C136" s="32" t="str">
        <f>IFERROR(__xludf.DUMMYFUNCTION("""COMPUTED_VALUE"""),"")</f>
        <v/>
      </c>
    </row>
    <row r="137">
      <c r="A137" s="33"/>
      <c r="B137" s="33"/>
      <c r="C137" s="32" t="str">
        <f>IFERROR(__xludf.DUMMYFUNCTION("""COMPUTED_VALUE"""),"")</f>
        <v/>
      </c>
    </row>
    <row r="138">
      <c r="A138" s="33"/>
      <c r="B138" s="33"/>
      <c r="C138" s="32" t="str">
        <f>IFERROR(__xludf.DUMMYFUNCTION("""COMPUTED_VALUE"""),"")</f>
        <v/>
      </c>
    </row>
    <row r="139">
      <c r="A139" s="33"/>
      <c r="B139" s="33"/>
      <c r="C139" s="32" t="str">
        <f>IFERROR(__xludf.DUMMYFUNCTION("""COMPUTED_VALUE"""),"")</f>
        <v/>
      </c>
    </row>
    <row r="140">
      <c r="A140" s="33"/>
      <c r="B140" s="33"/>
      <c r="C140" s="32" t="str">
        <f>IFERROR(__xludf.DUMMYFUNCTION("""COMPUTED_VALUE"""),"")</f>
        <v/>
      </c>
    </row>
    <row r="141">
      <c r="A141" s="33"/>
      <c r="B141" s="33"/>
      <c r="C141" s="32" t="str">
        <f>IFERROR(__xludf.DUMMYFUNCTION("""COMPUTED_VALUE"""),"")</f>
        <v/>
      </c>
    </row>
    <row r="142">
      <c r="A142" s="33"/>
      <c r="B142" s="33"/>
      <c r="C142" s="32" t="str">
        <f>IFERROR(__xludf.DUMMYFUNCTION("""COMPUTED_VALUE"""),"")</f>
        <v/>
      </c>
    </row>
    <row r="143">
      <c r="A143" s="33"/>
      <c r="B143" s="33"/>
      <c r="C143" s="32" t="str">
        <f>IFERROR(__xludf.DUMMYFUNCTION("""COMPUTED_VALUE"""),"")</f>
        <v/>
      </c>
    </row>
    <row r="144">
      <c r="A144" s="33"/>
      <c r="B144" s="33"/>
      <c r="C144" s="32" t="str">
        <f>IFERROR(__xludf.DUMMYFUNCTION("""COMPUTED_VALUE"""),"")</f>
        <v/>
      </c>
    </row>
    <row r="145">
      <c r="A145" s="33"/>
      <c r="B145" s="33"/>
      <c r="C145" s="32" t="str">
        <f>IFERROR(__xludf.DUMMYFUNCTION("""COMPUTED_VALUE"""),"")</f>
        <v/>
      </c>
    </row>
    <row r="146">
      <c r="A146" s="33"/>
      <c r="B146" s="33"/>
      <c r="C146" s="32" t="str">
        <f>IFERROR(__xludf.DUMMYFUNCTION("""COMPUTED_VALUE"""),"")</f>
        <v/>
      </c>
    </row>
    <row r="147">
      <c r="A147" s="33"/>
      <c r="B147" s="33"/>
      <c r="C147" s="32" t="str">
        <f>IFERROR(__xludf.DUMMYFUNCTION("""COMPUTED_VALUE"""),"")</f>
        <v/>
      </c>
    </row>
    <row r="148">
      <c r="A148" s="33"/>
      <c r="B148" s="33"/>
      <c r="C148" s="32" t="str">
        <f>IFERROR(__xludf.DUMMYFUNCTION("""COMPUTED_VALUE"""),"")</f>
        <v/>
      </c>
    </row>
    <row r="149">
      <c r="A149" s="33"/>
      <c r="B149" s="33"/>
      <c r="C149" s="32" t="str">
        <f>IFERROR(__xludf.DUMMYFUNCTION("""COMPUTED_VALUE"""),"")</f>
        <v/>
      </c>
    </row>
    <row r="150">
      <c r="A150" s="33"/>
      <c r="B150" s="33"/>
      <c r="C150" s="32" t="str">
        <f>IFERROR(__xludf.DUMMYFUNCTION("""COMPUTED_VALUE"""),"")</f>
        <v/>
      </c>
    </row>
    <row r="151">
      <c r="A151" s="33"/>
      <c r="B151" s="33"/>
      <c r="C151" s="32" t="str">
        <f>IFERROR(__xludf.DUMMYFUNCTION("""COMPUTED_VALUE"""),"")</f>
        <v/>
      </c>
    </row>
    <row r="152">
      <c r="A152" s="33"/>
      <c r="B152" s="33"/>
      <c r="C152" s="32" t="str">
        <f>IFERROR(__xludf.DUMMYFUNCTION("""COMPUTED_VALUE"""),"")</f>
        <v/>
      </c>
    </row>
    <row r="153">
      <c r="A153" s="33"/>
      <c r="B153" s="33"/>
      <c r="C153" s="32" t="str">
        <f>IFERROR(__xludf.DUMMYFUNCTION("""COMPUTED_VALUE"""),"")</f>
        <v/>
      </c>
    </row>
    <row r="154">
      <c r="A154" s="33"/>
      <c r="B154" s="33"/>
      <c r="C154" s="32" t="str">
        <f>IFERROR(__xludf.DUMMYFUNCTION("""COMPUTED_VALUE"""),"")</f>
        <v/>
      </c>
    </row>
    <row r="155">
      <c r="A155" s="33"/>
      <c r="B155" s="33"/>
      <c r="C155" s="32" t="str">
        <f>IFERROR(__xludf.DUMMYFUNCTION("""COMPUTED_VALUE"""),"")</f>
        <v/>
      </c>
    </row>
    <row r="156">
      <c r="A156" s="33"/>
      <c r="B156" s="33"/>
      <c r="C156" s="32" t="str">
        <f>IFERROR(__xludf.DUMMYFUNCTION("""COMPUTED_VALUE"""),"")</f>
        <v/>
      </c>
    </row>
    <row r="157">
      <c r="A157" s="33"/>
      <c r="B157" s="33"/>
      <c r="C157" s="32" t="str">
        <f>IFERROR(__xludf.DUMMYFUNCTION("""COMPUTED_VALUE"""),"")</f>
        <v/>
      </c>
    </row>
    <row r="158">
      <c r="A158" s="33"/>
      <c r="B158" s="33"/>
      <c r="C158" s="32" t="str">
        <f>IFERROR(__xludf.DUMMYFUNCTION("""COMPUTED_VALUE"""),"")</f>
        <v/>
      </c>
    </row>
    <row r="159">
      <c r="A159" s="33"/>
      <c r="B159" s="33"/>
      <c r="C159" s="32" t="str">
        <f>IFERROR(__xludf.DUMMYFUNCTION("""COMPUTED_VALUE"""),"")</f>
        <v/>
      </c>
    </row>
    <row r="160">
      <c r="A160" s="33"/>
      <c r="B160" s="33"/>
      <c r="C160" s="32" t="str">
        <f>IFERROR(__xludf.DUMMYFUNCTION("""COMPUTED_VALUE"""),"")</f>
        <v/>
      </c>
    </row>
    <row r="161">
      <c r="A161" s="33"/>
      <c r="B161" s="33"/>
      <c r="C161" s="32" t="str">
        <f>IFERROR(__xludf.DUMMYFUNCTION("""COMPUTED_VALUE"""),"")</f>
        <v/>
      </c>
    </row>
    <row r="162">
      <c r="A162" s="33"/>
      <c r="B162" s="33"/>
      <c r="C162" s="32" t="str">
        <f>IFERROR(__xludf.DUMMYFUNCTION("""COMPUTED_VALUE"""),"")</f>
        <v/>
      </c>
    </row>
    <row r="163">
      <c r="A163" s="33"/>
      <c r="B163" s="33"/>
      <c r="C163" s="32" t="str">
        <f>IFERROR(__xludf.DUMMYFUNCTION("""COMPUTED_VALUE"""),"")</f>
        <v/>
      </c>
    </row>
    <row r="164">
      <c r="A164" s="33"/>
      <c r="B164" s="33"/>
      <c r="C164" s="32" t="str">
        <f>IFERROR(__xludf.DUMMYFUNCTION("""COMPUTED_VALUE"""),"")</f>
        <v/>
      </c>
    </row>
    <row r="165">
      <c r="A165" s="33"/>
      <c r="B165" s="33"/>
      <c r="C165" s="32" t="str">
        <f>IFERROR(__xludf.DUMMYFUNCTION("""COMPUTED_VALUE"""),"")</f>
        <v/>
      </c>
    </row>
    <row r="166">
      <c r="A166" s="33"/>
      <c r="B166" s="33"/>
      <c r="C166" s="32" t="str">
        <f>IFERROR(__xludf.DUMMYFUNCTION("""COMPUTED_VALUE"""),"")</f>
        <v/>
      </c>
    </row>
    <row r="167">
      <c r="A167" s="33"/>
      <c r="B167" s="33"/>
      <c r="C167" s="32" t="str">
        <f>IFERROR(__xludf.DUMMYFUNCTION("""COMPUTED_VALUE"""),"")</f>
        <v/>
      </c>
    </row>
    <row r="168">
      <c r="A168" s="33"/>
      <c r="B168" s="33"/>
      <c r="C168" s="32" t="str">
        <f>IFERROR(__xludf.DUMMYFUNCTION("""COMPUTED_VALUE"""),"")</f>
        <v/>
      </c>
    </row>
    <row r="169">
      <c r="A169" s="33"/>
      <c r="B169" s="33"/>
      <c r="C169" s="32" t="str">
        <f>IFERROR(__xludf.DUMMYFUNCTION("""COMPUTED_VALUE"""),"")</f>
        <v/>
      </c>
    </row>
    <row r="170">
      <c r="A170" s="33"/>
      <c r="B170" s="33"/>
      <c r="C170" s="32" t="str">
        <f>IFERROR(__xludf.DUMMYFUNCTION("""COMPUTED_VALUE"""),"")</f>
        <v/>
      </c>
    </row>
    <row r="171">
      <c r="A171" s="33"/>
      <c r="B171" s="33"/>
      <c r="C171" s="32" t="str">
        <f>IFERROR(__xludf.DUMMYFUNCTION("""COMPUTED_VALUE"""),"")</f>
        <v/>
      </c>
    </row>
    <row r="172">
      <c r="A172" s="33"/>
      <c r="B172" s="33"/>
      <c r="C172" s="32" t="str">
        <f>IFERROR(__xludf.DUMMYFUNCTION("""COMPUTED_VALUE"""),"")</f>
        <v/>
      </c>
    </row>
    <row r="173">
      <c r="A173" s="33"/>
      <c r="B173" s="33"/>
      <c r="C173" s="32" t="str">
        <f>IFERROR(__xludf.DUMMYFUNCTION("""COMPUTED_VALUE"""),"")</f>
        <v/>
      </c>
    </row>
    <row r="174">
      <c r="A174" s="33"/>
      <c r="B174" s="33"/>
      <c r="C174" s="32" t="str">
        <f>IFERROR(__xludf.DUMMYFUNCTION("""COMPUTED_VALUE"""),"")</f>
        <v/>
      </c>
    </row>
    <row r="175">
      <c r="A175" s="33"/>
      <c r="B175" s="33"/>
      <c r="C175" s="32" t="str">
        <f>IFERROR(__xludf.DUMMYFUNCTION("""COMPUTED_VALUE"""),"")</f>
        <v/>
      </c>
    </row>
    <row r="176">
      <c r="A176" s="33"/>
      <c r="B176" s="33"/>
      <c r="C176" s="32" t="str">
        <f>IFERROR(__xludf.DUMMYFUNCTION("""COMPUTED_VALUE"""),"")</f>
        <v/>
      </c>
    </row>
    <row r="177">
      <c r="A177" s="33"/>
      <c r="B177" s="33"/>
      <c r="C177" s="32" t="str">
        <f>IFERROR(__xludf.DUMMYFUNCTION("""COMPUTED_VALUE"""),"")</f>
        <v/>
      </c>
    </row>
    <row r="178">
      <c r="A178" s="33"/>
      <c r="B178" s="33"/>
      <c r="C178" s="32" t="str">
        <f>IFERROR(__xludf.DUMMYFUNCTION("""COMPUTED_VALUE"""),"")</f>
        <v/>
      </c>
    </row>
    <row r="179">
      <c r="A179" s="33"/>
      <c r="B179" s="33"/>
      <c r="C179" s="32" t="str">
        <f>IFERROR(__xludf.DUMMYFUNCTION("""COMPUTED_VALUE"""),"")</f>
        <v/>
      </c>
    </row>
    <row r="180">
      <c r="A180" s="33"/>
      <c r="B180" s="33"/>
      <c r="C180" s="32" t="str">
        <f>IFERROR(__xludf.DUMMYFUNCTION("""COMPUTED_VALUE"""),"")</f>
        <v/>
      </c>
    </row>
    <row r="181">
      <c r="A181" s="33"/>
      <c r="B181" s="33"/>
      <c r="C181" s="32" t="str">
        <f>IFERROR(__xludf.DUMMYFUNCTION("""COMPUTED_VALUE"""),"")</f>
        <v/>
      </c>
    </row>
    <row r="182">
      <c r="A182" s="33"/>
      <c r="B182" s="33"/>
      <c r="C182" s="32" t="str">
        <f>IFERROR(__xludf.DUMMYFUNCTION("""COMPUTED_VALUE"""),"")</f>
        <v/>
      </c>
    </row>
    <row r="183">
      <c r="A183" s="33"/>
      <c r="B183" s="33"/>
      <c r="C183" s="32" t="str">
        <f>IFERROR(__xludf.DUMMYFUNCTION("""COMPUTED_VALUE"""),"")</f>
        <v/>
      </c>
    </row>
    <row r="184">
      <c r="A184" s="33"/>
      <c r="B184" s="33"/>
      <c r="C184" s="32" t="str">
        <f>IFERROR(__xludf.DUMMYFUNCTION("""COMPUTED_VALUE"""),"")</f>
        <v/>
      </c>
    </row>
    <row r="185">
      <c r="A185" s="33"/>
      <c r="B185" s="33"/>
      <c r="C185" s="32" t="str">
        <f>IFERROR(__xludf.DUMMYFUNCTION("""COMPUTED_VALUE"""),"")</f>
        <v/>
      </c>
    </row>
    <row r="186">
      <c r="A186" s="33"/>
      <c r="B186" s="33"/>
      <c r="C186" s="32" t="str">
        <f>IFERROR(__xludf.DUMMYFUNCTION("""COMPUTED_VALUE"""),"")</f>
        <v/>
      </c>
    </row>
    <row r="187">
      <c r="A187" s="33"/>
      <c r="B187" s="33"/>
      <c r="C187" s="32" t="str">
        <f>IFERROR(__xludf.DUMMYFUNCTION("""COMPUTED_VALUE"""),"")</f>
        <v/>
      </c>
    </row>
    <row r="188">
      <c r="A188" s="33"/>
      <c r="B188" s="33"/>
      <c r="C188" s="32" t="str">
        <f>IFERROR(__xludf.DUMMYFUNCTION("""COMPUTED_VALUE"""),"")</f>
        <v/>
      </c>
    </row>
    <row r="189">
      <c r="A189" s="33"/>
      <c r="B189" s="33"/>
      <c r="C189" s="32" t="str">
        <f>IFERROR(__xludf.DUMMYFUNCTION("""COMPUTED_VALUE"""),"")</f>
        <v/>
      </c>
    </row>
    <row r="190">
      <c r="A190" s="33"/>
      <c r="B190" s="33"/>
      <c r="C190" s="32" t="str">
        <f>IFERROR(__xludf.DUMMYFUNCTION("""COMPUTED_VALUE"""),"")</f>
        <v/>
      </c>
    </row>
    <row r="191">
      <c r="A191" s="33"/>
      <c r="B191" s="33"/>
      <c r="C191" s="32" t="str">
        <f>IFERROR(__xludf.DUMMYFUNCTION("""COMPUTED_VALUE"""),"")</f>
        <v/>
      </c>
    </row>
    <row r="192">
      <c r="A192" s="33"/>
      <c r="B192" s="33"/>
      <c r="C192" s="32" t="str">
        <f>IFERROR(__xludf.DUMMYFUNCTION("""COMPUTED_VALUE"""),"")</f>
        <v/>
      </c>
    </row>
    <row r="193">
      <c r="A193" s="33"/>
      <c r="B193" s="33"/>
      <c r="C193" s="32" t="str">
        <f>IFERROR(__xludf.DUMMYFUNCTION("""COMPUTED_VALUE"""),"")</f>
        <v/>
      </c>
    </row>
    <row r="194">
      <c r="A194" s="33"/>
      <c r="B194" s="33"/>
      <c r="C194" s="32" t="str">
        <f>IFERROR(__xludf.DUMMYFUNCTION("""COMPUTED_VALUE"""),"")</f>
        <v/>
      </c>
    </row>
    <row r="195">
      <c r="A195" s="33"/>
      <c r="B195" s="33"/>
      <c r="C195" s="32" t="str">
        <f>IFERROR(__xludf.DUMMYFUNCTION("""COMPUTED_VALUE"""),"")</f>
        <v/>
      </c>
    </row>
    <row r="196">
      <c r="A196" s="33"/>
      <c r="B196" s="33"/>
      <c r="C196" s="32" t="str">
        <f>IFERROR(__xludf.DUMMYFUNCTION("""COMPUTED_VALUE"""),"")</f>
        <v/>
      </c>
    </row>
    <row r="197">
      <c r="A197" s="33"/>
      <c r="B197" s="33"/>
      <c r="C197" s="32" t="str">
        <f>IFERROR(__xludf.DUMMYFUNCTION("""COMPUTED_VALUE"""),"")</f>
        <v/>
      </c>
    </row>
    <row r="198">
      <c r="A198" s="33"/>
      <c r="B198" s="33"/>
      <c r="C198" s="32" t="str">
        <f>IFERROR(__xludf.DUMMYFUNCTION("""COMPUTED_VALUE"""),"")</f>
        <v/>
      </c>
    </row>
    <row r="199">
      <c r="A199" s="33"/>
      <c r="B199" s="33"/>
      <c r="C199" s="32" t="str">
        <f>IFERROR(__xludf.DUMMYFUNCTION("""COMPUTED_VALUE"""),"")</f>
        <v/>
      </c>
    </row>
    <row r="200">
      <c r="A200" s="33"/>
      <c r="B200" s="33"/>
      <c r="C200" s="32" t="str">
        <f>IFERROR(__xludf.DUMMYFUNCTION("""COMPUTED_VALUE"""),"")</f>
        <v/>
      </c>
    </row>
    <row r="201">
      <c r="A201" s="33"/>
      <c r="B201" s="33"/>
      <c r="C201" s="32" t="str">
        <f>IFERROR(__xludf.DUMMYFUNCTION("""COMPUTED_VALUE"""),"")</f>
        <v/>
      </c>
    </row>
    <row r="202">
      <c r="A202" s="33"/>
      <c r="B202" s="33"/>
      <c r="C202" s="32" t="str">
        <f>IFERROR(__xludf.DUMMYFUNCTION("""COMPUTED_VALUE"""),"")</f>
        <v/>
      </c>
    </row>
    <row r="203">
      <c r="A203" s="33"/>
      <c r="B203" s="33"/>
      <c r="C203" s="32" t="str">
        <f>IFERROR(__xludf.DUMMYFUNCTION("""COMPUTED_VALUE"""),"")</f>
        <v/>
      </c>
    </row>
    <row r="204">
      <c r="A204" s="33"/>
      <c r="B204" s="33"/>
      <c r="C204" s="32" t="str">
        <f>IFERROR(__xludf.DUMMYFUNCTION("""COMPUTED_VALUE"""),"")</f>
        <v/>
      </c>
    </row>
    <row r="205">
      <c r="A205" s="33"/>
      <c r="B205" s="33"/>
      <c r="C205" s="32" t="str">
        <f>IFERROR(__xludf.DUMMYFUNCTION("""COMPUTED_VALUE"""),"")</f>
        <v/>
      </c>
    </row>
    <row r="206">
      <c r="A206" s="33"/>
      <c r="B206" s="33"/>
      <c r="C206" s="32" t="str">
        <f>IFERROR(__xludf.DUMMYFUNCTION("""COMPUTED_VALUE"""),"")</f>
        <v/>
      </c>
    </row>
    <row r="207">
      <c r="A207" s="33"/>
      <c r="B207" s="33"/>
      <c r="C207" s="32" t="str">
        <f>IFERROR(__xludf.DUMMYFUNCTION("""COMPUTED_VALUE"""),"")</f>
        <v/>
      </c>
    </row>
    <row r="208">
      <c r="A208" s="33"/>
      <c r="B208" s="33"/>
      <c r="C208" s="32" t="str">
        <f>IFERROR(__xludf.DUMMYFUNCTION("""COMPUTED_VALUE"""),"")</f>
        <v/>
      </c>
    </row>
    <row r="209">
      <c r="A209" s="33"/>
      <c r="B209" s="33"/>
      <c r="C209" s="32" t="str">
        <f>IFERROR(__xludf.DUMMYFUNCTION("""COMPUTED_VALUE"""),"")</f>
        <v/>
      </c>
    </row>
    <row r="210">
      <c r="A210" s="33"/>
      <c r="B210" s="33"/>
      <c r="C210" s="32" t="str">
        <f>IFERROR(__xludf.DUMMYFUNCTION("""COMPUTED_VALUE"""),"")</f>
        <v/>
      </c>
    </row>
    <row r="211">
      <c r="A211" s="33"/>
      <c r="B211" s="33"/>
      <c r="C211" s="32" t="str">
        <f>IFERROR(__xludf.DUMMYFUNCTION("""COMPUTED_VALUE"""),"")</f>
        <v/>
      </c>
    </row>
    <row r="212">
      <c r="A212" s="33"/>
      <c r="B212" s="33"/>
      <c r="C212" s="32" t="str">
        <f>IFERROR(__xludf.DUMMYFUNCTION("""COMPUTED_VALUE"""),"")</f>
        <v/>
      </c>
    </row>
    <row r="213">
      <c r="A213" s="33"/>
      <c r="B213" s="33"/>
      <c r="C213" s="32" t="str">
        <f>IFERROR(__xludf.DUMMYFUNCTION("""COMPUTED_VALUE"""),"")</f>
        <v/>
      </c>
    </row>
    <row r="214">
      <c r="A214" s="33"/>
      <c r="B214" s="33"/>
      <c r="C214" s="32" t="str">
        <f>IFERROR(__xludf.DUMMYFUNCTION("""COMPUTED_VALUE"""),"")</f>
        <v/>
      </c>
    </row>
    <row r="215">
      <c r="A215" s="33"/>
      <c r="B215" s="33"/>
      <c r="C215" s="32" t="str">
        <f>IFERROR(__xludf.DUMMYFUNCTION("""COMPUTED_VALUE"""),"")</f>
        <v/>
      </c>
    </row>
    <row r="216">
      <c r="A216" s="33"/>
      <c r="B216" s="33"/>
      <c r="C216" s="32" t="str">
        <f>IFERROR(__xludf.DUMMYFUNCTION("""COMPUTED_VALUE"""),"")</f>
        <v/>
      </c>
    </row>
    <row r="217">
      <c r="A217" s="33"/>
      <c r="B217" s="33"/>
      <c r="C217" s="32" t="str">
        <f>IFERROR(__xludf.DUMMYFUNCTION("""COMPUTED_VALUE"""),"")</f>
        <v/>
      </c>
    </row>
    <row r="218">
      <c r="A218" s="33"/>
      <c r="B218" s="33"/>
      <c r="C218" s="32" t="str">
        <f>IFERROR(__xludf.DUMMYFUNCTION("""COMPUTED_VALUE"""),"")</f>
        <v/>
      </c>
    </row>
    <row r="219">
      <c r="A219" s="33"/>
      <c r="B219" s="33"/>
      <c r="C219" s="32" t="str">
        <f>IFERROR(__xludf.DUMMYFUNCTION("""COMPUTED_VALUE"""),"")</f>
        <v/>
      </c>
    </row>
    <row r="220">
      <c r="A220" s="33"/>
      <c r="B220" s="33"/>
      <c r="C220" s="32" t="str">
        <f>IFERROR(__xludf.DUMMYFUNCTION("""COMPUTED_VALUE"""),"")</f>
        <v/>
      </c>
    </row>
    <row r="221">
      <c r="A221" s="33"/>
      <c r="B221" s="33"/>
      <c r="C221" s="32" t="str">
        <f>IFERROR(__xludf.DUMMYFUNCTION("""COMPUTED_VALUE"""),"")</f>
        <v/>
      </c>
    </row>
    <row r="222">
      <c r="A222" s="33"/>
      <c r="B222" s="33"/>
      <c r="C222" s="32" t="str">
        <f>IFERROR(__xludf.DUMMYFUNCTION("""COMPUTED_VALUE"""),"")</f>
        <v/>
      </c>
    </row>
    <row r="223">
      <c r="A223" s="33"/>
      <c r="B223" s="33"/>
      <c r="C223" s="32" t="str">
        <f>IFERROR(__xludf.DUMMYFUNCTION("""COMPUTED_VALUE"""),"")</f>
        <v/>
      </c>
    </row>
    <row r="224">
      <c r="A224" s="33"/>
      <c r="B224" s="33"/>
      <c r="C224" s="32" t="str">
        <f>IFERROR(__xludf.DUMMYFUNCTION("""COMPUTED_VALUE"""),"")</f>
        <v/>
      </c>
    </row>
    <row r="225">
      <c r="A225" s="33"/>
      <c r="B225" s="33"/>
      <c r="C225" s="32" t="str">
        <f>IFERROR(__xludf.DUMMYFUNCTION("""COMPUTED_VALUE"""),"")</f>
        <v/>
      </c>
    </row>
    <row r="226">
      <c r="A226" s="33"/>
      <c r="B226" s="33"/>
      <c r="C226" s="32" t="str">
        <f>IFERROR(__xludf.DUMMYFUNCTION("""COMPUTED_VALUE"""),"")</f>
        <v/>
      </c>
    </row>
    <row r="227">
      <c r="A227" s="33"/>
      <c r="B227" s="33"/>
      <c r="C227" s="32" t="str">
        <f>IFERROR(__xludf.DUMMYFUNCTION("""COMPUTED_VALUE"""),"")</f>
        <v/>
      </c>
    </row>
    <row r="228">
      <c r="A228" s="33"/>
      <c r="B228" s="33"/>
      <c r="C228" s="32" t="str">
        <f>IFERROR(__xludf.DUMMYFUNCTION("""COMPUTED_VALUE"""),"")</f>
        <v/>
      </c>
    </row>
    <row r="229">
      <c r="A229" s="33"/>
      <c r="B229" s="33"/>
      <c r="C229" s="32" t="str">
        <f>IFERROR(__xludf.DUMMYFUNCTION("""COMPUTED_VALUE"""),"")</f>
        <v/>
      </c>
    </row>
    <row r="230">
      <c r="A230" s="33"/>
      <c r="B230" s="33"/>
      <c r="C230" s="32" t="str">
        <f>IFERROR(__xludf.DUMMYFUNCTION("""COMPUTED_VALUE"""),"")</f>
        <v/>
      </c>
    </row>
    <row r="231">
      <c r="A231" s="33"/>
      <c r="B231" s="33"/>
      <c r="C231" s="32" t="str">
        <f>IFERROR(__xludf.DUMMYFUNCTION("""COMPUTED_VALUE"""),"")</f>
        <v/>
      </c>
    </row>
    <row r="232">
      <c r="A232" s="33"/>
      <c r="B232" s="33"/>
      <c r="C232" s="32" t="str">
        <f>IFERROR(__xludf.DUMMYFUNCTION("""COMPUTED_VALUE"""),"")</f>
        <v/>
      </c>
    </row>
    <row r="233">
      <c r="A233" s="33"/>
      <c r="B233" s="33"/>
      <c r="C233" s="32" t="str">
        <f>IFERROR(__xludf.DUMMYFUNCTION("""COMPUTED_VALUE"""),"")</f>
        <v/>
      </c>
    </row>
    <row r="234">
      <c r="A234" s="33"/>
      <c r="B234" s="33"/>
      <c r="C234" s="32" t="str">
        <f>IFERROR(__xludf.DUMMYFUNCTION("""COMPUTED_VALUE"""),"")</f>
        <v/>
      </c>
    </row>
    <row r="235">
      <c r="A235" s="33"/>
      <c r="B235" s="33"/>
      <c r="C235" s="32" t="str">
        <f>IFERROR(__xludf.DUMMYFUNCTION("""COMPUTED_VALUE"""),"")</f>
        <v/>
      </c>
    </row>
    <row r="236">
      <c r="A236" s="33"/>
      <c r="B236" s="33"/>
      <c r="C236" s="32" t="str">
        <f>IFERROR(__xludf.DUMMYFUNCTION("""COMPUTED_VALUE"""),"")</f>
        <v/>
      </c>
    </row>
    <row r="237">
      <c r="A237" s="33"/>
      <c r="B237" s="33"/>
      <c r="C237" s="32" t="str">
        <f>IFERROR(__xludf.DUMMYFUNCTION("""COMPUTED_VALUE"""),"")</f>
        <v/>
      </c>
    </row>
    <row r="238">
      <c r="A238" s="33"/>
      <c r="B238" s="33"/>
      <c r="C238" s="32" t="str">
        <f>IFERROR(__xludf.DUMMYFUNCTION("""COMPUTED_VALUE"""),"")</f>
        <v/>
      </c>
    </row>
    <row r="239">
      <c r="A239" s="33"/>
      <c r="B239" s="33"/>
      <c r="C239" s="32" t="str">
        <f>IFERROR(__xludf.DUMMYFUNCTION("""COMPUTED_VALUE"""),"")</f>
        <v/>
      </c>
    </row>
    <row r="240">
      <c r="A240" s="33"/>
      <c r="B240" s="33"/>
      <c r="C240" s="32" t="str">
        <f>IFERROR(__xludf.DUMMYFUNCTION("""COMPUTED_VALUE"""),"")</f>
        <v/>
      </c>
    </row>
    <row r="241">
      <c r="A241" s="33"/>
      <c r="B241" s="33"/>
      <c r="C241" s="32" t="str">
        <f>IFERROR(__xludf.DUMMYFUNCTION("""COMPUTED_VALUE"""),"")</f>
        <v/>
      </c>
    </row>
    <row r="242">
      <c r="A242" s="33"/>
      <c r="B242" s="33"/>
      <c r="C242" s="32" t="str">
        <f>IFERROR(__xludf.DUMMYFUNCTION("""COMPUTED_VALUE"""),"")</f>
        <v/>
      </c>
    </row>
    <row r="243">
      <c r="A243" s="33"/>
      <c r="B243" s="33"/>
      <c r="C243" s="32" t="str">
        <f>IFERROR(__xludf.DUMMYFUNCTION("""COMPUTED_VALUE"""),"")</f>
        <v/>
      </c>
    </row>
    <row r="244">
      <c r="A244" s="33"/>
      <c r="B244" s="33"/>
      <c r="C244" s="32" t="str">
        <f>IFERROR(__xludf.DUMMYFUNCTION("""COMPUTED_VALUE"""),"")</f>
        <v/>
      </c>
    </row>
    <row r="245">
      <c r="A245" s="33"/>
      <c r="B245" s="33"/>
      <c r="C245" s="32" t="str">
        <f>IFERROR(__xludf.DUMMYFUNCTION("""COMPUTED_VALUE"""),"")</f>
        <v/>
      </c>
    </row>
    <row r="246">
      <c r="A246" s="33"/>
      <c r="B246" s="33"/>
      <c r="C246" s="32" t="str">
        <f>IFERROR(__xludf.DUMMYFUNCTION("""COMPUTED_VALUE"""),"")</f>
        <v/>
      </c>
    </row>
    <row r="247">
      <c r="A247" s="33"/>
      <c r="B247" s="33"/>
      <c r="C247" s="32" t="str">
        <f>IFERROR(__xludf.DUMMYFUNCTION("""COMPUTED_VALUE"""),"")</f>
        <v/>
      </c>
    </row>
    <row r="248">
      <c r="A248" s="33"/>
      <c r="B248" s="33"/>
      <c r="C248" s="32" t="str">
        <f>IFERROR(__xludf.DUMMYFUNCTION("""COMPUTED_VALUE"""),"")</f>
        <v/>
      </c>
    </row>
    <row r="249">
      <c r="A249" s="33"/>
      <c r="B249" s="33"/>
      <c r="C249" s="32" t="str">
        <f>IFERROR(__xludf.DUMMYFUNCTION("""COMPUTED_VALUE"""),"")</f>
        <v/>
      </c>
    </row>
    <row r="250">
      <c r="A250" s="33"/>
      <c r="B250" s="33"/>
      <c r="C250" s="32" t="str">
        <f>IFERROR(__xludf.DUMMYFUNCTION("""COMPUTED_VALUE"""),"")</f>
        <v/>
      </c>
    </row>
    <row r="251">
      <c r="A251" s="33"/>
      <c r="B251" s="33"/>
      <c r="C251" s="32" t="str">
        <f>IFERROR(__xludf.DUMMYFUNCTION("""COMPUTED_VALUE"""),"")</f>
        <v/>
      </c>
    </row>
    <row r="252">
      <c r="A252" s="33"/>
      <c r="B252" s="33"/>
      <c r="C252" s="32" t="str">
        <f>IFERROR(__xludf.DUMMYFUNCTION("""COMPUTED_VALUE"""),"")</f>
        <v/>
      </c>
    </row>
    <row r="253">
      <c r="A253" s="33"/>
      <c r="B253" s="33"/>
      <c r="C253" s="32" t="str">
        <f>IFERROR(__xludf.DUMMYFUNCTION("""COMPUTED_VALUE"""),"")</f>
        <v/>
      </c>
    </row>
    <row r="254">
      <c r="A254" s="33"/>
      <c r="B254" s="33"/>
      <c r="C254" s="32" t="str">
        <f>IFERROR(__xludf.DUMMYFUNCTION("""COMPUTED_VALUE"""),"")</f>
        <v/>
      </c>
    </row>
    <row r="255">
      <c r="A255" s="33"/>
      <c r="B255" s="33"/>
      <c r="C255" s="32" t="str">
        <f>IFERROR(__xludf.DUMMYFUNCTION("""COMPUTED_VALUE"""),"")</f>
        <v/>
      </c>
    </row>
    <row r="256">
      <c r="A256" s="33"/>
      <c r="B256" s="33"/>
      <c r="C256" s="32" t="str">
        <f>IFERROR(__xludf.DUMMYFUNCTION("""COMPUTED_VALUE"""),"")</f>
        <v/>
      </c>
    </row>
    <row r="257">
      <c r="A257" s="33"/>
      <c r="B257" s="33"/>
      <c r="C257" s="32" t="str">
        <f>IFERROR(__xludf.DUMMYFUNCTION("""COMPUTED_VALUE"""),"")</f>
        <v/>
      </c>
    </row>
    <row r="258">
      <c r="A258" s="33"/>
      <c r="B258" s="33"/>
      <c r="C258" s="32" t="str">
        <f>IFERROR(__xludf.DUMMYFUNCTION("""COMPUTED_VALUE"""),"")</f>
        <v/>
      </c>
    </row>
    <row r="259">
      <c r="A259" s="33"/>
      <c r="B259" s="33"/>
      <c r="C259" s="32" t="str">
        <f>IFERROR(__xludf.DUMMYFUNCTION("""COMPUTED_VALUE"""),"")</f>
        <v/>
      </c>
    </row>
    <row r="260">
      <c r="A260" s="33"/>
      <c r="B260" s="33"/>
      <c r="C260" s="32" t="str">
        <f>IFERROR(__xludf.DUMMYFUNCTION("""COMPUTED_VALUE"""),"")</f>
        <v/>
      </c>
    </row>
    <row r="261">
      <c r="A261" s="33"/>
      <c r="B261" s="33"/>
      <c r="C261" s="32" t="str">
        <f>IFERROR(__xludf.DUMMYFUNCTION("""COMPUTED_VALUE"""),"")</f>
        <v/>
      </c>
    </row>
    <row r="262">
      <c r="A262" s="33"/>
      <c r="B262" s="33"/>
      <c r="C262" s="32" t="str">
        <f>IFERROR(__xludf.DUMMYFUNCTION("""COMPUTED_VALUE"""),"")</f>
        <v/>
      </c>
    </row>
    <row r="263">
      <c r="A263" s="33"/>
      <c r="B263" s="33"/>
      <c r="C263" s="32" t="str">
        <f>IFERROR(__xludf.DUMMYFUNCTION("""COMPUTED_VALUE"""),"")</f>
        <v/>
      </c>
    </row>
    <row r="264">
      <c r="A264" s="33"/>
      <c r="B264" s="33"/>
      <c r="C264" s="32" t="str">
        <f>IFERROR(__xludf.DUMMYFUNCTION("""COMPUTED_VALUE"""),"")</f>
        <v/>
      </c>
    </row>
    <row r="265">
      <c r="A265" s="33"/>
      <c r="B265" s="33"/>
      <c r="C265" s="32" t="str">
        <f>IFERROR(__xludf.DUMMYFUNCTION("""COMPUTED_VALUE"""),"")</f>
        <v/>
      </c>
    </row>
    <row r="266">
      <c r="A266" s="33"/>
      <c r="B266" s="33"/>
      <c r="C266" s="32" t="str">
        <f>IFERROR(__xludf.DUMMYFUNCTION("""COMPUTED_VALUE"""),"")</f>
        <v/>
      </c>
    </row>
    <row r="267">
      <c r="A267" s="33"/>
      <c r="B267" s="33"/>
      <c r="C267" s="32" t="str">
        <f>IFERROR(__xludf.DUMMYFUNCTION("""COMPUTED_VALUE"""),"")</f>
        <v/>
      </c>
    </row>
    <row r="268">
      <c r="A268" s="33"/>
      <c r="B268" s="33"/>
      <c r="C268" s="32" t="str">
        <f>IFERROR(__xludf.DUMMYFUNCTION("""COMPUTED_VALUE"""),"")</f>
        <v/>
      </c>
    </row>
    <row r="269">
      <c r="A269" s="33"/>
      <c r="B269" s="33"/>
      <c r="C269" s="32" t="str">
        <f>IFERROR(__xludf.DUMMYFUNCTION("""COMPUTED_VALUE"""),"")</f>
        <v/>
      </c>
    </row>
    <row r="270">
      <c r="A270" s="33"/>
      <c r="B270" s="33"/>
      <c r="C270" s="32" t="str">
        <f>IFERROR(__xludf.DUMMYFUNCTION("""COMPUTED_VALUE"""),"")</f>
        <v/>
      </c>
    </row>
    <row r="271">
      <c r="A271" s="33"/>
      <c r="B271" s="33"/>
      <c r="C271" s="32" t="str">
        <f>IFERROR(__xludf.DUMMYFUNCTION("""COMPUTED_VALUE"""),"")</f>
        <v/>
      </c>
    </row>
    <row r="272">
      <c r="A272" s="33"/>
      <c r="B272" s="33"/>
      <c r="C272" s="32" t="str">
        <f>IFERROR(__xludf.DUMMYFUNCTION("""COMPUTED_VALUE"""),"")</f>
        <v/>
      </c>
    </row>
    <row r="273">
      <c r="A273" s="33"/>
      <c r="B273" s="33"/>
      <c r="C273" s="32" t="str">
        <f>IFERROR(__xludf.DUMMYFUNCTION("""COMPUTED_VALUE"""),"")</f>
        <v/>
      </c>
    </row>
    <row r="274">
      <c r="A274" s="33"/>
      <c r="B274" s="33"/>
      <c r="C274" s="32" t="str">
        <f>IFERROR(__xludf.DUMMYFUNCTION("""COMPUTED_VALUE"""),"")</f>
        <v/>
      </c>
    </row>
    <row r="275">
      <c r="A275" s="33"/>
      <c r="B275" s="33"/>
      <c r="C275" s="32" t="str">
        <f>IFERROR(__xludf.DUMMYFUNCTION("""COMPUTED_VALUE"""),"")</f>
        <v/>
      </c>
    </row>
    <row r="276">
      <c r="A276" s="33"/>
      <c r="B276" s="33"/>
      <c r="C276" s="32" t="str">
        <f>IFERROR(__xludf.DUMMYFUNCTION("""COMPUTED_VALUE"""),"")</f>
        <v/>
      </c>
    </row>
    <row r="277">
      <c r="A277" s="33"/>
      <c r="B277" s="33"/>
      <c r="C277" s="32" t="str">
        <f>IFERROR(__xludf.DUMMYFUNCTION("""COMPUTED_VALUE"""),"")</f>
        <v/>
      </c>
    </row>
    <row r="278">
      <c r="A278" s="33"/>
      <c r="B278" s="33"/>
      <c r="C278" s="32" t="str">
        <f>IFERROR(__xludf.DUMMYFUNCTION("""COMPUTED_VALUE"""),"")</f>
        <v/>
      </c>
    </row>
    <row r="279">
      <c r="A279" s="33"/>
      <c r="B279" s="33"/>
      <c r="C279" s="32" t="str">
        <f>IFERROR(__xludf.DUMMYFUNCTION("""COMPUTED_VALUE"""),"")</f>
        <v/>
      </c>
    </row>
    <row r="280">
      <c r="A280" s="33"/>
      <c r="B280" s="33"/>
      <c r="C280" s="32" t="str">
        <f>IFERROR(__xludf.DUMMYFUNCTION("""COMPUTED_VALUE"""),"")</f>
        <v/>
      </c>
    </row>
    <row r="281">
      <c r="A281" s="33"/>
      <c r="B281" s="33"/>
      <c r="C281" s="32" t="str">
        <f>IFERROR(__xludf.DUMMYFUNCTION("""COMPUTED_VALUE"""),"")</f>
        <v/>
      </c>
    </row>
    <row r="282">
      <c r="A282" s="33"/>
      <c r="B282" s="33"/>
      <c r="C282" s="32" t="str">
        <f>IFERROR(__xludf.DUMMYFUNCTION("""COMPUTED_VALUE"""),"")</f>
        <v/>
      </c>
    </row>
    <row r="283">
      <c r="A283" s="33"/>
      <c r="B283" s="33"/>
      <c r="C283" s="32" t="str">
        <f>IFERROR(__xludf.DUMMYFUNCTION("""COMPUTED_VALUE"""),"")</f>
        <v/>
      </c>
    </row>
    <row r="284">
      <c r="A284" s="33"/>
      <c r="B284" s="33"/>
      <c r="C284" s="32" t="str">
        <f>IFERROR(__xludf.DUMMYFUNCTION("""COMPUTED_VALUE"""),"")</f>
        <v/>
      </c>
    </row>
    <row r="285">
      <c r="A285" s="33"/>
      <c r="B285" s="33"/>
      <c r="C285" s="32" t="str">
        <f>IFERROR(__xludf.DUMMYFUNCTION("""COMPUTED_VALUE"""),"")</f>
        <v/>
      </c>
    </row>
    <row r="286">
      <c r="A286" s="33"/>
      <c r="B286" s="33"/>
      <c r="C286" s="32" t="str">
        <f>IFERROR(__xludf.DUMMYFUNCTION("""COMPUTED_VALUE"""),"")</f>
        <v/>
      </c>
    </row>
    <row r="287">
      <c r="A287" s="33"/>
      <c r="B287" s="33"/>
      <c r="C287" s="32" t="str">
        <f>IFERROR(__xludf.DUMMYFUNCTION("""COMPUTED_VALUE"""),"")</f>
        <v/>
      </c>
    </row>
    <row r="288">
      <c r="A288" s="33"/>
      <c r="B288" s="33"/>
      <c r="C288" s="32" t="str">
        <f>IFERROR(__xludf.DUMMYFUNCTION("""COMPUTED_VALUE"""),"")</f>
        <v/>
      </c>
    </row>
    <row r="289">
      <c r="A289" s="33"/>
      <c r="B289" s="33"/>
      <c r="C289" s="32" t="str">
        <f>IFERROR(__xludf.DUMMYFUNCTION("""COMPUTED_VALUE"""),"")</f>
        <v/>
      </c>
    </row>
    <row r="290">
      <c r="A290" s="33"/>
      <c r="B290" s="33"/>
      <c r="C290" s="32" t="str">
        <f>IFERROR(__xludf.DUMMYFUNCTION("""COMPUTED_VALUE"""),"")</f>
        <v/>
      </c>
    </row>
    <row r="291">
      <c r="A291" s="33"/>
      <c r="B291" s="33"/>
      <c r="C291" s="32" t="str">
        <f>IFERROR(__xludf.DUMMYFUNCTION("""COMPUTED_VALUE"""),"")</f>
        <v/>
      </c>
    </row>
    <row r="292">
      <c r="A292" s="33"/>
      <c r="B292" s="33"/>
      <c r="C292" s="32" t="str">
        <f>IFERROR(__xludf.DUMMYFUNCTION("""COMPUTED_VALUE"""),"")</f>
        <v/>
      </c>
    </row>
    <row r="293">
      <c r="A293" s="33"/>
      <c r="B293" s="33"/>
      <c r="C293" s="32" t="str">
        <f>IFERROR(__xludf.DUMMYFUNCTION("""COMPUTED_VALUE"""),"")</f>
        <v/>
      </c>
    </row>
    <row r="294">
      <c r="A294" s="33"/>
      <c r="B294" s="33"/>
      <c r="C294" s="32" t="str">
        <f>IFERROR(__xludf.DUMMYFUNCTION("""COMPUTED_VALUE"""),"")</f>
        <v/>
      </c>
    </row>
    <row r="295">
      <c r="A295" s="33"/>
      <c r="B295" s="33"/>
      <c r="C295" s="32" t="str">
        <f>IFERROR(__xludf.DUMMYFUNCTION("""COMPUTED_VALUE"""),"")</f>
        <v/>
      </c>
    </row>
    <row r="296">
      <c r="A296" s="33"/>
      <c r="B296" s="33"/>
      <c r="C296" s="32" t="str">
        <f>IFERROR(__xludf.DUMMYFUNCTION("""COMPUTED_VALUE"""),"")</f>
        <v/>
      </c>
    </row>
    <row r="297">
      <c r="A297" s="33"/>
      <c r="B297" s="33"/>
      <c r="C297" s="32" t="str">
        <f>IFERROR(__xludf.DUMMYFUNCTION("""COMPUTED_VALUE"""),"")</f>
        <v/>
      </c>
    </row>
    <row r="298">
      <c r="A298" s="33"/>
      <c r="B298" s="33"/>
      <c r="C298" s="32" t="str">
        <f>IFERROR(__xludf.DUMMYFUNCTION("""COMPUTED_VALUE"""),"")</f>
        <v/>
      </c>
    </row>
    <row r="299">
      <c r="A299" s="33"/>
      <c r="B299" s="33"/>
      <c r="C299" s="32" t="str">
        <f>IFERROR(__xludf.DUMMYFUNCTION("""COMPUTED_VALUE"""),"")</f>
        <v/>
      </c>
    </row>
    <row r="300">
      <c r="A300" s="33"/>
      <c r="B300" s="33"/>
      <c r="C300" s="32" t="str">
        <f>IFERROR(__xludf.DUMMYFUNCTION("""COMPUTED_VALUE"""),"")</f>
        <v/>
      </c>
    </row>
    <row r="301">
      <c r="A301" s="33"/>
      <c r="B301" s="33"/>
      <c r="C301" s="32" t="str">
        <f>IFERROR(__xludf.DUMMYFUNCTION("""COMPUTED_VALUE"""),"")</f>
        <v/>
      </c>
    </row>
    <row r="302">
      <c r="A302" s="33"/>
      <c r="B302" s="33"/>
      <c r="C302" s="32" t="str">
        <f>IFERROR(__xludf.DUMMYFUNCTION("""COMPUTED_VALUE"""),"")</f>
        <v/>
      </c>
    </row>
    <row r="303">
      <c r="A303" s="33"/>
      <c r="B303" s="33"/>
      <c r="C303" s="32" t="str">
        <f>IFERROR(__xludf.DUMMYFUNCTION("""COMPUTED_VALUE"""),"")</f>
        <v/>
      </c>
    </row>
    <row r="304">
      <c r="A304" s="33"/>
      <c r="B304" s="33"/>
      <c r="C304" s="32" t="str">
        <f>IFERROR(__xludf.DUMMYFUNCTION("""COMPUTED_VALUE"""),"")</f>
        <v/>
      </c>
    </row>
    <row r="305">
      <c r="A305" s="33"/>
      <c r="B305" s="33"/>
      <c r="C305" s="32" t="str">
        <f>IFERROR(__xludf.DUMMYFUNCTION("""COMPUTED_VALUE"""),"")</f>
        <v/>
      </c>
    </row>
    <row r="306">
      <c r="A306" s="33"/>
      <c r="B306" s="33"/>
      <c r="C306" s="32" t="str">
        <f>IFERROR(__xludf.DUMMYFUNCTION("""COMPUTED_VALUE"""),"")</f>
        <v/>
      </c>
    </row>
    <row r="307">
      <c r="A307" s="33"/>
      <c r="B307" s="33"/>
      <c r="C307" s="32" t="str">
        <f>IFERROR(__xludf.DUMMYFUNCTION("""COMPUTED_VALUE"""),"")</f>
        <v/>
      </c>
    </row>
    <row r="308">
      <c r="A308" s="33"/>
      <c r="B308" s="33"/>
      <c r="C308" s="32" t="str">
        <f>IFERROR(__xludf.DUMMYFUNCTION("""COMPUTED_VALUE"""),"")</f>
        <v/>
      </c>
    </row>
    <row r="309">
      <c r="A309" s="33"/>
      <c r="B309" s="33"/>
      <c r="C309" s="32" t="str">
        <f>IFERROR(__xludf.DUMMYFUNCTION("""COMPUTED_VALUE"""),"")</f>
        <v/>
      </c>
    </row>
    <row r="310">
      <c r="A310" s="33"/>
      <c r="B310" s="33"/>
      <c r="C310" s="32" t="str">
        <f>IFERROR(__xludf.DUMMYFUNCTION("""COMPUTED_VALUE"""),"")</f>
        <v/>
      </c>
    </row>
    <row r="311">
      <c r="A311" s="33"/>
      <c r="B311" s="33"/>
      <c r="C311" s="32" t="str">
        <f>IFERROR(__xludf.DUMMYFUNCTION("""COMPUTED_VALUE"""),"")</f>
        <v/>
      </c>
    </row>
    <row r="312">
      <c r="A312" s="33"/>
      <c r="B312" s="33"/>
      <c r="C312" s="32" t="str">
        <f>IFERROR(__xludf.DUMMYFUNCTION("""COMPUTED_VALUE"""),"")</f>
        <v/>
      </c>
    </row>
    <row r="313">
      <c r="A313" s="33"/>
      <c r="B313" s="33"/>
      <c r="C313" s="32" t="str">
        <f>IFERROR(__xludf.DUMMYFUNCTION("""COMPUTED_VALUE"""),"")</f>
        <v/>
      </c>
    </row>
    <row r="314">
      <c r="A314" s="33"/>
      <c r="B314" s="33"/>
      <c r="C314" s="32" t="str">
        <f>IFERROR(__xludf.DUMMYFUNCTION("""COMPUTED_VALUE"""),"")</f>
        <v/>
      </c>
    </row>
    <row r="315">
      <c r="A315" s="33"/>
      <c r="B315" s="33"/>
      <c r="C315" s="32" t="str">
        <f>IFERROR(__xludf.DUMMYFUNCTION("""COMPUTED_VALUE"""),"")</f>
        <v/>
      </c>
    </row>
    <row r="316">
      <c r="A316" s="33"/>
      <c r="B316" s="33"/>
      <c r="C316" s="32" t="str">
        <f>IFERROR(__xludf.DUMMYFUNCTION("""COMPUTED_VALUE"""),"")</f>
        <v/>
      </c>
    </row>
    <row r="317">
      <c r="A317" s="33"/>
      <c r="B317" s="33"/>
      <c r="C317" s="32" t="str">
        <f>IFERROR(__xludf.DUMMYFUNCTION("""COMPUTED_VALUE"""),"")</f>
        <v/>
      </c>
    </row>
    <row r="318">
      <c r="A318" s="33"/>
      <c r="B318" s="33"/>
      <c r="C318" s="32" t="str">
        <f>IFERROR(__xludf.DUMMYFUNCTION("""COMPUTED_VALUE"""),"")</f>
        <v/>
      </c>
    </row>
    <row r="319">
      <c r="A319" s="33"/>
      <c r="B319" s="33"/>
      <c r="C319" s="32" t="str">
        <f>IFERROR(__xludf.DUMMYFUNCTION("""COMPUTED_VALUE"""),"")</f>
        <v/>
      </c>
    </row>
    <row r="320">
      <c r="A320" s="33"/>
      <c r="B320" s="33"/>
      <c r="C320" s="32" t="str">
        <f>IFERROR(__xludf.DUMMYFUNCTION("""COMPUTED_VALUE"""),"")</f>
        <v/>
      </c>
    </row>
    <row r="321">
      <c r="A321" s="33"/>
      <c r="B321" s="33"/>
      <c r="C321" s="32" t="str">
        <f>IFERROR(__xludf.DUMMYFUNCTION("""COMPUTED_VALUE"""),"")</f>
        <v/>
      </c>
    </row>
    <row r="322">
      <c r="A322" s="33"/>
      <c r="B322" s="33"/>
      <c r="C322" s="32" t="str">
        <f>IFERROR(__xludf.DUMMYFUNCTION("""COMPUTED_VALUE"""),"")</f>
        <v/>
      </c>
    </row>
    <row r="323">
      <c r="A323" s="33"/>
      <c r="B323" s="33"/>
      <c r="C323" s="32" t="str">
        <f>IFERROR(__xludf.DUMMYFUNCTION("""COMPUTED_VALUE"""),"")</f>
        <v/>
      </c>
    </row>
    <row r="324">
      <c r="A324" s="33"/>
      <c r="B324" s="33"/>
      <c r="C324" s="32" t="str">
        <f>IFERROR(__xludf.DUMMYFUNCTION("""COMPUTED_VALUE"""),"")</f>
        <v/>
      </c>
    </row>
    <row r="325">
      <c r="A325" s="33"/>
      <c r="B325" s="33"/>
      <c r="C325" s="32" t="str">
        <f>IFERROR(__xludf.DUMMYFUNCTION("""COMPUTED_VALUE"""),"")</f>
        <v/>
      </c>
    </row>
    <row r="326">
      <c r="A326" s="33"/>
      <c r="B326" s="33"/>
      <c r="C326" s="32" t="str">
        <f>IFERROR(__xludf.DUMMYFUNCTION("""COMPUTED_VALUE"""),"")</f>
        <v/>
      </c>
    </row>
    <row r="327">
      <c r="A327" s="33"/>
      <c r="B327" s="33"/>
      <c r="C327" s="32" t="str">
        <f>IFERROR(__xludf.DUMMYFUNCTION("""COMPUTED_VALUE"""),"")</f>
        <v/>
      </c>
    </row>
    <row r="328">
      <c r="A328" s="33"/>
      <c r="B328" s="33"/>
      <c r="C328" s="32" t="str">
        <f>IFERROR(__xludf.DUMMYFUNCTION("""COMPUTED_VALUE"""),"")</f>
        <v/>
      </c>
    </row>
    <row r="329">
      <c r="A329" s="33"/>
      <c r="B329" s="33"/>
      <c r="C329" s="32" t="str">
        <f>IFERROR(__xludf.DUMMYFUNCTION("""COMPUTED_VALUE"""),"")</f>
        <v/>
      </c>
    </row>
    <row r="330">
      <c r="A330" s="33"/>
      <c r="B330" s="33"/>
      <c r="C330" s="32" t="str">
        <f>IFERROR(__xludf.DUMMYFUNCTION("""COMPUTED_VALUE"""),"")</f>
        <v/>
      </c>
    </row>
    <row r="331">
      <c r="A331" s="33"/>
      <c r="B331" s="33"/>
      <c r="C331" s="32" t="str">
        <f>IFERROR(__xludf.DUMMYFUNCTION("""COMPUTED_VALUE"""),"")</f>
        <v/>
      </c>
    </row>
    <row r="332">
      <c r="A332" s="33"/>
      <c r="B332" s="33"/>
      <c r="C332" s="32" t="str">
        <f>IFERROR(__xludf.DUMMYFUNCTION("""COMPUTED_VALUE"""),"")</f>
        <v/>
      </c>
    </row>
    <row r="333">
      <c r="A333" s="33"/>
      <c r="B333" s="33"/>
      <c r="C333" s="32" t="str">
        <f>IFERROR(__xludf.DUMMYFUNCTION("""COMPUTED_VALUE"""),"")</f>
        <v/>
      </c>
    </row>
    <row r="334">
      <c r="A334" s="33"/>
      <c r="B334" s="33"/>
      <c r="C334" s="32" t="str">
        <f>IFERROR(__xludf.DUMMYFUNCTION("""COMPUTED_VALUE"""),"")</f>
        <v/>
      </c>
    </row>
    <row r="335">
      <c r="A335" s="33"/>
      <c r="B335" s="33"/>
      <c r="C335" s="32" t="str">
        <f>IFERROR(__xludf.DUMMYFUNCTION("""COMPUTED_VALUE"""),"")</f>
        <v/>
      </c>
    </row>
    <row r="336">
      <c r="A336" s="33"/>
      <c r="B336" s="33"/>
      <c r="C336" s="32" t="str">
        <f>IFERROR(__xludf.DUMMYFUNCTION("""COMPUTED_VALUE"""),"")</f>
        <v/>
      </c>
    </row>
    <row r="337">
      <c r="A337" s="33"/>
      <c r="B337" s="33"/>
      <c r="C337" s="32" t="str">
        <f>IFERROR(__xludf.DUMMYFUNCTION("""COMPUTED_VALUE"""),"")</f>
        <v/>
      </c>
    </row>
    <row r="338">
      <c r="A338" s="33"/>
      <c r="B338" s="33"/>
      <c r="C338" s="32" t="str">
        <f>IFERROR(__xludf.DUMMYFUNCTION("""COMPUTED_VALUE"""),"")</f>
        <v/>
      </c>
    </row>
    <row r="339">
      <c r="A339" s="33"/>
      <c r="B339" s="33"/>
      <c r="C339" s="32" t="str">
        <f>IFERROR(__xludf.DUMMYFUNCTION("""COMPUTED_VALUE"""),"")</f>
        <v/>
      </c>
    </row>
    <row r="340">
      <c r="A340" s="33"/>
      <c r="B340" s="33"/>
      <c r="C340" s="32" t="str">
        <f>IFERROR(__xludf.DUMMYFUNCTION("""COMPUTED_VALUE"""),"")</f>
        <v/>
      </c>
    </row>
    <row r="341">
      <c r="A341" s="33"/>
      <c r="B341" s="33"/>
      <c r="C341" s="32" t="str">
        <f>IFERROR(__xludf.DUMMYFUNCTION("""COMPUTED_VALUE"""),"")</f>
        <v/>
      </c>
    </row>
    <row r="342">
      <c r="A342" s="33"/>
      <c r="B342" s="33"/>
      <c r="C342" s="32" t="str">
        <f>IFERROR(__xludf.DUMMYFUNCTION("""COMPUTED_VALUE"""),"")</f>
        <v/>
      </c>
    </row>
    <row r="343">
      <c r="A343" s="33"/>
      <c r="B343" s="33"/>
      <c r="C343" s="32" t="str">
        <f>IFERROR(__xludf.DUMMYFUNCTION("""COMPUTED_VALUE"""),"")</f>
        <v/>
      </c>
    </row>
    <row r="344">
      <c r="A344" s="33"/>
      <c r="B344" s="33"/>
      <c r="C344" s="32" t="str">
        <f>IFERROR(__xludf.DUMMYFUNCTION("""COMPUTED_VALUE"""),"")</f>
        <v/>
      </c>
    </row>
    <row r="345">
      <c r="A345" s="33"/>
      <c r="B345" s="33"/>
      <c r="C345" s="32" t="str">
        <f>IFERROR(__xludf.DUMMYFUNCTION("""COMPUTED_VALUE"""),"")</f>
        <v/>
      </c>
    </row>
    <row r="346">
      <c r="A346" s="33"/>
      <c r="B346" s="33"/>
      <c r="C346" s="32" t="str">
        <f>IFERROR(__xludf.DUMMYFUNCTION("""COMPUTED_VALUE"""),"")</f>
        <v/>
      </c>
    </row>
    <row r="347">
      <c r="A347" s="33"/>
      <c r="B347" s="33"/>
      <c r="C347" s="32" t="str">
        <f>IFERROR(__xludf.DUMMYFUNCTION("""COMPUTED_VALUE"""),"")</f>
        <v/>
      </c>
    </row>
    <row r="348">
      <c r="A348" s="33"/>
      <c r="B348" s="33"/>
      <c r="C348" s="32" t="str">
        <f>IFERROR(__xludf.DUMMYFUNCTION("""COMPUTED_VALUE"""),"")</f>
        <v/>
      </c>
    </row>
    <row r="349">
      <c r="A349" s="33"/>
      <c r="B349" s="33"/>
      <c r="C349" s="32" t="str">
        <f>IFERROR(__xludf.DUMMYFUNCTION("""COMPUTED_VALUE"""),"")</f>
        <v/>
      </c>
    </row>
    <row r="350">
      <c r="A350" s="33"/>
      <c r="B350" s="33"/>
      <c r="C350" s="32" t="str">
        <f>IFERROR(__xludf.DUMMYFUNCTION("""COMPUTED_VALUE"""),"")</f>
        <v/>
      </c>
    </row>
    <row r="351">
      <c r="A351" s="33"/>
      <c r="B351" s="33"/>
      <c r="C351" s="32" t="str">
        <f>IFERROR(__xludf.DUMMYFUNCTION("""COMPUTED_VALUE"""),"")</f>
        <v/>
      </c>
    </row>
    <row r="352">
      <c r="A352" s="33"/>
      <c r="B352" s="33"/>
      <c r="C352" s="32"/>
    </row>
    <row r="353">
      <c r="A353" s="33"/>
      <c r="B353" s="33"/>
      <c r="C353" s="32"/>
    </row>
    <row r="354">
      <c r="A354" s="33"/>
      <c r="B354" s="33"/>
      <c r="C354" s="32"/>
    </row>
    <row r="355">
      <c r="A355" s="33"/>
      <c r="B355" s="33"/>
      <c r="C355" s="32"/>
    </row>
    <row r="356">
      <c r="A356" s="33"/>
      <c r="B356" s="33"/>
      <c r="C356" s="32"/>
    </row>
    <row r="357">
      <c r="A357" s="33"/>
      <c r="B357" s="33"/>
      <c r="C357" s="32"/>
    </row>
    <row r="358">
      <c r="A358" s="33"/>
      <c r="B358" s="33"/>
      <c r="C358" s="32"/>
    </row>
    <row r="359">
      <c r="A359" s="33"/>
      <c r="B359" s="33"/>
      <c r="C359" s="32"/>
    </row>
    <row r="360">
      <c r="A360" s="33"/>
      <c r="B360" s="33"/>
      <c r="C360" s="32"/>
    </row>
    <row r="361">
      <c r="A361" s="33"/>
      <c r="B361" s="33"/>
      <c r="C361" s="32"/>
    </row>
    <row r="362">
      <c r="A362" s="33"/>
      <c r="B362" s="33"/>
      <c r="C362" s="32"/>
    </row>
    <row r="363">
      <c r="A363" s="33"/>
      <c r="B363" s="33"/>
      <c r="C363" s="32"/>
    </row>
    <row r="364">
      <c r="A364" s="33"/>
      <c r="B364" s="33"/>
      <c r="C364" s="32"/>
    </row>
    <row r="365">
      <c r="A365" s="33"/>
      <c r="B365" s="33"/>
      <c r="C365" s="32"/>
    </row>
    <row r="366">
      <c r="A366" s="33"/>
      <c r="B366" s="33"/>
      <c r="C366" s="32"/>
    </row>
    <row r="367">
      <c r="A367" s="33"/>
      <c r="B367" s="33"/>
      <c r="C367" s="32"/>
    </row>
    <row r="368">
      <c r="A368" s="33"/>
      <c r="B368" s="33"/>
      <c r="C368" s="32"/>
    </row>
    <row r="369">
      <c r="A369" s="33"/>
      <c r="B369" s="33"/>
      <c r="C369" s="32"/>
    </row>
    <row r="370">
      <c r="A370" s="33"/>
      <c r="B370" s="33"/>
      <c r="C370" s="32"/>
    </row>
    <row r="371">
      <c r="A371" s="33"/>
      <c r="B371" s="33"/>
      <c r="C371" s="32"/>
    </row>
    <row r="372">
      <c r="A372" s="33"/>
      <c r="B372" s="33"/>
      <c r="C372" s="32"/>
    </row>
    <row r="373">
      <c r="A373" s="33"/>
      <c r="B373" s="33"/>
      <c r="C373" s="32"/>
    </row>
    <row r="374">
      <c r="A374" s="33"/>
      <c r="B374" s="33"/>
      <c r="C374" s="32"/>
    </row>
    <row r="375">
      <c r="A375" s="33"/>
      <c r="B375" s="33"/>
      <c r="C375" s="32"/>
    </row>
    <row r="376">
      <c r="A376" s="33"/>
      <c r="B376" s="33"/>
      <c r="C376" s="32"/>
    </row>
    <row r="377">
      <c r="A377" s="33"/>
      <c r="B377" s="33"/>
      <c r="C377" s="32"/>
    </row>
    <row r="378">
      <c r="A378" s="33"/>
      <c r="B378" s="33"/>
      <c r="C378" s="32"/>
    </row>
    <row r="379">
      <c r="A379" s="33"/>
      <c r="B379" s="33"/>
      <c r="C379" s="32"/>
    </row>
    <row r="380">
      <c r="A380" s="33"/>
      <c r="B380" s="33"/>
      <c r="C380" s="32"/>
    </row>
    <row r="381">
      <c r="A381" s="33"/>
      <c r="B381" s="33"/>
      <c r="C381" s="32"/>
    </row>
    <row r="382">
      <c r="A382" s="33"/>
      <c r="B382" s="33"/>
      <c r="C382" s="32"/>
    </row>
    <row r="383">
      <c r="A383" s="33"/>
      <c r="B383" s="33"/>
      <c r="C383" s="32"/>
    </row>
    <row r="384">
      <c r="A384" s="33"/>
      <c r="B384" s="33"/>
      <c r="C384" s="32"/>
    </row>
    <row r="385">
      <c r="A385" s="33"/>
      <c r="B385" s="33"/>
      <c r="C385" s="32"/>
    </row>
    <row r="386">
      <c r="A386" s="33"/>
      <c r="B386" s="33"/>
      <c r="C386" s="32"/>
    </row>
    <row r="387">
      <c r="A387" s="33"/>
      <c r="B387" s="33"/>
      <c r="C387" s="32"/>
    </row>
    <row r="388">
      <c r="A388" s="33"/>
      <c r="B388" s="33"/>
      <c r="C388" s="32"/>
    </row>
    <row r="389">
      <c r="A389" s="33"/>
      <c r="B389" s="33"/>
      <c r="C389" s="32"/>
    </row>
    <row r="390">
      <c r="A390" s="33"/>
      <c r="B390" s="33"/>
      <c r="C390" s="32"/>
    </row>
    <row r="391">
      <c r="A391" s="33"/>
      <c r="B391" s="33"/>
      <c r="C391" s="32"/>
    </row>
    <row r="392">
      <c r="A392" s="33"/>
      <c r="B392" s="33"/>
      <c r="C392" s="32"/>
    </row>
    <row r="393">
      <c r="A393" s="33"/>
      <c r="B393" s="33"/>
      <c r="C393" s="32"/>
    </row>
    <row r="394">
      <c r="A394" s="33"/>
      <c r="B394" s="33"/>
      <c r="C394" s="32"/>
    </row>
    <row r="395">
      <c r="A395" s="33"/>
      <c r="B395" s="33"/>
      <c r="C395" s="32"/>
    </row>
    <row r="396">
      <c r="A396" s="33"/>
      <c r="B396" s="33"/>
      <c r="C396" s="32"/>
    </row>
    <row r="397">
      <c r="A397" s="33"/>
      <c r="B397" s="33"/>
      <c r="C397" s="32"/>
    </row>
    <row r="398">
      <c r="A398" s="33"/>
      <c r="B398" s="33"/>
      <c r="C398" s="32"/>
    </row>
    <row r="399">
      <c r="A399" s="33"/>
      <c r="B399" s="33"/>
      <c r="C399" s="32"/>
    </row>
    <row r="400">
      <c r="A400" s="33"/>
      <c r="B400" s="33"/>
      <c r="C400" s="32"/>
    </row>
    <row r="401">
      <c r="A401" s="33"/>
      <c r="B401" s="33"/>
      <c r="C401" s="32"/>
    </row>
    <row r="402">
      <c r="A402" s="33"/>
      <c r="B402" s="33"/>
      <c r="C402" s="32"/>
    </row>
    <row r="403">
      <c r="A403" s="33"/>
      <c r="B403" s="33"/>
      <c r="C403" s="32"/>
    </row>
    <row r="404">
      <c r="A404" s="33"/>
      <c r="B404" s="33"/>
      <c r="C404" s="32"/>
    </row>
    <row r="405">
      <c r="A405" s="33"/>
      <c r="B405" s="33"/>
      <c r="C405" s="32"/>
    </row>
    <row r="406">
      <c r="A406" s="33"/>
      <c r="B406" s="33"/>
      <c r="C406" s="32"/>
    </row>
    <row r="407">
      <c r="A407" s="33"/>
      <c r="B407" s="33"/>
      <c r="C407" s="32"/>
    </row>
    <row r="408">
      <c r="A408" s="33"/>
      <c r="B408" s="33"/>
      <c r="C408" s="32"/>
    </row>
    <row r="409">
      <c r="A409" s="33"/>
      <c r="B409" s="33"/>
      <c r="C409" s="32"/>
    </row>
    <row r="410">
      <c r="A410" s="33"/>
      <c r="B410" s="33"/>
      <c r="C410" s="32"/>
    </row>
    <row r="411">
      <c r="A411" s="33"/>
      <c r="B411" s="33"/>
      <c r="C411" s="32"/>
    </row>
    <row r="412">
      <c r="A412" s="33"/>
      <c r="B412" s="33"/>
      <c r="C412" s="32"/>
    </row>
    <row r="413">
      <c r="A413" s="33"/>
      <c r="B413" s="33"/>
      <c r="C413" s="32"/>
    </row>
    <row r="414">
      <c r="A414" s="33"/>
      <c r="B414" s="33"/>
      <c r="C414" s="32"/>
    </row>
    <row r="415">
      <c r="A415" s="33"/>
      <c r="B415" s="33"/>
      <c r="C415" s="32"/>
    </row>
    <row r="416">
      <c r="A416" s="33"/>
      <c r="B416" s="33"/>
      <c r="C416" s="32"/>
    </row>
    <row r="417">
      <c r="A417" s="33"/>
      <c r="B417" s="33"/>
      <c r="C417" s="32"/>
    </row>
    <row r="418">
      <c r="A418" s="33"/>
      <c r="B418" s="33"/>
      <c r="C418" s="32"/>
    </row>
    <row r="419">
      <c r="A419" s="33"/>
      <c r="B419" s="33"/>
      <c r="C419" s="32"/>
    </row>
    <row r="420">
      <c r="A420" s="33"/>
      <c r="B420" s="33"/>
      <c r="C420" s="32"/>
    </row>
    <row r="421">
      <c r="A421" s="33"/>
      <c r="B421" s="33"/>
      <c r="C421" s="32"/>
    </row>
    <row r="422">
      <c r="A422" s="33"/>
      <c r="B422" s="33"/>
      <c r="C422" s="32"/>
    </row>
    <row r="423">
      <c r="A423" s="33"/>
      <c r="B423" s="33"/>
      <c r="C423" s="32"/>
    </row>
    <row r="424">
      <c r="A424" s="33"/>
      <c r="B424" s="33"/>
      <c r="C424" s="32"/>
    </row>
    <row r="425">
      <c r="A425" s="33"/>
      <c r="B425" s="33"/>
      <c r="C425" s="32"/>
    </row>
    <row r="426">
      <c r="A426" s="33"/>
      <c r="B426" s="33"/>
      <c r="C426" s="32"/>
    </row>
    <row r="427">
      <c r="A427" s="33"/>
      <c r="B427" s="33"/>
      <c r="C427" s="32"/>
    </row>
    <row r="428">
      <c r="A428" s="33"/>
      <c r="B428" s="33"/>
      <c r="C428" s="32"/>
    </row>
    <row r="429">
      <c r="A429" s="33"/>
      <c r="B429" s="33"/>
      <c r="C429" s="32"/>
    </row>
    <row r="430">
      <c r="A430" s="33"/>
      <c r="B430" s="33"/>
      <c r="C430" s="32"/>
    </row>
    <row r="431">
      <c r="A431" s="33"/>
      <c r="B431" s="33"/>
      <c r="C431" s="32"/>
    </row>
    <row r="432">
      <c r="A432" s="33"/>
      <c r="B432" s="33"/>
      <c r="C432" s="32"/>
    </row>
    <row r="433">
      <c r="A433" s="33"/>
      <c r="B433" s="33"/>
      <c r="C433" s="32"/>
    </row>
    <row r="434">
      <c r="A434" s="33"/>
      <c r="B434" s="33"/>
      <c r="C434" s="32"/>
    </row>
    <row r="435">
      <c r="A435" s="33"/>
      <c r="B435" s="33"/>
      <c r="C435" s="32"/>
    </row>
    <row r="436">
      <c r="A436" s="33"/>
      <c r="B436" s="33"/>
      <c r="C436" s="32"/>
    </row>
    <row r="437">
      <c r="A437" s="33"/>
      <c r="B437" s="33"/>
      <c r="C437" s="32"/>
    </row>
    <row r="438">
      <c r="A438" s="33"/>
      <c r="B438" s="33"/>
      <c r="C438" s="32"/>
    </row>
    <row r="439">
      <c r="A439" s="33"/>
      <c r="B439" s="33"/>
      <c r="C439" s="32"/>
    </row>
    <row r="440">
      <c r="A440" s="33"/>
      <c r="B440" s="33"/>
      <c r="C440" s="32"/>
    </row>
    <row r="441">
      <c r="A441" s="33"/>
      <c r="B441" s="33"/>
      <c r="C441" s="32"/>
    </row>
    <row r="442">
      <c r="A442" s="33"/>
      <c r="B442" s="33"/>
      <c r="C442" s="32"/>
    </row>
    <row r="443">
      <c r="A443" s="33"/>
      <c r="B443" s="33"/>
      <c r="C443" s="32"/>
    </row>
    <row r="444">
      <c r="A444" s="33"/>
      <c r="B444" s="33"/>
      <c r="C444" s="32"/>
    </row>
    <row r="445">
      <c r="A445" s="33"/>
      <c r="B445" s="33"/>
      <c r="C445" s="32"/>
    </row>
    <row r="446">
      <c r="A446" s="33"/>
      <c r="B446" s="33"/>
      <c r="C446" s="32"/>
    </row>
    <row r="447">
      <c r="A447" s="33"/>
      <c r="B447" s="33"/>
      <c r="C447" s="32"/>
    </row>
    <row r="448">
      <c r="A448" s="33"/>
      <c r="B448" s="33"/>
      <c r="C448" s="32"/>
    </row>
    <row r="449">
      <c r="A449" s="33"/>
      <c r="B449" s="33"/>
      <c r="C449" s="32"/>
    </row>
    <row r="450">
      <c r="A450" s="33"/>
      <c r="B450" s="33"/>
      <c r="C450" s="32"/>
    </row>
    <row r="451">
      <c r="A451" s="33"/>
      <c r="B451" s="33"/>
      <c r="C451" s="32"/>
    </row>
    <row r="452">
      <c r="A452" s="33"/>
      <c r="B452" s="33"/>
      <c r="C452" s="32"/>
    </row>
    <row r="453">
      <c r="A453" s="33"/>
      <c r="B453" s="33"/>
      <c r="C453" s="32"/>
    </row>
    <row r="454">
      <c r="A454" s="33"/>
      <c r="B454" s="33"/>
      <c r="C454" s="32"/>
    </row>
    <row r="455">
      <c r="A455" s="33"/>
      <c r="B455" s="33"/>
      <c r="C455" s="32"/>
    </row>
    <row r="456">
      <c r="A456" s="33"/>
      <c r="B456" s="33"/>
      <c r="C456" s="32"/>
    </row>
    <row r="457">
      <c r="A457" s="33"/>
      <c r="B457" s="33"/>
      <c r="C457" s="32"/>
    </row>
    <row r="458">
      <c r="A458" s="33"/>
      <c r="B458" s="33"/>
      <c r="C458" s="32"/>
    </row>
    <row r="459">
      <c r="A459" s="33"/>
      <c r="B459" s="33"/>
      <c r="C459" s="32"/>
    </row>
    <row r="460">
      <c r="A460" s="33"/>
      <c r="B460" s="33"/>
      <c r="C460" s="32"/>
    </row>
    <row r="461">
      <c r="A461" s="33"/>
      <c r="B461" s="33"/>
      <c r="C461" s="32"/>
    </row>
    <row r="462">
      <c r="A462" s="33"/>
      <c r="B462" s="33"/>
      <c r="C462" s="32"/>
    </row>
    <row r="463">
      <c r="A463" s="33"/>
      <c r="B463" s="33"/>
      <c r="C463" s="32"/>
    </row>
    <row r="464">
      <c r="A464" s="33"/>
      <c r="B464" s="33"/>
      <c r="C464" s="32"/>
    </row>
    <row r="465">
      <c r="A465" s="33"/>
      <c r="B465" s="33"/>
      <c r="C465" s="32"/>
    </row>
    <row r="466">
      <c r="A466" s="33"/>
      <c r="B466" s="33"/>
      <c r="C466" s="32"/>
    </row>
    <row r="467">
      <c r="A467" s="33"/>
      <c r="B467" s="33"/>
      <c r="C467" s="32"/>
    </row>
    <row r="468">
      <c r="A468" s="33"/>
      <c r="B468" s="33"/>
      <c r="C468" s="32"/>
    </row>
    <row r="469">
      <c r="A469" s="33"/>
      <c r="B469" s="33"/>
      <c r="C469" s="32"/>
    </row>
    <row r="470">
      <c r="A470" s="33"/>
      <c r="B470" s="33"/>
      <c r="C470" s="32"/>
    </row>
    <row r="471">
      <c r="A471" s="33"/>
      <c r="B471" s="33"/>
      <c r="C471" s="32"/>
    </row>
    <row r="472">
      <c r="A472" s="33"/>
      <c r="B472" s="33"/>
      <c r="C472" s="32"/>
    </row>
    <row r="473">
      <c r="A473" s="33"/>
      <c r="B473" s="33"/>
      <c r="C473" s="32"/>
    </row>
    <row r="474">
      <c r="A474" s="33"/>
      <c r="B474" s="33"/>
      <c r="C474" s="32"/>
    </row>
    <row r="475">
      <c r="A475" s="33"/>
      <c r="B475" s="33"/>
      <c r="C475" s="32"/>
    </row>
    <row r="476">
      <c r="A476" s="33"/>
      <c r="B476" s="33"/>
      <c r="C476" s="32"/>
    </row>
    <row r="477">
      <c r="A477" s="33"/>
      <c r="B477" s="33"/>
      <c r="C477" s="32"/>
    </row>
    <row r="478">
      <c r="A478" s="33"/>
      <c r="B478" s="33"/>
      <c r="C478" s="32"/>
    </row>
    <row r="479">
      <c r="A479" s="33"/>
      <c r="B479" s="33"/>
      <c r="C479" s="32"/>
    </row>
    <row r="480">
      <c r="A480" s="33"/>
      <c r="B480" s="33"/>
      <c r="C480" s="32"/>
    </row>
    <row r="481">
      <c r="A481" s="33"/>
      <c r="B481" s="33"/>
      <c r="C481" s="32"/>
    </row>
    <row r="482">
      <c r="A482" s="33"/>
      <c r="B482" s="33"/>
      <c r="C482" s="32"/>
    </row>
    <row r="483">
      <c r="A483" s="33"/>
      <c r="B483" s="33"/>
      <c r="C483" s="32"/>
    </row>
    <row r="484">
      <c r="A484" s="33"/>
      <c r="B484" s="33"/>
      <c r="C484" s="32"/>
    </row>
    <row r="485">
      <c r="A485" s="33"/>
      <c r="B485" s="33"/>
      <c r="C485" s="32"/>
    </row>
    <row r="486">
      <c r="A486" s="33"/>
      <c r="B486" s="33"/>
      <c r="C486" s="32"/>
    </row>
    <row r="487">
      <c r="A487" s="33"/>
      <c r="B487" s="33"/>
      <c r="C487" s="32"/>
    </row>
    <row r="488">
      <c r="A488" s="33"/>
      <c r="B488" s="33"/>
      <c r="C488" s="32"/>
    </row>
    <row r="489">
      <c r="A489" s="33"/>
      <c r="B489" s="33"/>
      <c r="C489" s="32"/>
    </row>
    <row r="490">
      <c r="A490" s="33"/>
      <c r="B490" s="33"/>
      <c r="C490" s="32"/>
    </row>
    <row r="491">
      <c r="A491" s="33"/>
      <c r="B491" s="33"/>
      <c r="C491" s="32"/>
    </row>
    <row r="492">
      <c r="A492" s="33"/>
      <c r="B492" s="33"/>
      <c r="C492" s="32"/>
    </row>
    <row r="493">
      <c r="A493" s="33"/>
      <c r="B493" s="33"/>
      <c r="C493" s="32"/>
    </row>
    <row r="494">
      <c r="A494" s="33"/>
      <c r="B494" s="33"/>
      <c r="C494" s="32"/>
    </row>
    <row r="495">
      <c r="A495" s="33"/>
      <c r="B495" s="33"/>
      <c r="C495" s="32"/>
    </row>
    <row r="496">
      <c r="A496" s="33"/>
      <c r="B496" s="33"/>
      <c r="C496" s="32"/>
    </row>
    <row r="497">
      <c r="A497" s="33"/>
      <c r="B497" s="33"/>
      <c r="C497" s="32"/>
    </row>
    <row r="498">
      <c r="A498" s="33"/>
      <c r="B498" s="33"/>
      <c r="C498" s="32"/>
    </row>
    <row r="499">
      <c r="A499" s="33"/>
      <c r="B499" s="33"/>
      <c r="C499" s="32"/>
    </row>
    <row r="500">
      <c r="A500" s="33"/>
      <c r="B500" s="33"/>
      <c r="C500" s="32"/>
    </row>
    <row r="501">
      <c r="A501" s="33"/>
      <c r="B501" s="33"/>
      <c r="C501" s="32"/>
    </row>
    <row r="502">
      <c r="A502" s="33"/>
      <c r="B502" s="33"/>
      <c r="C502" s="32"/>
    </row>
    <row r="503">
      <c r="A503" s="33"/>
      <c r="B503" s="33"/>
      <c r="C503" s="32"/>
    </row>
    <row r="504">
      <c r="A504" s="33"/>
      <c r="B504" s="33"/>
      <c r="C504" s="32"/>
    </row>
    <row r="505">
      <c r="A505" s="33"/>
      <c r="B505" s="33"/>
      <c r="C505" s="32"/>
    </row>
    <row r="506">
      <c r="A506" s="33"/>
      <c r="B506" s="33"/>
      <c r="C506" s="32"/>
    </row>
    <row r="507">
      <c r="A507" s="33"/>
      <c r="B507" s="33"/>
      <c r="C507" s="32"/>
    </row>
    <row r="508">
      <c r="A508" s="33"/>
      <c r="B508" s="33"/>
      <c r="C508" s="32"/>
    </row>
    <row r="509">
      <c r="A509" s="33"/>
      <c r="B509" s="33"/>
      <c r="C509" s="32"/>
    </row>
    <row r="510">
      <c r="A510" s="33"/>
      <c r="B510" s="33"/>
      <c r="C510" s="32"/>
    </row>
    <row r="511">
      <c r="A511" s="33"/>
      <c r="B511" s="33"/>
      <c r="C511" s="32"/>
    </row>
    <row r="512">
      <c r="A512" s="33"/>
      <c r="B512" s="33"/>
      <c r="C512" s="32"/>
    </row>
    <row r="513">
      <c r="A513" s="33"/>
      <c r="B513" s="33"/>
      <c r="C513" s="32"/>
    </row>
    <row r="514">
      <c r="A514" s="33"/>
      <c r="B514" s="33"/>
      <c r="C514" s="32"/>
    </row>
    <row r="515">
      <c r="A515" s="33"/>
      <c r="B515" s="33"/>
      <c r="C515" s="32"/>
    </row>
    <row r="516">
      <c r="A516" s="33"/>
      <c r="B516" s="33"/>
      <c r="C516" s="32"/>
    </row>
    <row r="517">
      <c r="A517" s="33"/>
      <c r="B517" s="33"/>
      <c r="C517" s="32"/>
    </row>
    <row r="518">
      <c r="A518" s="33"/>
      <c r="B518" s="33"/>
      <c r="C518" s="32"/>
    </row>
    <row r="519">
      <c r="A519" s="33"/>
      <c r="B519" s="33"/>
      <c r="C519" s="32"/>
    </row>
    <row r="520">
      <c r="A520" s="33"/>
      <c r="B520" s="33"/>
      <c r="C520" s="32"/>
    </row>
    <row r="521">
      <c r="A521" s="33"/>
      <c r="B521" s="33"/>
      <c r="C521" s="32"/>
    </row>
    <row r="522">
      <c r="A522" s="33"/>
      <c r="B522" s="33"/>
      <c r="C522" s="32"/>
    </row>
    <row r="523">
      <c r="A523" s="33"/>
      <c r="B523" s="33"/>
      <c r="C523" s="32"/>
    </row>
    <row r="524">
      <c r="A524" s="33"/>
      <c r="B524" s="33"/>
      <c r="C524" s="32"/>
    </row>
    <row r="525">
      <c r="A525" s="33"/>
      <c r="B525" s="33"/>
      <c r="C525" s="32"/>
    </row>
    <row r="526">
      <c r="A526" s="33"/>
      <c r="B526" s="33"/>
      <c r="C526" s="32"/>
    </row>
    <row r="527">
      <c r="A527" s="33"/>
      <c r="B527" s="33"/>
      <c r="C527" s="32"/>
    </row>
    <row r="528">
      <c r="A528" s="33"/>
      <c r="B528" s="33"/>
      <c r="C528" s="32"/>
    </row>
    <row r="529">
      <c r="A529" s="33"/>
      <c r="B529" s="33"/>
      <c r="C529" s="32"/>
    </row>
    <row r="530">
      <c r="A530" s="33"/>
      <c r="B530" s="33"/>
      <c r="C530" s="32"/>
    </row>
    <row r="531">
      <c r="A531" s="33"/>
      <c r="B531" s="33"/>
      <c r="C531" s="32"/>
    </row>
    <row r="532">
      <c r="A532" s="33"/>
      <c r="B532" s="33"/>
      <c r="C532" s="32"/>
    </row>
    <row r="533">
      <c r="A533" s="33"/>
      <c r="B533" s="33"/>
      <c r="C533" s="32"/>
    </row>
    <row r="534">
      <c r="A534" s="33"/>
      <c r="B534" s="33"/>
      <c r="C534" s="32"/>
    </row>
    <row r="535">
      <c r="A535" s="33"/>
      <c r="B535" s="33"/>
      <c r="C535" s="32"/>
    </row>
    <row r="536">
      <c r="A536" s="33"/>
      <c r="B536" s="33"/>
      <c r="C536" s="32"/>
    </row>
    <row r="537">
      <c r="A537" s="33"/>
      <c r="B537" s="33"/>
      <c r="C537" s="32"/>
    </row>
    <row r="538">
      <c r="A538" s="33"/>
      <c r="B538" s="33"/>
      <c r="C538" s="32"/>
    </row>
    <row r="539">
      <c r="A539" s="33"/>
      <c r="B539" s="33"/>
      <c r="C539" s="32"/>
    </row>
    <row r="540">
      <c r="A540" s="33"/>
      <c r="B540" s="33"/>
      <c r="C540" s="32"/>
    </row>
    <row r="541">
      <c r="A541" s="33"/>
      <c r="B541" s="33"/>
      <c r="C541" s="32"/>
    </row>
    <row r="542">
      <c r="A542" s="33"/>
      <c r="B542" s="33"/>
      <c r="C542" s="32"/>
    </row>
    <row r="543">
      <c r="A543" s="33"/>
      <c r="B543" s="33"/>
      <c r="C543" s="32"/>
    </row>
    <row r="544">
      <c r="A544" s="33"/>
      <c r="B544" s="33"/>
      <c r="C544" s="32"/>
    </row>
    <row r="545">
      <c r="A545" s="33"/>
      <c r="B545" s="33"/>
      <c r="C545" s="32"/>
    </row>
    <row r="546">
      <c r="A546" s="33"/>
      <c r="B546" s="33"/>
      <c r="C546" s="32"/>
    </row>
    <row r="547">
      <c r="A547" s="33"/>
      <c r="B547" s="33"/>
      <c r="C547" s="32"/>
    </row>
    <row r="548">
      <c r="A548" s="33"/>
      <c r="B548" s="33"/>
      <c r="C548" s="32"/>
    </row>
    <row r="549">
      <c r="A549" s="33"/>
      <c r="B549" s="33"/>
      <c r="C549" s="32"/>
    </row>
    <row r="550">
      <c r="A550" s="33"/>
      <c r="B550" s="33"/>
      <c r="C550" s="32"/>
    </row>
    <row r="551">
      <c r="A551" s="33"/>
      <c r="B551" s="33"/>
      <c r="C551" s="32"/>
    </row>
    <row r="552">
      <c r="A552" s="33"/>
      <c r="B552" s="33"/>
      <c r="C552" s="32"/>
    </row>
    <row r="553">
      <c r="A553" s="33"/>
      <c r="B553" s="33"/>
      <c r="C553" s="32"/>
    </row>
    <row r="554">
      <c r="A554" s="33"/>
      <c r="B554" s="33"/>
      <c r="C554" s="32"/>
    </row>
    <row r="555">
      <c r="A555" s="33"/>
      <c r="B555" s="33"/>
      <c r="C555" s="32"/>
    </row>
    <row r="556">
      <c r="A556" s="33"/>
      <c r="B556" s="33"/>
      <c r="C556" s="32"/>
    </row>
    <row r="557">
      <c r="A557" s="33"/>
      <c r="B557" s="33"/>
      <c r="C557" s="32"/>
    </row>
    <row r="558">
      <c r="A558" s="33"/>
      <c r="B558" s="33"/>
      <c r="C558" s="32"/>
    </row>
    <row r="559">
      <c r="A559" s="33"/>
      <c r="B559" s="33"/>
      <c r="C559" s="32"/>
    </row>
    <row r="560">
      <c r="A560" s="33"/>
      <c r="B560" s="33"/>
      <c r="C560" s="32"/>
    </row>
    <row r="561">
      <c r="A561" s="33"/>
      <c r="B561" s="33"/>
      <c r="C561" s="32"/>
    </row>
    <row r="562">
      <c r="A562" s="33"/>
      <c r="B562" s="33"/>
      <c r="C562" s="32"/>
    </row>
    <row r="563">
      <c r="A563" s="33"/>
      <c r="B563" s="33"/>
      <c r="C563" s="32"/>
    </row>
    <row r="564">
      <c r="A564" s="33"/>
      <c r="B564" s="33"/>
      <c r="C564" s="32"/>
    </row>
    <row r="565">
      <c r="A565" s="33"/>
      <c r="B565" s="33"/>
      <c r="C565" s="32"/>
    </row>
    <row r="566">
      <c r="A566" s="33"/>
      <c r="B566" s="33"/>
      <c r="C566" s="32"/>
    </row>
    <row r="567">
      <c r="A567" s="33"/>
      <c r="B567" s="33"/>
      <c r="C567" s="32"/>
    </row>
    <row r="568">
      <c r="A568" s="33"/>
      <c r="B568" s="33"/>
      <c r="C568" s="32"/>
    </row>
    <row r="569">
      <c r="A569" s="33"/>
      <c r="B569" s="33"/>
      <c r="C569" s="32"/>
    </row>
    <row r="570">
      <c r="A570" s="33"/>
      <c r="B570" s="33"/>
      <c r="C570" s="32"/>
    </row>
    <row r="571">
      <c r="A571" s="33"/>
      <c r="B571" s="33"/>
      <c r="C571" s="32"/>
    </row>
    <row r="572">
      <c r="A572" s="33"/>
      <c r="B572" s="33"/>
      <c r="C572" s="32"/>
    </row>
    <row r="573">
      <c r="A573" s="33"/>
      <c r="B573" s="33"/>
      <c r="C573" s="32"/>
    </row>
    <row r="574">
      <c r="A574" s="33"/>
      <c r="B574" s="33"/>
      <c r="C574" s="32"/>
    </row>
    <row r="575">
      <c r="A575" s="33"/>
      <c r="B575" s="33"/>
      <c r="C575" s="32"/>
    </row>
    <row r="576">
      <c r="A576" s="33"/>
      <c r="B576" s="33"/>
      <c r="C576" s="32"/>
    </row>
    <row r="577">
      <c r="A577" s="33"/>
      <c r="B577" s="33"/>
      <c r="C577" s="32"/>
    </row>
    <row r="578">
      <c r="A578" s="33"/>
      <c r="B578" s="33"/>
      <c r="C578" s="32"/>
    </row>
    <row r="579">
      <c r="A579" s="33"/>
      <c r="B579" s="33"/>
      <c r="C579" s="32"/>
    </row>
    <row r="580">
      <c r="A580" s="33"/>
      <c r="B580" s="33"/>
      <c r="C580" s="32"/>
    </row>
    <row r="581">
      <c r="A581" s="33"/>
      <c r="B581" s="33"/>
      <c r="C581" s="32"/>
    </row>
    <row r="582">
      <c r="A582" s="33"/>
      <c r="B582" s="33"/>
      <c r="C582" s="32"/>
    </row>
    <row r="583">
      <c r="A583" s="33"/>
      <c r="B583" s="33"/>
      <c r="C583" s="32"/>
    </row>
    <row r="584">
      <c r="A584" s="33"/>
      <c r="B584" s="33"/>
      <c r="C584" s="32"/>
    </row>
    <row r="585">
      <c r="A585" s="33"/>
      <c r="B585" s="33"/>
      <c r="C585" s="32"/>
    </row>
    <row r="586">
      <c r="A586" s="33"/>
      <c r="B586" s="33"/>
      <c r="C586" s="32"/>
    </row>
    <row r="587">
      <c r="A587" s="33"/>
      <c r="B587" s="33"/>
      <c r="C587" s="32"/>
    </row>
    <row r="588">
      <c r="A588" s="33"/>
      <c r="B588" s="33"/>
      <c r="C588" s="32"/>
    </row>
    <row r="589">
      <c r="A589" s="33"/>
      <c r="B589" s="33"/>
      <c r="C589" s="32"/>
    </row>
    <row r="590">
      <c r="A590" s="33"/>
      <c r="B590" s="33"/>
      <c r="C590" s="32"/>
    </row>
    <row r="591">
      <c r="A591" s="33"/>
      <c r="B591" s="33"/>
      <c r="C591" s="32"/>
    </row>
    <row r="592">
      <c r="A592" s="33"/>
      <c r="B592" s="33"/>
      <c r="C592" s="32"/>
    </row>
    <row r="593">
      <c r="A593" s="33"/>
      <c r="B593" s="33"/>
      <c r="C593" s="32"/>
    </row>
    <row r="594">
      <c r="A594" s="33"/>
      <c r="B594" s="33"/>
      <c r="C594" s="32"/>
    </row>
    <row r="595">
      <c r="A595" s="33"/>
      <c r="B595" s="33"/>
      <c r="C595" s="32"/>
    </row>
    <row r="596">
      <c r="A596" s="33"/>
      <c r="B596" s="33"/>
      <c r="C596" s="32"/>
    </row>
    <row r="597">
      <c r="A597" s="33"/>
      <c r="B597" s="33"/>
      <c r="C597" s="32"/>
    </row>
    <row r="598">
      <c r="A598" s="33"/>
      <c r="B598" s="33"/>
      <c r="C598" s="32"/>
    </row>
    <row r="599">
      <c r="A599" s="33"/>
      <c r="B599" s="33"/>
      <c r="C599" s="32"/>
    </row>
    <row r="600">
      <c r="A600" s="33"/>
      <c r="B600" s="33"/>
      <c r="C600" s="32"/>
    </row>
    <row r="601">
      <c r="A601" s="33"/>
      <c r="B601" s="33"/>
      <c r="C601" s="32"/>
    </row>
    <row r="602">
      <c r="A602" s="33"/>
      <c r="B602" s="33"/>
      <c r="C602" s="32"/>
    </row>
    <row r="603">
      <c r="A603" s="33"/>
      <c r="B603" s="33"/>
      <c r="C603" s="32"/>
    </row>
    <row r="604">
      <c r="A604" s="33"/>
      <c r="B604" s="33"/>
      <c r="C604" s="32"/>
    </row>
    <row r="605">
      <c r="A605" s="33"/>
      <c r="B605" s="33"/>
      <c r="C605" s="32"/>
    </row>
    <row r="606">
      <c r="A606" s="33"/>
      <c r="B606" s="33"/>
      <c r="C606" s="32"/>
    </row>
    <row r="607">
      <c r="A607" s="33"/>
      <c r="B607" s="33"/>
      <c r="C607" s="32"/>
    </row>
    <row r="608">
      <c r="A608" s="33"/>
      <c r="B608" s="33"/>
      <c r="C608" s="32"/>
    </row>
    <row r="609">
      <c r="A609" s="33"/>
      <c r="B609" s="33"/>
      <c r="C609" s="32"/>
    </row>
    <row r="610">
      <c r="A610" s="33"/>
      <c r="B610" s="33"/>
      <c r="C610" s="32"/>
    </row>
    <row r="611">
      <c r="A611" s="33"/>
      <c r="B611" s="33"/>
      <c r="C611" s="32"/>
    </row>
    <row r="612">
      <c r="A612" s="33"/>
      <c r="B612" s="33"/>
      <c r="C612" s="32"/>
    </row>
    <row r="613">
      <c r="A613" s="33"/>
      <c r="B613" s="33"/>
      <c r="C613" s="32"/>
    </row>
    <row r="614">
      <c r="A614" s="33"/>
      <c r="B614" s="33"/>
      <c r="C614" s="32"/>
    </row>
    <row r="615">
      <c r="A615" s="33"/>
      <c r="B615" s="33"/>
      <c r="C615" s="32"/>
    </row>
    <row r="616">
      <c r="A616" s="33"/>
      <c r="B616" s="33"/>
      <c r="C616" s="32"/>
    </row>
    <row r="617">
      <c r="A617" s="33"/>
      <c r="B617" s="33"/>
      <c r="C617" s="32"/>
    </row>
    <row r="618">
      <c r="A618" s="33"/>
      <c r="B618" s="33"/>
      <c r="C618" s="32"/>
    </row>
    <row r="619">
      <c r="A619" s="33"/>
      <c r="B619" s="33"/>
      <c r="C619" s="32"/>
    </row>
    <row r="620">
      <c r="A620" s="33"/>
      <c r="B620" s="33"/>
      <c r="C620" s="32"/>
    </row>
    <row r="621">
      <c r="A621" s="33"/>
      <c r="B621" s="33"/>
      <c r="C621" s="32"/>
    </row>
    <row r="622">
      <c r="A622" s="33"/>
      <c r="B622" s="33"/>
      <c r="C622" s="32"/>
    </row>
    <row r="623">
      <c r="A623" s="33"/>
      <c r="B623" s="33"/>
      <c r="C623" s="32"/>
    </row>
    <row r="624">
      <c r="A624" s="33"/>
      <c r="B624" s="33"/>
      <c r="C624" s="32"/>
    </row>
    <row r="625">
      <c r="A625" s="33"/>
      <c r="B625" s="33"/>
      <c r="C625" s="32"/>
    </row>
    <row r="626">
      <c r="A626" s="33"/>
      <c r="B626" s="33"/>
      <c r="C626" s="32"/>
    </row>
    <row r="627">
      <c r="A627" s="33"/>
      <c r="B627" s="33"/>
      <c r="C627" s="32"/>
    </row>
    <row r="628">
      <c r="A628" s="33"/>
      <c r="B628" s="33"/>
      <c r="C628" s="32"/>
    </row>
    <row r="629">
      <c r="A629" s="33"/>
      <c r="B629" s="33"/>
      <c r="C629" s="32"/>
    </row>
    <row r="630">
      <c r="A630" s="33"/>
      <c r="B630" s="33"/>
      <c r="C630" s="32"/>
    </row>
    <row r="631">
      <c r="A631" s="33"/>
      <c r="B631" s="33"/>
      <c r="C631" s="32"/>
    </row>
    <row r="632">
      <c r="A632" s="33"/>
      <c r="B632" s="33"/>
      <c r="C632" s="32"/>
    </row>
    <row r="633">
      <c r="A633" s="33"/>
      <c r="B633" s="33"/>
      <c r="C633" s="32"/>
    </row>
    <row r="634">
      <c r="A634" s="33"/>
      <c r="B634" s="33"/>
      <c r="C634" s="32"/>
    </row>
    <row r="635">
      <c r="A635" s="33"/>
      <c r="B635" s="33"/>
      <c r="C635" s="32"/>
    </row>
    <row r="636">
      <c r="A636" s="33"/>
      <c r="B636" s="33"/>
      <c r="C636" s="32"/>
    </row>
    <row r="637">
      <c r="A637" s="33"/>
      <c r="B637" s="33"/>
      <c r="C637" s="32"/>
    </row>
    <row r="638">
      <c r="A638" s="33"/>
      <c r="B638" s="33"/>
      <c r="C638" s="32"/>
    </row>
    <row r="639">
      <c r="A639" s="33"/>
      <c r="B639" s="33"/>
      <c r="C639" s="32"/>
    </row>
    <row r="640">
      <c r="A640" s="33"/>
      <c r="B640" s="33"/>
      <c r="C640" s="32"/>
    </row>
    <row r="641">
      <c r="A641" s="33"/>
      <c r="B641" s="33"/>
      <c r="C641" s="32"/>
    </row>
    <row r="642">
      <c r="A642" s="33"/>
      <c r="B642" s="33"/>
      <c r="C642" s="32"/>
    </row>
    <row r="643">
      <c r="A643" s="33"/>
      <c r="B643" s="33"/>
      <c r="C643" s="32"/>
    </row>
    <row r="644">
      <c r="A644" s="33"/>
      <c r="B644" s="33"/>
      <c r="C644" s="32"/>
    </row>
    <row r="645">
      <c r="A645" s="33"/>
      <c r="B645" s="33"/>
      <c r="C645" s="32"/>
    </row>
    <row r="646">
      <c r="A646" s="33"/>
      <c r="B646" s="33"/>
      <c r="C646" s="32"/>
    </row>
    <row r="647">
      <c r="A647" s="33"/>
      <c r="B647" s="33"/>
      <c r="C647" s="32"/>
    </row>
    <row r="648">
      <c r="A648" s="33"/>
      <c r="B648" s="33"/>
      <c r="C648" s="32"/>
    </row>
    <row r="649">
      <c r="A649" s="33"/>
      <c r="B649" s="33"/>
      <c r="C649" s="32"/>
    </row>
    <row r="650">
      <c r="A650" s="33"/>
      <c r="B650" s="33"/>
      <c r="C650" s="32"/>
    </row>
    <row r="651">
      <c r="A651" s="33"/>
      <c r="B651" s="33"/>
      <c r="C651" s="32"/>
    </row>
    <row r="652">
      <c r="A652" s="33"/>
      <c r="B652" s="33"/>
      <c r="C652" s="32"/>
    </row>
    <row r="653">
      <c r="A653" s="33"/>
      <c r="B653" s="33"/>
      <c r="C653" s="32"/>
    </row>
    <row r="654">
      <c r="A654" s="33"/>
      <c r="B654" s="33"/>
      <c r="C654" s="32"/>
    </row>
    <row r="655">
      <c r="A655" s="33"/>
      <c r="B655" s="33"/>
      <c r="C655" s="32"/>
    </row>
    <row r="656">
      <c r="A656" s="33"/>
      <c r="B656" s="33"/>
      <c r="C656" s="32"/>
    </row>
    <row r="657">
      <c r="A657" s="33"/>
      <c r="B657" s="33"/>
      <c r="C657" s="32"/>
    </row>
    <row r="658">
      <c r="A658" s="33"/>
      <c r="B658" s="33"/>
      <c r="C658" s="32"/>
    </row>
    <row r="659">
      <c r="A659" s="33"/>
      <c r="B659" s="33"/>
      <c r="C659" s="32"/>
    </row>
    <row r="660">
      <c r="A660" s="33"/>
      <c r="B660" s="33"/>
      <c r="C660" s="32"/>
    </row>
    <row r="661">
      <c r="A661" s="33"/>
      <c r="B661" s="33"/>
      <c r="C661" s="32"/>
    </row>
    <row r="662">
      <c r="A662" s="33"/>
      <c r="B662" s="33"/>
      <c r="C662" s="32"/>
    </row>
    <row r="663">
      <c r="A663" s="33"/>
      <c r="B663" s="33"/>
      <c r="C663" s="32"/>
    </row>
    <row r="664">
      <c r="A664" s="33"/>
      <c r="B664" s="33"/>
      <c r="C664" s="32"/>
    </row>
    <row r="665">
      <c r="A665" s="33"/>
      <c r="B665" s="33"/>
      <c r="C665" s="32"/>
    </row>
    <row r="666">
      <c r="A666" s="33"/>
      <c r="B666" s="33"/>
      <c r="C666" s="32"/>
    </row>
    <row r="667">
      <c r="A667" s="33"/>
      <c r="B667" s="33"/>
      <c r="C667" s="32"/>
    </row>
    <row r="668">
      <c r="A668" s="33"/>
      <c r="B668" s="33"/>
      <c r="C668" s="32"/>
    </row>
    <row r="669">
      <c r="A669" s="33"/>
      <c r="B669" s="33"/>
      <c r="C669" s="32"/>
    </row>
    <row r="670">
      <c r="A670" s="33"/>
      <c r="B670" s="33"/>
      <c r="C670" s="32"/>
    </row>
    <row r="671">
      <c r="A671" s="33"/>
      <c r="B671" s="33"/>
      <c r="C671" s="32"/>
    </row>
    <row r="672">
      <c r="A672" s="33"/>
      <c r="B672" s="33"/>
      <c r="C672" s="32"/>
    </row>
    <row r="673">
      <c r="A673" s="33"/>
      <c r="B673" s="33"/>
      <c r="C673" s="32"/>
    </row>
    <row r="674">
      <c r="A674" s="33"/>
      <c r="B674" s="33"/>
      <c r="C674" s="32"/>
    </row>
    <row r="675">
      <c r="A675" s="33"/>
      <c r="B675" s="33"/>
      <c r="C675" s="32"/>
    </row>
    <row r="676">
      <c r="A676" s="33"/>
      <c r="B676" s="33"/>
      <c r="C676" s="32"/>
    </row>
    <row r="677">
      <c r="A677" s="33"/>
      <c r="B677" s="33"/>
      <c r="C677" s="32"/>
    </row>
    <row r="678">
      <c r="A678" s="33"/>
      <c r="B678" s="33"/>
      <c r="C678" s="32"/>
    </row>
    <row r="679">
      <c r="A679" s="33"/>
      <c r="B679" s="33"/>
      <c r="C679" s="32"/>
    </row>
    <row r="680">
      <c r="A680" s="33"/>
      <c r="B680" s="33"/>
      <c r="C680" s="32"/>
    </row>
    <row r="681">
      <c r="A681" s="33"/>
      <c r="B681" s="33"/>
      <c r="C681" s="32"/>
    </row>
    <row r="682">
      <c r="A682" s="33"/>
      <c r="B682" s="33"/>
      <c r="C682" s="32"/>
    </row>
    <row r="683">
      <c r="A683" s="33"/>
      <c r="B683" s="33"/>
      <c r="C683" s="32"/>
    </row>
    <row r="684">
      <c r="A684" s="33"/>
      <c r="B684" s="33"/>
      <c r="C684" s="32"/>
    </row>
    <row r="685">
      <c r="A685" s="33"/>
      <c r="B685" s="33"/>
      <c r="C685" s="32"/>
    </row>
    <row r="686">
      <c r="A686" s="33"/>
      <c r="B686" s="33"/>
      <c r="C686" s="32"/>
    </row>
    <row r="687">
      <c r="A687" s="33"/>
      <c r="B687" s="33"/>
      <c r="C687" s="32"/>
    </row>
    <row r="688">
      <c r="A688" s="33"/>
      <c r="B688" s="33"/>
      <c r="C688" s="32"/>
    </row>
    <row r="689">
      <c r="A689" s="33"/>
      <c r="B689" s="33"/>
      <c r="C689" s="32"/>
    </row>
    <row r="690">
      <c r="A690" s="33"/>
      <c r="B690" s="33"/>
      <c r="C690" s="32"/>
    </row>
    <row r="691">
      <c r="A691" s="33"/>
      <c r="B691" s="33"/>
      <c r="C691" s="32"/>
    </row>
    <row r="692">
      <c r="A692" s="33"/>
      <c r="B692" s="33"/>
      <c r="C692" s="32"/>
    </row>
    <row r="693">
      <c r="A693" s="33"/>
      <c r="B693" s="33"/>
      <c r="C693" s="32"/>
    </row>
    <row r="694">
      <c r="A694" s="33"/>
      <c r="B694" s="33"/>
      <c r="C694" s="32"/>
    </row>
    <row r="695">
      <c r="A695" s="33"/>
      <c r="B695" s="33"/>
      <c r="C695" s="32"/>
    </row>
    <row r="696">
      <c r="A696" s="33"/>
      <c r="B696" s="33"/>
      <c r="C696" s="32"/>
    </row>
    <row r="697">
      <c r="A697" s="33"/>
      <c r="B697" s="33"/>
      <c r="C697" s="32"/>
    </row>
    <row r="698">
      <c r="A698" s="33"/>
      <c r="B698" s="33"/>
      <c r="C698" s="32"/>
    </row>
    <row r="699">
      <c r="A699" s="33"/>
      <c r="B699" s="33"/>
      <c r="C699" s="32"/>
    </row>
    <row r="700">
      <c r="A700" s="33"/>
      <c r="B700" s="33"/>
      <c r="C700" s="32"/>
    </row>
    <row r="701">
      <c r="A701" s="33"/>
      <c r="B701" s="33"/>
      <c r="C701" s="32"/>
    </row>
    <row r="702">
      <c r="A702" s="33"/>
      <c r="B702" s="33"/>
      <c r="C702" s="32"/>
    </row>
    <row r="703">
      <c r="A703" s="33"/>
      <c r="B703" s="33"/>
      <c r="C703" s="32"/>
    </row>
    <row r="704">
      <c r="A704" s="33"/>
      <c r="B704" s="33"/>
      <c r="C704" s="32"/>
    </row>
    <row r="705">
      <c r="A705" s="33"/>
      <c r="B705" s="33"/>
      <c r="C705" s="32"/>
    </row>
    <row r="706">
      <c r="A706" s="33"/>
      <c r="B706" s="33"/>
      <c r="C706" s="32"/>
    </row>
    <row r="707">
      <c r="A707" s="33"/>
      <c r="B707" s="33"/>
      <c r="C707" s="32"/>
    </row>
    <row r="708">
      <c r="A708" s="33"/>
      <c r="B708" s="33"/>
      <c r="C708" s="32"/>
    </row>
    <row r="709">
      <c r="A709" s="33"/>
      <c r="B709" s="33"/>
      <c r="C709" s="32"/>
    </row>
    <row r="710">
      <c r="A710" s="33"/>
      <c r="B710" s="33"/>
      <c r="C710" s="32"/>
    </row>
    <row r="711">
      <c r="A711" s="33"/>
      <c r="B711" s="33"/>
      <c r="C711" s="32"/>
    </row>
    <row r="712">
      <c r="A712" s="33"/>
      <c r="B712" s="33"/>
      <c r="C712" s="32"/>
    </row>
    <row r="713">
      <c r="A713" s="33"/>
      <c r="B713" s="33"/>
      <c r="C713" s="32"/>
    </row>
    <row r="714">
      <c r="A714" s="33"/>
      <c r="B714" s="33"/>
      <c r="C714" s="32"/>
    </row>
    <row r="715">
      <c r="A715" s="33"/>
      <c r="B715" s="33"/>
      <c r="C715" s="32"/>
    </row>
    <row r="716">
      <c r="A716" s="33"/>
      <c r="B716" s="33"/>
      <c r="C716" s="32"/>
    </row>
    <row r="717">
      <c r="A717" s="33"/>
      <c r="B717" s="33"/>
      <c r="C717" s="32"/>
    </row>
    <row r="718">
      <c r="A718" s="33"/>
      <c r="B718" s="33"/>
      <c r="C718" s="32"/>
    </row>
    <row r="719">
      <c r="A719" s="33"/>
      <c r="B719" s="33"/>
      <c r="C719" s="32"/>
    </row>
    <row r="720">
      <c r="A720" s="33"/>
      <c r="B720" s="33"/>
      <c r="C720" s="32"/>
    </row>
    <row r="721">
      <c r="A721" s="33"/>
      <c r="B721" s="33"/>
      <c r="C721" s="32"/>
    </row>
    <row r="722">
      <c r="A722" s="33"/>
      <c r="B722" s="33"/>
      <c r="C722" s="32"/>
    </row>
    <row r="723">
      <c r="A723" s="33"/>
      <c r="B723" s="33"/>
      <c r="C723" s="32"/>
    </row>
    <row r="724">
      <c r="A724" s="33"/>
      <c r="B724" s="33"/>
      <c r="C724" s="32"/>
    </row>
    <row r="725">
      <c r="A725" s="33"/>
      <c r="B725" s="33"/>
      <c r="C725" s="32"/>
    </row>
    <row r="726">
      <c r="A726" s="33"/>
      <c r="B726" s="33"/>
      <c r="C726" s="32"/>
    </row>
    <row r="727">
      <c r="A727" s="33"/>
      <c r="B727" s="33"/>
      <c r="C727" s="32"/>
    </row>
    <row r="728">
      <c r="A728" s="33"/>
      <c r="B728" s="33"/>
      <c r="C728" s="32"/>
    </row>
    <row r="729">
      <c r="A729" s="33"/>
      <c r="B729" s="33"/>
      <c r="C729" s="32"/>
    </row>
    <row r="730">
      <c r="A730" s="33"/>
      <c r="B730" s="33"/>
      <c r="C730" s="32"/>
    </row>
    <row r="731">
      <c r="A731" s="33"/>
      <c r="B731" s="33"/>
      <c r="C731" s="32"/>
    </row>
    <row r="732">
      <c r="A732" s="33"/>
      <c r="B732" s="33"/>
      <c r="C732" s="32"/>
    </row>
    <row r="733">
      <c r="A733" s="33"/>
      <c r="B733" s="33"/>
      <c r="C733" s="32"/>
    </row>
    <row r="734">
      <c r="A734" s="33"/>
      <c r="B734" s="33"/>
      <c r="C734" s="32"/>
    </row>
    <row r="735">
      <c r="A735" s="33"/>
      <c r="B735" s="33"/>
      <c r="C735" s="32"/>
    </row>
    <row r="736">
      <c r="A736" s="33"/>
      <c r="B736" s="33"/>
      <c r="C736" s="32"/>
    </row>
    <row r="737">
      <c r="A737" s="33"/>
      <c r="B737" s="33"/>
      <c r="C737" s="32"/>
    </row>
    <row r="738">
      <c r="A738" s="33"/>
      <c r="B738" s="33"/>
      <c r="C738" s="32"/>
    </row>
    <row r="739">
      <c r="A739" s="33"/>
      <c r="B739" s="33"/>
      <c r="C739" s="32"/>
    </row>
    <row r="740">
      <c r="A740" s="33"/>
      <c r="B740" s="33"/>
      <c r="C740" s="32"/>
    </row>
    <row r="741">
      <c r="A741" s="33"/>
      <c r="B741" s="33"/>
      <c r="C741" s="32"/>
    </row>
    <row r="742">
      <c r="A742" s="33"/>
      <c r="B742" s="33"/>
      <c r="C742" s="32"/>
    </row>
    <row r="743">
      <c r="A743" s="33"/>
      <c r="B743" s="33"/>
      <c r="C743" s="32"/>
    </row>
    <row r="744">
      <c r="A744" s="33"/>
      <c r="B744" s="33"/>
      <c r="C744" s="32"/>
    </row>
    <row r="745">
      <c r="A745" s="33"/>
      <c r="B745" s="33"/>
      <c r="C745" s="32"/>
    </row>
    <row r="746">
      <c r="A746" s="33"/>
      <c r="B746" s="33"/>
      <c r="C746" s="32"/>
    </row>
    <row r="747">
      <c r="A747" s="33"/>
      <c r="B747" s="33"/>
      <c r="C747" s="32"/>
    </row>
    <row r="748">
      <c r="A748" s="33"/>
      <c r="B748" s="33"/>
      <c r="C748" s="32"/>
    </row>
    <row r="749">
      <c r="A749" s="33"/>
      <c r="B749" s="33"/>
      <c r="C749" s="32"/>
    </row>
    <row r="750">
      <c r="A750" s="33"/>
      <c r="B750" s="33"/>
      <c r="C750" s="32"/>
    </row>
    <row r="751">
      <c r="A751" s="33"/>
      <c r="B751" s="33"/>
      <c r="C751" s="32"/>
    </row>
    <row r="752">
      <c r="A752" s="33"/>
      <c r="B752" s="33"/>
      <c r="C752" s="32"/>
    </row>
    <row r="753">
      <c r="A753" s="33"/>
      <c r="B753" s="33"/>
      <c r="C753" s="32"/>
    </row>
    <row r="754">
      <c r="A754" s="33"/>
      <c r="B754" s="33"/>
      <c r="C754" s="32"/>
    </row>
    <row r="755">
      <c r="A755" s="33"/>
      <c r="B755" s="33"/>
      <c r="C755" s="32"/>
    </row>
    <row r="756">
      <c r="A756" s="33"/>
      <c r="B756" s="33"/>
      <c r="C756" s="32"/>
    </row>
    <row r="757">
      <c r="A757" s="33"/>
      <c r="B757" s="33"/>
      <c r="C757" s="32"/>
    </row>
    <row r="758">
      <c r="A758" s="33"/>
      <c r="B758" s="33"/>
      <c r="C758" s="32"/>
    </row>
    <row r="759">
      <c r="A759" s="33"/>
      <c r="B759" s="33"/>
      <c r="C759" s="32"/>
    </row>
    <row r="760">
      <c r="A760" s="33"/>
      <c r="B760" s="33"/>
      <c r="C760" s="32"/>
    </row>
    <row r="761">
      <c r="A761" s="33"/>
      <c r="B761" s="33"/>
      <c r="C761" s="32"/>
    </row>
    <row r="762">
      <c r="A762" s="33"/>
      <c r="B762" s="33"/>
      <c r="C762" s="32"/>
    </row>
    <row r="763">
      <c r="A763" s="33"/>
      <c r="B763" s="33"/>
      <c r="C763" s="32"/>
    </row>
    <row r="764">
      <c r="A764" s="33"/>
      <c r="B764" s="33"/>
      <c r="C764" s="32"/>
    </row>
    <row r="765">
      <c r="A765" s="33"/>
      <c r="B765" s="33"/>
      <c r="C765" s="32"/>
    </row>
    <row r="766">
      <c r="A766" s="33"/>
      <c r="B766" s="33"/>
      <c r="C766" s="32"/>
    </row>
    <row r="767">
      <c r="A767" s="33"/>
      <c r="B767" s="33"/>
      <c r="C767" s="32"/>
    </row>
    <row r="768">
      <c r="A768" s="33"/>
      <c r="B768" s="33"/>
      <c r="C768" s="32"/>
    </row>
    <row r="769">
      <c r="A769" s="33"/>
      <c r="B769" s="33"/>
      <c r="C769" s="32"/>
    </row>
    <row r="770">
      <c r="A770" s="33"/>
      <c r="B770" s="33"/>
      <c r="C770" s="32"/>
    </row>
    <row r="771">
      <c r="A771" s="33"/>
      <c r="B771" s="33"/>
      <c r="C771" s="32"/>
    </row>
    <row r="772">
      <c r="A772" s="33"/>
      <c r="B772" s="33"/>
      <c r="C772" s="32"/>
    </row>
    <row r="773">
      <c r="A773" s="33"/>
      <c r="B773" s="33"/>
      <c r="C773" s="32"/>
    </row>
    <row r="774">
      <c r="A774" s="33"/>
      <c r="B774" s="33"/>
      <c r="C774" s="32"/>
    </row>
    <row r="775">
      <c r="A775" s="33"/>
      <c r="B775" s="33"/>
      <c r="C775" s="32"/>
    </row>
    <row r="776">
      <c r="A776" s="33"/>
      <c r="B776" s="33"/>
      <c r="C776" s="32"/>
    </row>
    <row r="777">
      <c r="A777" s="33"/>
      <c r="B777" s="33"/>
      <c r="C777" s="32"/>
    </row>
    <row r="778">
      <c r="A778" s="33"/>
      <c r="B778" s="33"/>
      <c r="C778" s="32"/>
    </row>
    <row r="779">
      <c r="A779" s="33"/>
      <c r="B779" s="33"/>
      <c r="C779" s="32"/>
    </row>
    <row r="780">
      <c r="A780" s="33"/>
      <c r="B780" s="33"/>
      <c r="C780" s="32"/>
    </row>
    <row r="781">
      <c r="A781" s="33"/>
      <c r="B781" s="33"/>
      <c r="C781" s="32"/>
    </row>
    <row r="782">
      <c r="A782" s="33"/>
      <c r="B782" s="33"/>
      <c r="C782" s="32"/>
    </row>
    <row r="783">
      <c r="A783" s="33"/>
      <c r="B783" s="33"/>
      <c r="C783" s="32"/>
    </row>
    <row r="784">
      <c r="A784" s="33"/>
      <c r="B784" s="33"/>
      <c r="C784" s="32"/>
    </row>
    <row r="785">
      <c r="A785" s="33"/>
      <c r="B785" s="33"/>
      <c r="C785" s="32"/>
    </row>
    <row r="786">
      <c r="A786" s="33"/>
      <c r="B786" s="33"/>
      <c r="C786" s="32"/>
    </row>
    <row r="787">
      <c r="A787" s="33"/>
      <c r="B787" s="33"/>
      <c r="C787" s="32"/>
    </row>
    <row r="788">
      <c r="A788" s="33"/>
      <c r="B788" s="33"/>
      <c r="C788" s="32"/>
    </row>
    <row r="789">
      <c r="A789" s="33"/>
      <c r="B789" s="33"/>
      <c r="C789" s="32"/>
    </row>
    <row r="790">
      <c r="A790" s="33"/>
      <c r="B790" s="33"/>
      <c r="C790" s="32"/>
    </row>
    <row r="791">
      <c r="A791" s="33"/>
      <c r="B791" s="33"/>
      <c r="C791" s="32"/>
    </row>
    <row r="792">
      <c r="A792" s="33"/>
      <c r="B792" s="33"/>
      <c r="C792" s="32"/>
    </row>
    <row r="793">
      <c r="A793" s="33"/>
      <c r="B793" s="33"/>
      <c r="C793" s="32"/>
    </row>
    <row r="794">
      <c r="A794" s="33"/>
      <c r="B794" s="33"/>
      <c r="C794" s="32"/>
    </row>
    <row r="795">
      <c r="A795" s="33"/>
      <c r="B795" s="33"/>
      <c r="C795" s="32"/>
    </row>
    <row r="796">
      <c r="A796" s="33"/>
      <c r="B796" s="33"/>
      <c r="C796" s="32"/>
    </row>
    <row r="797">
      <c r="A797" s="33"/>
      <c r="B797" s="33"/>
      <c r="C797" s="32"/>
    </row>
    <row r="798">
      <c r="A798" s="33"/>
      <c r="B798" s="33"/>
      <c r="C798" s="32"/>
    </row>
    <row r="799">
      <c r="A799" s="33"/>
      <c r="B799" s="33"/>
      <c r="C799" s="32"/>
    </row>
    <row r="800">
      <c r="A800" s="33"/>
      <c r="B800" s="33"/>
      <c r="C800" s="32"/>
    </row>
    <row r="801">
      <c r="A801" s="33"/>
      <c r="B801" s="33"/>
      <c r="C801" s="32"/>
    </row>
    <row r="802">
      <c r="A802" s="33"/>
      <c r="B802" s="33"/>
      <c r="C802" s="32"/>
    </row>
    <row r="803">
      <c r="A803" s="33"/>
      <c r="B803" s="33"/>
      <c r="C803" s="32"/>
    </row>
    <row r="804">
      <c r="A804" s="33"/>
      <c r="B804" s="33"/>
      <c r="C804" s="32"/>
    </row>
    <row r="805">
      <c r="A805" s="33"/>
      <c r="B805" s="33"/>
      <c r="C805" s="32"/>
    </row>
    <row r="806">
      <c r="A806" s="33"/>
      <c r="B806" s="33"/>
      <c r="C806" s="32"/>
    </row>
    <row r="807">
      <c r="A807" s="33"/>
      <c r="B807" s="33"/>
      <c r="C807" s="32"/>
    </row>
    <row r="808">
      <c r="A808" s="33"/>
      <c r="B808" s="33"/>
      <c r="C808" s="32"/>
    </row>
    <row r="809">
      <c r="A809" s="33"/>
      <c r="B809" s="33"/>
      <c r="C809" s="32"/>
    </row>
    <row r="810">
      <c r="A810" s="33"/>
      <c r="B810" s="33"/>
      <c r="C810" s="32"/>
    </row>
    <row r="811">
      <c r="A811" s="33"/>
      <c r="B811" s="33"/>
      <c r="C811" s="32"/>
    </row>
    <row r="812">
      <c r="A812" s="33"/>
      <c r="B812" s="33"/>
      <c r="C812" s="32"/>
    </row>
    <row r="813">
      <c r="A813" s="33"/>
      <c r="B813" s="33"/>
      <c r="C813" s="32"/>
    </row>
    <row r="814">
      <c r="A814" s="33"/>
      <c r="B814" s="33"/>
      <c r="C814" s="32"/>
    </row>
    <row r="815">
      <c r="A815" s="33"/>
      <c r="B815" s="33"/>
      <c r="C815" s="32"/>
    </row>
    <row r="816">
      <c r="A816" s="33"/>
      <c r="B816" s="33"/>
      <c r="C816" s="32"/>
    </row>
    <row r="817">
      <c r="A817" s="33"/>
      <c r="B817" s="33"/>
      <c r="C817" s="32"/>
    </row>
    <row r="818">
      <c r="A818" s="33"/>
      <c r="B818" s="33"/>
      <c r="C818" s="32"/>
    </row>
    <row r="819">
      <c r="A819" s="33"/>
      <c r="B819" s="33"/>
      <c r="C819" s="32"/>
    </row>
    <row r="820">
      <c r="A820" s="33"/>
      <c r="B820" s="33"/>
      <c r="C820" s="32"/>
    </row>
    <row r="821">
      <c r="A821" s="33"/>
      <c r="B821" s="33"/>
      <c r="C821" s="32"/>
    </row>
    <row r="822">
      <c r="A822" s="33"/>
      <c r="B822" s="33"/>
      <c r="C822" s="32"/>
    </row>
    <row r="823">
      <c r="A823" s="33"/>
      <c r="B823" s="33"/>
      <c r="C823" s="32"/>
    </row>
    <row r="824">
      <c r="A824" s="33"/>
      <c r="B824" s="33"/>
      <c r="C824" s="32"/>
    </row>
    <row r="825">
      <c r="A825" s="33"/>
      <c r="B825" s="33"/>
      <c r="C825" s="32"/>
    </row>
    <row r="826">
      <c r="A826" s="33"/>
      <c r="B826" s="33"/>
      <c r="C826" s="32"/>
    </row>
    <row r="827">
      <c r="A827" s="33"/>
      <c r="B827" s="33"/>
      <c r="C827" s="32"/>
    </row>
    <row r="828">
      <c r="A828" s="33"/>
      <c r="B828" s="33"/>
      <c r="C828" s="32"/>
    </row>
    <row r="829">
      <c r="A829" s="33"/>
      <c r="B829" s="33"/>
      <c r="C829" s="32"/>
    </row>
    <row r="830">
      <c r="A830" s="33"/>
      <c r="B830" s="33"/>
      <c r="C830" s="32"/>
    </row>
    <row r="831">
      <c r="A831" s="33"/>
      <c r="B831" s="33"/>
      <c r="C831" s="32"/>
    </row>
    <row r="832">
      <c r="A832" s="33"/>
      <c r="B832" s="33"/>
      <c r="C832" s="32"/>
    </row>
    <row r="833">
      <c r="A833" s="33"/>
      <c r="B833" s="33"/>
      <c r="C833" s="32"/>
    </row>
    <row r="834">
      <c r="A834" s="33"/>
      <c r="B834" s="33"/>
      <c r="C834" s="32"/>
    </row>
    <row r="835">
      <c r="A835" s="2"/>
      <c r="B835" s="2"/>
      <c r="C835" s="32"/>
    </row>
    <row r="836">
      <c r="A836" s="2"/>
      <c r="B836" s="2"/>
      <c r="C836" s="32"/>
    </row>
    <row r="837">
      <c r="A837" s="2"/>
      <c r="B837" s="2"/>
      <c r="C837" s="32"/>
    </row>
    <row r="838">
      <c r="A838" s="2"/>
      <c r="B838" s="2"/>
      <c r="C838" s="32"/>
    </row>
    <row r="839">
      <c r="A839" s="2"/>
      <c r="B839" s="2"/>
      <c r="C839" s="32"/>
    </row>
    <row r="840">
      <c r="A840" s="2"/>
      <c r="B840" s="2"/>
      <c r="C840" s="32"/>
    </row>
    <row r="841">
      <c r="A841" s="2"/>
      <c r="B841" s="2"/>
      <c r="C841" s="32"/>
    </row>
    <row r="842">
      <c r="A842" s="2"/>
      <c r="B842" s="2"/>
      <c r="C842" s="32"/>
    </row>
    <row r="843">
      <c r="A843" s="2"/>
      <c r="B843" s="2"/>
      <c r="C843" s="32"/>
    </row>
    <row r="844">
      <c r="A844" s="2"/>
      <c r="B844" s="2"/>
      <c r="C844" s="32"/>
    </row>
    <row r="845">
      <c r="A845" s="2"/>
      <c r="B845" s="2"/>
      <c r="C845" s="32"/>
    </row>
    <row r="846">
      <c r="A846" s="2"/>
      <c r="B846" s="2"/>
      <c r="C846" s="32"/>
    </row>
    <row r="847">
      <c r="A847" s="2"/>
      <c r="B847" s="2"/>
      <c r="C847" s="32"/>
    </row>
    <row r="848">
      <c r="A848" s="2"/>
      <c r="B848" s="2"/>
      <c r="C848" s="32"/>
    </row>
    <row r="849">
      <c r="A849" s="2"/>
      <c r="B849" s="2"/>
      <c r="C849" s="32"/>
    </row>
    <row r="850">
      <c r="A850" s="2"/>
      <c r="B850" s="2"/>
      <c r="C850" s="32"/>
    </row>
    <row r="851">
      <c r="A851" s="2"/>
      <c r="B851" s="2"/>
      <c r="C851" s="32"/>
    </row>
    <row r="852">
      <c r="A852" s="2"/>
      <c r="B852" s="2"/>
      <c r="C852" s="32"/>
    </row>
    <row r="853">
      <c r="A853" s="2"/>
      <c r="B853" s="2"/>
      <c r="C853" s="32"/>
    </row>
    <row r="854">
      <c r="A854" s="2"/>
      <c r="B854" s="2"/>
      <c r="C854" s="32"/>
    </row>
    <row r="855">
      <c r="A855" s="2"/>
      <c r="B855" s="2"/>
      <c r="C855" s="32"/>
    </row>
    <row r="856">
      <c r="A856" s="2"/>
      <c r="B856" s="2"/>
      <c r="C856" s="32"/>
    </row>
    <row r="857">
      <c r="A857" s="2"/>
      <c r="B857" s="2"/>
      <c r="C857" s="32"/>
    </row>
    <row r="858">
      <c r="A858" s="2"/>
      <c r="B858" s="2"/>
      <c r="C858" s="32"/>
    </row>
    <row r="859">
      <c r="A859" s="2"/>
      <c r="B859" s="2"/>
      <c r="C859" s="32"/>
    </row>
    <row r="860">
      <c r="A860" s="2"/>
      <c r="B860" s="2"/>
      <c r="C860" s="32"/>
    </row>
    <row r="861">
      <c r="A861" s="2"/>
      <c r="B861" s="2"/>
      <c r="C861" s="32"/>
    </row>
    <row r="862">
      <c r="A862" s="2"/>
      <c r="B862" s="2"/>
      <c r="C862" s="32"/>
    </row>
    <row r="863">
      <c r="A863" s="2"/>
      <c r="B863" s="2"/>
      <c r="C863" s="32"/>
    </row>
    <row r="864">
      <c r="A864" s="2"/>
      <c r="B864" s="2"/>
      <c r="C864" s="32"/>
    </row>
    <row r="865">
      <c r="A865" s="2"/>
      <c r="B865" s="2"/>
      <c r="C865" s="32"/>
    </row>
    <row r="866">
      <c r="A866" s="2"/>
      <c r="B866" s="2"/>
      <c r="C866" s="32"/>
    </row>
    <row r="867">
      <c r="A867" s="2"/>
      <c r="B867" s="2"/>
      <c r="C867" s="32"/>
    </row>
    <row r="868">
      <c r="A868" s="2"/>
      <c r="B868" s="2"/>
      <c r="C868" s="32"/>
    </row>
    <row r="869">
      <c r="A869" s="2"/>
      <c r="B869" s="2"/>
      <c r="C869" s="32"/>
    </row>
    <row r="870">
      <c r="A870" s="2"/>
      <c r="B870" s="2"/>
      <c r="C870" s="32"/>
    </row>
    <row r="871">
      <c r="A871" s="2"/>
      <c r="B871" s="2"/>
      <c r="C871" s="32"/>
    </row>
    <row r="872">
      <c r="A872" s="2"/>
      <c r="B872" s="2"/>
      <c r="C872" s="32"/>
    </row>
    <row r="873">
      <c r="A873" s="2"/>
      <c r="B873" s="2"/>
      <c r="C873" s="32"/>
    </row>
    <row r="874">
      <c r="A874" s="2"/>
      <c r="B874" s="2"/>
      <c r="C874" s="32"/>
    </row>
    <row r="875">
      <c r="A875" s="2"/>
      <c r="B875" s="2"/>
      <c r="C875" s="32"/>
    </row>
    <row r="876">
      <c r="A876" s="2"/>
      <c r="B876" s="2"/>
      <c r="C876" s="32"/>
    </row>
    <row r="877">
      <c r="A877" s="2"/>
      <c r="B877" s="2"/>
      <c r="C877" s="32"/>
    </row>
    <row r="878">
      <c r="A878" s="2"/>
      <c r="B878" s="2"/>
      <c r="C878" s="32"/>
    </row>
    <row r="879">
      <c r="A879" s="2"/>
      <c r="B879" s="2"/>
      <c r="C879" s="32"/>
    </row>
    <row r="880">
      <c r="A880" s="2"/>
      <c r="B880" s="2"/>
      <c r="C880" s="32"/>
    </row>
    <row r="881">
      <c r="A881" s="2"/>
      <c r="B881" s="2"/>
      <c r="C881" s="32"/>
    </row>
    <row r="882">
      <c r="A882" s="2"/>
      <c r="B882" s="2"/>
      <c r="C882" s="32"/>
    </row>
    <row r="883">
      <c r="A883" s="2"/>
      <c r="B883" s="2"/>
      <c r="C883" s="32"/>
    </row>
    <row r="884">
      <c r="A884" s="2"/>
      <c r="B884" s="2"/>
      <c r="C884" s="32"/>
    </row>
    <row r="885">
      <c r="A885" s="2"/>
      <c r="B885" s="2"/>
      <c r="C885" s="32"/>
    </row>
    <row r="886">
      <c r="A886" s="2"/>
      <c r="B886" s="2"/>
      <c r="C886" s="32"/>
    </row>
    <row r="887">
      <c r="A887" s="2"/>
      <c r="B887" s="2"/>
      <c r="C887" s="32"/>
    </row>
    <row r="888">
      <c r="A888" s="2"/>
      <c r="B888" s="2"/>
      <c r="C888" s="32"/>
    </row>
    <row r="889">
      <c r="A889" s="2"/>
      <c r="B889" s="2"/>
      <c r="C889" s="32"/>
    </row>
    <row r="890">
      <c r="A890" s="2"/>
      <c r="B890" s="2"/>
      <c r="C890" s="32"/>
    </row>
    <row r="891">
      <c r="A891" s="2"/>
      <c r="B891" s="2"/>
      <c r="C891" s="32"/>
    </row>
    <row r="892">
      <c r="A892" s="2"/>
      <c r="B892" s="2"/>
      <c r="C892" s="32"/>
    </row>
    <row r="893">
      <c r="A893" s="2"/>
      <c r="B893" s="2"/>
      <c r="C893" s="32"/>
    </row>
    <row r="894">
      <c r="A894" s="2"/>
      <c r="B894" s="2"/>
      <c r="C894" s="32"/>
    </row>
    <row r="895">
      <c r="A895" s="2"/>
      <c r="B895" s="2"/>
      <c r="C895" s="32"/>
    </row>
    <row r="896">
      <c r="A896" s="2"/>
      <c r="B896" s="2"/>
      <c r="C896" s="32"/>
    </row>
    <row r="897">
      <c r="A897" s="2"/>
      <c r="B897" s="2"/>
      <c r="C897" s="32"/>
    </row>
    <row r="898">
      <c r="A898" s="2"/>
      <c r="B898" s="2"/>
      <c r="C898" s="32"/>
    </row>
    <row r="899">
      <c r="A899" s="2"/>
      <c r="B899" s="2"/>
      <c r="C899" s="32"/>
    </row>
    <row r="900">
      <c r="A900" s="2"/>
      <c r="B900" s="2"/>
      <c r="C900" s="32"/>
    </row>
    <row r="901">
      <c r="A901" s="2"/>
      <c r="B901" s="2"/>
      <c r="C901" s="32"/>
    </row>
    <row r="902">
      <c r="A902" s="2"/>
      <c r="B902" s="2"/>
      <c r="C902" s="32"/>
    </row>
    <row r="903">
      <c r="A903" s="2"/>
      <c r="B903" s="2"/>
      <c r="C903" s="32"/>
    </row>
    <row r="904">
      <c r="A904" s="2"/>
      <c r="B904" s="2"/>
      <c r="C904" s="32"/>
    </row>
    <row r="905">
      <c r="A905" s="2"/>
      <c r="B905" s="2"/>
      <c r="C905" s="32"/>
    </row>
    <row r="906">
      <c r="A906" s="2"/>
      <c r="B906" s="2"/>
      <c r="C906" s="32"/>
    </row>
    <row r="907">
      <c r="A907" s="2"/>
      <c r="B907" s="2"/>
      <c r="C907" s="32"/>
    </row>
    <row r="908">
      <c r="A908" s="2"/>
      <c r="B908" s="2"/>
      <c r="C908" s="32"/>
    </row>
    <row r="909">
      <c r="A909" s="2"/>
      <c r="B909" s="2"/>
      <c r="C909" s="32"/>
    </row>
    <row r="910">
      <c r="A910" s="2"/>
      <c r="B910" s="2"/>
      <c r="C910" s="32"/>
    </row>
    <row r="911">
      <c r="A911" s="2"/>
      <c r="B911" s="2"/>
      <c r="C911" s="32"/>
    </row>
    <row r="912">
      <c r="A912" s="2"/>
      <c r="B912" s="2"/>
      <c r="C912" s="32"/>
    </row>
    <row r="913">
      <c r="A913" s="2"/>
      <c r="B913" s="2"/>
      <c r="C913" s="32"/>
    </row>
    <row r="914">
      <c r="A914" s="2"/>
      <c r="B914" s="2"/>
      <c r="C914" s="32"/>
    </row>
    <row r="915">
      <c r="A915" s="2"/>
      <c r="B915" s="2"/>
      <c r="C915" s="32"/>
    </row>
    <row r="916">
      <c r="A916" s="2"/>
      <c r="B916" s="2"/>
      <c r="C916" s="32"/>
    </row>
    <row r="917">
      <c r="A917" s="2"/>
      <c r="B917" s="2"/>
      <c r="C917" s="32"/>
    </row>
    <row r="918">
      <c r="A918" s="2"/>
      <c r="B918" s="2"/>
      <c r="C918" s="32"/>
    </row>
    <row r="919">
      <c r="A919" s="2"/>
      <c r="B919" s="2"/>
      <c r="C919" s="32"/>
    </row>
    <row r="920">
      <c r="A920" s="2"/>
      <c r="B920" s="2"/>
      <c r="C920" s="32"/>
    </row>
    <row r="921">
      <c r="A921" s="2"/>
      <c r="B921" s="2"/>
      <c r="C921" s="32"/>
    </row>
    <row r="922">
      <c r="A922" s="2"/>
      <c r="B922" s="2"/>
      <c r="C922" s="32"/>
    </row>
    <row r="923">
      <c r="A923" s="2"/>
      <c r="B923" s="2"/>
      <c r="C923" s="32"/>
    </row>
    <row r="924">
      <c r="A924" s="2"/>
      <c r="B924" s="2"/>
      <c r="C924" s="32"/>
    </row>
    <row r="925">
      <c r="A925" s="2"/>
      <c r="B925" s="2"/>
      <c r="C925" s="32"/>
    </row>
    <row r="926">
      <c r="A926" s="2"/>
      <c r="B926" s="2"/>
      <c r="C926" s="32"/>
    </row>
    <row r="927">
      <c r="A927" s="2"/>
      <c r="B927" s="2"/>
      <c r="C927" s="32"/>
    </row>
    <row r="928">
      <c r="A928" s="2"/>
      <c r="B928" s="2"/>
      <c r="C928" s="32"/>
    </row>
    <row r="929">
      <c r="A929" s="2"/>
      <c r="B929" s="2"/>
      <c r="C929" s="32"/>
    </row>
    <row r="930">
      <c r="A930" s="2"/>
      <c r="B930" s="2"/>
      <c r="C930" s="32"/>
    </row>
    <row r="931">
      <c r="A931" s="2"/>
      <c r="B931" s="2"/>
      <c r="C931" s="32"/>
    </row>
    <row r="932">
      <c r="A932" s="2"/>
      <c r="B932" s="2"/>
      <c r="C932" s="32"/>
    </row>
    <row r="933">
      <c r="A933" s="2"/>
      <c r="B933" s="2"/>
      <c r="C933" s="32"/>
    </row>
    <row r="934">
      <c r="A934" s="2"/>
      <c r="B934" s="2"/>
      <c r="C934" s="32"/>
    </row>
    <row r="935">
      <c r="A935" s="2"/>
      <c r="B935" s="2"/>
      <c r="C935" s="32"/>
    </row>
    <row r="936">
      <c r="A936" s="2"/>
      <c r="B936" s="2"/>
      <c r="C936" s="32"/>
    </row>
    <row r="937">
      <c r="A937" s="2"/>
      <c r="B937" s="2"/>
      <c r="C937" s="32"/>
    </row>
    <row r="938">
      <c r="A938" s="2"/>
      <c r="B938" s="2"/>
      <c r="C938" s="32"/>
    </row>
    <row r="939">
      <c r="A939" s="2"/>
      <c r="B939" s="2"/>
      <c r="C939" s="32"/>
    </row>
    <row r="940">
      <c r="A940" s="2"/>
      <c r="B940" s="2"/>
      <c r="C940" s="32"/>
    </row>
    <row r="941">
      <c r="A941" s="2"/>
      <c r="B941" s="2"/>
      <c r="C941" s="32"/>
    </row>
    <row r="942">
      <c r="A942" s="2"/>
      <c r="B942" s="2"/>
      <c r="C942" s="32"/>
    </row>
    <row r="943">
      <c r="A943" s="2"/>
      <c r="B943" s="2"/>
      <c r="C943" s="32"/>
    </row>
    <row r="944">
      <c r="A944" s="2"/>
      <c r="B944" s="2"/>
      <c r="C944" s="32"/>
    </row>
    <row r="945">
      <c r="A945" s="2"/>
      <c r="B945" s="2"/>
      <c r="C945" s="32"/>
    </row>
    <row r="946">
      <c r="A946" s="2"/>
      <c r="B946" s="2"/>
      <c r="C946" s="32"/>
    </row>
    <row r="947">
      <c r="A947" s="2"/>
      <c r="B947" s="2"/>
      <c r="C947" s="32"/>
    </row>
    <row r="948">
      <c r="A948" s="2"/>
      <c r="B948" s="2"/>
      <c r="C948" s="32"/>
    </row>
    <row r="949">
      <c r="A949" s="2"/>
      <c r="B949" s="2"/>
      <c r="C949" s="32"/>
    </row>
    <row r="950">
      <c r="A950" s="2"/>
      <c r="B950" s="2"/>
      <c r="C950" s="32"/>
    </row>
    <row r="951">
      <c r="A951" s="2"/>
      <c r="B951" s="2"/>
      <c r="C951" s="32"/>
    </row>
    <row r="952">
      <c r="A952" s="2"/>
      <c r="B952" s="2"/>
      <c r="C952" s="32"/>
    </row>
    <row r="953">
      <c r="A953" s="2"/>
      <c r="B953" s="2"/>
      <c r="C953" s="32"/>
    </row>
    <row r="954">
      <c r="A954" s="2"/>
      <c r="B954" s="2"/>
      <c r="C954" s="32"/>
    </row>
    <row r="955">
      <c r="A955" s="2"/>
      <c r="B955" s="2"/>
      <c r="C955" s="32"/>
    </row>
    <row r="956">
      <c r="A956" s="2"/>
      <c r="B956" s="2"/>
      <c r="C956" s="32"/>
    </row>
    <row r="957">
      <c r="A957" s="2"/>
      <c r="B957" s="2"/>
      <c r="C957" s="32"/>
    </row>
    <row r="958">
      <c r="A958" s="2"/>
      <c r="B958" s="2"/>
      <c r="C958" s="32"/>
    </row>
    <row r="959">
      <c r="A959" s="2"/>
      <c r="B959" s="2"/>
      <c r="C959" s="32"/>
    </row>
    <row r="960">
      <c r="A960" s="2"/>
      <c r="B960" s="2"/>
      <c r="C960" s="32"/>
    </row>
    <row r="961">
      <c r="A961" s="2"/>
      <c r="B961" s="2"/>
      <c r="C961" s="32"/>
    </row>
    <row r="962">
      <c r="A962" s="2"/>
      <c r="B962" s="2"/>
      <c r="C962" s="32"/>
    </row>
    <row r="963">
      <c r="A963" s="2"/>
      <c r="B963" s="2"/>
      <c r="C963" s="32"/>
    </row>
    <row r="964">
      <c r="A964" s="2"/>
      <c r="B964" s="2"/>
      <c r="C964" s="32"/>
    </row>
    <row r="965">
      <c r="A965" s="2"/>
      <c r="B965" s="2"/>
      <c r="C965" s="32"/>
    </row>
    <row r="966">
      <c r="A966" s="2"/>
      <c r="B966" s="2"/>
      <c r="C966" s="32"/>
    </row>
    <row r="967">
      <c r="A967" s="2"/>
      <c r="B967" s="2"/>
      <c r="C967" s="32"/>
    </row>
    <row r="968">
      <c r="A968" s="2"/>
      <c r="B968" s="2"/>
      <c r="C968" s="32"/>
    </row>
    <row r="969">
      <c r="A969" s="2"/>
      <c r="B969" s="2"/>
      <c r="C969" s="32"/>
    </row>
    <row r="970">
      <c r="A970" s="2"/>
      <c r="B970" s="2"/>
      <c r="C970" s="32"/>
    </row>
    <row r="971">
      <c r="A971" s="2"/>
      <c r="B971" s="2"/>
      <c r="C971" s="32"/>
    </row>
    <row r="972">
      <c r="A972" s="2"/>
      <c r="B972" s="2"/>
      <c r="C972" s="32"/>
    </row>
    <row r="973">
      <c r="A973" s="2"/>
      <c r="B973" s="2"/>
      <c r="C973" s="32"/>
    </row>
    <row r="974">
      <c r="A974" s="2"/>
      <c r="B974" s="2"/>
      <c r="C974" s="32"/>
    </row>
    <row r="975">
      <c r="A975" s="2"/>
      <c r="B975" s="2"/>
      <c r="C975" s="32"/>
    </row>
    <row r="976">
      <c r="A976" s="2"/>
      <c r="B976" s="2"/>
      <c r="C976" s="32"/>
    </row>
    <row r="977">
      <c r="A977" s="2"/>
      <c r="B977" s="2"/>
      <c r="C977" s="32"/>
    </row>
  </sheetData>
  <hyperlinks>
    <hyperlink r:id="rId1" ref="C2"/>
    <hyperlink r:id="rId2" ref="C5"/>
    <hyperlink r:id="rId3" ref="C6"/>
    <hyperlink r:id="rId4" ref="C7"/>
    <hyperlink r:id="rId5" ref="C8"/>
    <hyperlink r:id="rId6" ref="C9"/>
    <hyperlink r:id="rId7" ref="C11"/>
    <hyperlink r:id="rId8" ref="C12"/>
    <hyperlink r:id="rId9" ref="C22"/>
    <hyperlink r:id="rId10" ref="C23"/>
    <hyperlink r:id="rId11" ref="C28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E7A"/>
    <outlinePr summaryBelow="0" summaryRight="0"/>
    <pageSetUpPr fitToPage="1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3.63"/>
    <col customWidth="1" min="2" max="2" width="12.5"/>
    <col customWidth="1" min="3" max="3" width="26.25"/>
    <col customWidth="1" min="4" max="4" width="4.75"/>
    <col customWidth="1" min="7" max="8" width="12.13"/>
    <col customWidth="1" min="9" max="9" width="13.0"/>
    <col customWidth="1" min="10" max="10" width="31.0"/>
    <col customWidth="1" min="11" max="11" width="5.75"/>
    <col customWidth="1" min="12" max="12" width="7.0"/>
    <col customWidth="1" min="13" max="13" width="14.25"/>
    <col customWidth="1" min="14" max="14" width="5.75"/>
    <col customWidth="1" min="15" max="15" width="7.0"/>
    <col customWidth="1" min="16" max="16" width="14.25"/>
    <col customWidth="1" min="17" max="17" width="5.75"/>
    <col customWidth="1" min="18" max="18" width="7.0"/>
  </cols>
  <sheetData>
    <row r="1">
      <c r="A1" s="7"/>
      <c r="B1" s="9"/>
      <c r="C1" s="11" t="s">
        <v>1</v>
      </c>
      <c r="D1" s="12"/>
      <c r="E1" s="13"/>
      <c r="F1" s="15"/>
      <c r="G1" s="17"/>
      <c r="H1" s="18"/>
      <c r="I1" s="19"/>
      <c r="J1" s="21"/>
      <c r="K1" s="21"/>
      <c r="L1" s="21"/>
      <c r="M1" s="21"/>
      <c r="N1" s="21"/>
      <c r="O1" s="21"/>
      <c r="P1" s="21"/>
      <c r="Q1" s="21"/>
      <c r="R1" s="21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7"/>
      <c r="B2" s="9"/>
      <c r="C2" s="30"/>
      <c r="D2" s="31"/>
      <c r="E2" s="30"/>
      <c r="F2" s="15"/>
      <c r="G2" s="17"/>
      <c r="H2" s="18"/>
      <c r="I2" s="19"/>
      <c r="J2" s="21"/>
      <c r="K2" s="21"/>
      <c r="L2" s="21"/>
      <c r="M2" s="21"/>
      <c r="N2" s="21"/>
      <c r="O2" s="21"/>
      <c r="P2" s="21"/>
      <c r="Q2" s="21"/>
      <c r="R2" s="21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ht="19.5" customHeight="1">
      <c r="A3" s="7"/>
      <c r="B3" s="7"/>
      <c r="C3" s="37" t="s">
        <v>6</v>
      </c>
      <c r="D3" s="31"/>
      <c r="E3" s="30"/>
      <c r="F3" s="15"/>
      <c r="G3" s="17"/>
      <c r="H3" s="18"/>
      <c r="I3" s="19"/>
      <c r="J3" s="21"/>
      <c r="K3" s="21"/>
      <c r="L3" s="21"/>
      <c r="M3" s="21"/>
      <c r="N3" s="21"/>
      <c r="O3" s="21"/>
      <c r="P3" s="21"/>
      <c r="Q3" s="21"/>
      <c r="R3" s="21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ht="10.5" customHeight="1">
      <c r="A4" s="7"/>
      <c r="B4" s="7"/>
      <c r="C4" s="39"/>
      <c r="D4" s="9"/>
      <c r="E4" s="41"/>
      <c r="F4" s="42"/>
      <c r="G4" s="43"/>
      <c r="H4" s="44"/>
      <c r="I4" s="46"/>
      <c r="J4" s="48"/>
      <c r="K4" s="48"/>
      <c r="L4" s="48"/>
      <c r="M4" s="48"/>
      <c r="N4" s="48"/>
      <c r="O4" s="48"/>
      <c r="P4" s="48"/>
      <c r="Q4" s="48"/>
      <c r="R4" s="48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>
      <c r="A5" s="9"/>
      <c r="B5" s="51" t="s">
        <v>8</v>
      </c>
      <c r="C5" s="30"/>
      <c r="D5" s="53" t="s">
        <v>9</v>
      </c>
      <c r="E5" s="30"/>
      <c r="F5" s="42"/>
      <c r="G5" s="43"/>
      <c r="H5" s="44"/>
      <c r="I5" s="46"/>
      <c r="J5" s="48"/>
      <c r="K5" s="48"/>
      <c r="L5" s="48"/>
      <c r="M5" s="48"/>
      <c r="N5" s="48"/>
      <c r="O5" s="48"/>
      <c r="P5" s="48"/>
      <c r="Q5" s="48"/>
      <c r="R5" s="48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>
      <c r="A6" s="7"/>
      <c r="B6" s="7"/>
      <c r="C6" s="9"/>
      <c r="D6" s="54" t="s">
        <v>10</v>
      </c>
      <c r="E6" s="30"/>
      <c r="F6" s="42"/>
      <c r="G6" s="43"/>
      <c r="H6" s="44"/>
      <c r="I6" s="46"/>
      <c r="J6" s="48"/>
      <c r="K6" s="48"/>
      <c r="L6" s="48"/>
      <c r="M6" s="48"/>
      <c r="N6" s="48"/>
      <c r="O6" s="48"/>
      <c r="P6" s="48"/>
      <c r="Q6" s="48"/>
      <c r="R6" s="48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>
      <c r="A7" s="7"/>
      <c r="B7" s="55" t="s">
        <v>11</v>
      </c>
      <c r="C7" s="30"/>
      <c r="D7" s="54" t="s">
        <v>13</v>
      </c>
      <c r="E7" s="30"/>
      <c r="F7" s="42"/>
      <c r="G7" s="43"/>
      <c r="H7" s="44"/>
      <c r="I7" s="46"/>
      <c r="J7" s="48"/>
      <c r="K7" s="48"/>
      <c r="L7" s="48"/>
      <c r="M7" s="48"/>
      <c r="N7" s="48"/>
      <c r="O7" s="48"/>
      <c r="P7" s="48"/>
      <c r="Q7" s="48"/>
      <c r="R7" s="48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>
      <c r="A8" s="7"/>
      <c r="B8" s="55" t="s">
        <v>14</v>
      </c>
      <c r="C8" s="30"/>
      <c r="D8" s="55" t="s">
        <v>15</v>
      </c>
      <c r="E8" s="30"/>
      <c r="F8" s="42"/>
      <c r="G8" s="43"/>
      <c r="H8" s="44"/>
      <c r="I8" s="46"/>
      <c r="J8" s="48"/>
      <c r="K8" s="48"/>
      <c r="L8" s="48"/>
      <c r="M8" s="48"/>
      <c r="N8" s="48"/>
      <c r="O8" s="48"/>
      <c r="P8" s="48"/>
      <c r="Q8" s="48"/>
      <c r="R8" s="48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>
      <c r="A9" s="9"/>
      <c r="B9" s="55" t="s">
        <v>16</v>
      </c>
      <c r="C9" s="30"/>
      <c r="D9" s="54" t="s">
        <v>17</v>
      </c>
      <c r="E9" s="30"/>
      <c r="F9" s="42"/>
      <c r="G9" s="43"/>
      <c r="H9" s="44"/>
      <c r="I9" s="46"/>
      <c r="J9" s="48"/>
      <c r="K9" s="48"/>
      <c r="L9" s="48"/>
      <c r="M9" s="48"/>
      <c r="N9" s="48"/>
      <c r="O9" s="48"/>
      <c r="P9" s="48"/>
      <c r="Q9" s="48"/>
      <c r="R9" s="48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ht="3.0" customHeight="1">
      <c r="A10" s="56"/>
      <c r="B10" s="57"/>
      <c r="C10" s="58"/>
      <c r="D10" s="42"/>
      <c r="E10" s="42"/>
      <c r="F10" s="42"/>
      <c r="G10" s="43"/>
      <c r="H10" s="44"/>
      <c r="I10" s="46"/>
      <c r="J10" s="48"/>
      <c r="K10" s="48"/>
      <c r="L10" s="48"/>
      <c r="M10" s="48"/>
      <c r="N10" s="48"/>
      <c r="O10" s="48"/>
      <c r="P10" s="48"/>
      <c r="Q10" s="48"/>
      <c r="R10" s="48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ht="8.25" customHeight="1">
      <c r="A11" s="59"/>
      <c r="B11" s="60"/>
      <c r="C11" s="61"/>
      <c r="D11" s="59"/>
      <c r="E11" s="59"/>
      <c r="F11" s="59"/>
      <c r="G11" s="62"/>
      <c r="H11" s="63"/>
      <c r="I11" s="64"/>
      <c r="J11" s="59"/>
      <c r="K11" s="59"/>
      <c r="L11" s="59"/>
      <c r="M11" s="59"/>
      <c r="N11" s="59"/>
      <c r="O11" s="59"/>
      <c r="P11" s="59"/>
      <c r="Q11" s="59"/>
      <c r="R11" s="59"/>
      <c r="S11" s="65"/>
      <c r="T11" s="65"/>
      <c r="U11" s="65"/>
      <c r="V11" s="65"/>
      <c r="W11" s="65"/>
      <c r="X11" s="65"/>
      <c r="Y11" s="65"/>
      <c r="Z11" s="65"/>
      <c r="AA11" s="65"/>
      <c r="AB11" s="24"/>
    </row>
    <row r="12">
      <c r="A12" s="66" t="s">
        <v>18</v>
      </c>
      <c r="B12" s="67" t="s">
        <v>19</v>
      </c>
      <c r="C12" s="68" t="s">
        <v>20</v>
      </c>
      <c r="D12" s="69" t="s">
        <v>21</v>
      </c>
      <c r="E12" s="70" t="s">
        <v>5</v>
      </c>
      <c r="F12" s="71" t="s">
        <v>4</v>
      </c>
      <c r="G12" s="72" t="s">
        <v>22</v>
      </c>
      <c r="H12" s="73" t="s">
        <v>23</v>
      </c>
      <c r="I12" s="74" t="s">
        <v>24</v>
      </c>
      <c r="J12" s="75" t="s">
        <v>25</v>
      </c>
      <c r="K12" s="76"/>
      <c r="L12" s="76"/>
      <c r="M12" s="76"/>
      <c r="N12" s="76"/>
      <c r="O12" s="76"/>
      <c r="P12" s="76"/>
      <c r="Q12" s="76"/>
      <c r="R12" s="77"/>
      <c r="S12" s="78"/>
      <c r="T12" s="78"/>
      <c r="U12" s="78"/>
      <c r="V12" s="78"/>
      <c r="W12" s="78"/>
      <c r="X12" s="78"/>
      <c r="Y12" s="78"/>
      <c r="Z12" s="78"/>
      <c r="AA12" s="78"/>
    </row>
    <row r="13" ht="3.0" customHeight="1">
      <c r="A13" s="79"/>
      <c r="B13" s="80"/>
      <c r="C13" s="81"/>
      <c r="D13" s="82"/>
      <c r="E13" s="83"/>
      <c r="F13" s="84"/>
      <c r="G13" s="80"/>
      <c r="H13" s="81"/>
      <c r="I13" s="82"/>
      <c r="J13" s="85" t="s">
        <v>26</v>
      </c>
      <c r="K13" s="86" t="s">
        <v>27</v>
      </c>
      <c r="L13" s="86" t="s">
        <v>28</v>
      </c>
      <c r="M13" s="86" t="s">
        <v>26</v>
      </c>
      <c r="N13" s="86" t="s">
        <v>27</v>
      </c>
      <c r="O13" s="86" t="s">
        <v>28</v>
      </c>
      <c r="P13" s="86" t="s">
        <v>26</v>
      </c>
      <c r="Q13" s="86" t="s">
        <v>27</v>
      </c>
      <c r="R13" s="87" t="s">
        <v>28</v>
      </c>
      <c r="S13" s="78"/>
      <c r="T13" s="78"/>
      <c r="U13" s="78"/>
      <c r="V13" s="78"/>
      <c r="W13" s="78"/>
      <c r="X13" s="78"/>
      <c r="Y13" s="78"/>
      <c r="Z13" s="78"/>
      <c r="AA13" s="78"/>
    </row>
    <row r="14">
      <c r="A14" s="88">
        <v>1.0</v>
      </c>
      <c r="B14" s="89"/>
      <c r="C14" s="90" t="str">
        <f>if(B14="","", VLOOKUP(B14,'Номенклатура'!A$3:B997,2,false))</f>
        <v/>
      </c>
      <c r="D14" s="14">
        <v>75.0</v>
      </c>
      <c r="E14" s="91" t="str">
        <f>if(B14="","", VLOOKUP(B14,'Данни'!A:D,4,false))</f>
        <v/>
      </c>
      <c r="F14" s="92" t="str">
        <f>if(B14="","", VLOOKUP(B14,'Данни'!A:D,3,false))</f>
        <v/>
      </c>
      <c r="G14" s="93">
        <f t="shared" ref="G14:G39" si="1">D14*F14</f>
        <v>0</v>
      </c>
      <c r="H14" s="94" t="str">
        <f>IFerror(VLOOKUP(B14,'Номенклатура'!A:F,4,0),"")</f>
        <v/>
      </c>
      <c r="I14" s="95" t="str">
        <f>iferror(VLOOKUP(B14,'Номенклатура'!A:F,5,0),"")</f>
        <v/>
      </c>
      <c r="J14" s="96" t="str">
        <f>iferror(VLOOKUP(B14,'Номенклатура'!A:N,6,0),"")</f>
        <v/>
      </c>
      <c r="K14" s="97" t="str">
        <f>iferror(VLOOKUP(B14,'Номенклатура'!A:N,7,0),"")</f>
        <v/>
      </c>
      <c r="L14" s="97" t="str">
        <f>IFERROR(VLOOKUP(B14,'Номенклатура'!A:N,8,0),"")</f>
        <v/>
      </c>
      <c r="M14" s="97" t="str">
        <f>IFERROR(VLOOKUP(B14,'Номенклатура'!A:N,9,0),"")</f>
        <v/>
      </c>
      <c r="N14" s="97" t="str">
        <f>IFERROR(VLOOKUP(B15,'Номенклатура'!A:N,10,0),"")</f>
        <v/>
      </c>
      <c r="O14" s="97" t="str">
        <f>IFERROR(VLOOKUP(B14,'Номенклатура'!A:N,11,0),"")</f>
        <v/>
      </c>
      <c r="P14" s="97" t="str">
        <f>IFERROR(VLOOKUP(B14,'Номенклатура'!A:N,12,0),"")</f>
        <v/>
      </c>
      <c r="Q14" s="97" t="str">
        <f>IFERROR(VLOOKUP(B14,'Номенклатура'!A:N,13,0),"")</f>
        <v/>
      </c>
      <c r="R14" s="91" t="str">
        <f>IFERROR(VLOOKUP(B14,'Номенклатура'!A:N,14,0),"")</f>
        <v/>
      </c>
    </row>
    <row r="15">
      <c r="A15" s="98">
        <v>2.0</v>
      </c>
      <c r="B15" s="99" t="s">
        <v>29</v>
      </c>
      <c r="C15" s="100" t="str">
        <f>if(B15="","", VLOOKUP(B15,'Номенклатура'!A$3:B997,2,false))</f>
        <v>#N/A</v>
      </c>
      <c r="D15" s="101">
        <v>15.0</v>
      </c>
      <c r="E15" s="102" t="str">
        <f>if(B15="","", VLOOKUP(B15,'Данни'!A:D,4,false))</f>
        <v>#N/A</v>
      </c>
      <c r="F15" s="103" t="str">
        <f>if(B15="","", VLOOKUP(B15,'Данни'!A:D,3,false))</f>
        <v>#N/A</v>
      </c>
      <c r="G15" s="104" t="str">
        <f t="shared" si="1"/>
        <v>#N/A</v>
      </c>
      <c r="H15" s="105" t="str">
        <f>IFerror(VLOOKUP(B15,'Номенклатура'!A:F,4,0),"")</f>
        <v/>
      </c>
      <c r="I15" s="106" t="str">
        <f>iferror(VLOOKUP(B15,'Номенклатура'!A:F,5,0),"")</f>
        <v/>
      </c>
      <c r="J15" s="107" t="str">
        <f>iferror(VLOOKUP(B15,'Номенклатура'!A:N,6,0),"")</f>
        <v/>
      </c>
      <c r="K15" s="109" t="str">
        <f>iferror(VLOOKUP(B15,'Номенклатура'!A:N,7,0),"")</f>
        <v/>
      </c>
      <c r="L15" s="109" t="str">
        <f>IFERROR(VLOOKUP(B15,'Номенклатура'!A:N,8,0),"")</f>
        <v/>
      </c>
      <c r="M15" s="109" t="str">
        <f>IFERROR(VLOOKUP(B15,'Номенклатура'!A:N,9,0),"")</f>
        <v/>
      </c>
      <c r="N15" s="109" t="str">
        <f>IFERROR(VLOOKUP(B16,'Номенклатура'!A:N,10,0),"")</f>
        <v/>
      </c>
      <c r="O15" s="109" t="str">
        <f>IFERROR(VLOOKUP(B15,'Номенклатура'!A:N,11,0),"")</f>
        <v/>
      </c>
      <c r="P15" s="109" t="str">
        <f>IFERROR(VLOOKUP(B15,'Номенклатура'!A:N,12,0),"")</f>
        <v/>
      </c>
      <c r="Q15" s="109" t="str">
        <f>IFERROR(VLOOKUP(B15,'Номенклатура'!A:N,13,0),"")</f>
        <v/>
      </c>
      <c r="R15" s="102" t="str">
        <f>IFERROR(VLOOKUP(B15,'Номенклатура'!A:N,14,0),"")</f>
        <v/>
      </c>
    </row>
    <row r="16">
      <c r="A16" s="88">
        <v>3.0</v>
      </c>
      <c r="B16" s="111"/>
      <c r="C16" s="90" t="str">
        <f>if(B16="","", VLOOKUP(B16,'Номенклатура'!A$3:B997,2,false))</f>
        <v/>
      </c>
      <c r="D16" s="112">
        <v>20.0</v>
      </c>
      <c r="E16" s="91" t="str">
        <f>if(B16="","", VLOOKUP(B16,'Данни'!A:D,4,false))</f>
        <v/>
      </c>
      <c r="F16" s="92" t="str">
        <f>if(B16="","", VLOOKUP(B16,'Данни'!A:D,3,false))</f>
        <v/>
      </c>
      <c r="G16" s="93">
        <f t="shared" si="1"/>
        <v>0</v>
      </c>
      <c r="H16" s="94" t="str">
        <f>IFerror(VLOOKUP(B16,'Номенклатура'!A:F,4,0),"")</f>
        <v/>
      </c>
      <c r="I16" s="95" t="str">
        <f>iferror(VLOOKUP(B16,'Номенклатура'!A:F,5,0),"")</f>
        <v/>
      </c>
      <c r="J16" s="96" t="str">
        <f>iferror(VLOOKUP(B16,'Номенклатура'!A:N,6,0),"")</f>
        <v/>
      </c>
      <c r="K16" s="97" t="str">
        <f>iferror(VLOOKUP(B16,'Номенклатура'!A:N,7,0),"")</f>
        <v/>
      </c>
      <c r="L16" s="97" t="str">
        <f>IFERROR(VLOOKUP(B16,'Номенклатура'!A:N,8,0),"")</f>
        <v/>
      </c>
      <c r="M16" s="97" t="str">
        <f>IFERROR(VLOOKUP(B16,'Номенклатура'!A:N,9,0),"")</f>
        <v/>
      </c>
      <c r="N16" s="97" t="str">
        <f>IFERROR(VLOOKUP(B17,'Номенклатура'!A:N,10,0),"")</f>
        <v/>
      </c>
      <c r="O16" s="97" t="str">
        <f>IFERROR(VLOOKUP(B16,'Номенклатура'!A:N,11,0),"")</f>
        <v/>
      </c>
      <c r="P16" s="97" t="str">
        <f>IFERROR(VLOOKUP(B16,'Номенклатура'!A:N,12,0),"")</f>
        <v/>
      </c>
      <c r="Q16" s="97" t="str">
        <f>IFERROR(VLOOKUP(B16,'Номенклатура'!A:N,13,0),"")</f>
        <v/>
      </c>
      <c r="R16" s="91" t="str">
        <f>IFERROR(VLOOKUP(B16,'Номенклатура'!A:N,14,0),"")</f>
        <v/>
      </c>
    </row>
    <row r="17">
      <c r="A17" s="98">
        <v>4.0</v>
      </c>
      <c r="B17" s="99"/>
      <c r="C17" s="100" t="str">
        <f>if(B17="","", VLOOKUP(B17,'Номенклатура'!A$3:B997,2,false))</f>
        <v/>
      </c>
      <c r="D17" s="101">
        <v>25.0</v>
      </c>
      <c r="E17" s="102" t="str">
        <f>if(B17="","", VLOOKUP(B17,'Данни'!A:D,4,false))</f>
        <v/>
      </c>
      <c r="F17" s="103" t="str">
        <f>if(B17="","", VLOOKUP(B17,'Данни'!A:D,3,false))</f>
        <v/>
      </c>
      <c r="G17" s="104">
        <f t="shared" si="1"/>
        <v>0</v>
      </c>
      <c r="H17" s="105" t="str">
        <f>IFerror(VLOOKUP(B17,'Номенклатура'!A:F,4,0),"")</f>
        <v/>
      </c>
      <c r="I17" s="106" t="str">
        <f>iferror(VLOOKUP(B17,'Номенклатура'!A:F,5,0),"")</f>
        <v/>
      </c>
      <c r="J17" s="107" t="str">
        <f>iferror(VLOOKUP(B17,'Номенклатура'!A:N,6,0),"")</f>
        <v/>
      </c>
      <c r="K17" s="109" t="str">
        <f>iferror(VLOOKUP(B17,'Номенклатура'!A:N,7,0),"")</f>
        <v/>
      </c>
      <c r="L17" s="109" t="str">
        <f>IFERROR(VLOOKUP(B17,'Номенклатура'!A:N,8,0),"")</f>
        <v/>
      </c>
      <c r="M17" s="109" t="str">
        <f>IFERROR(VLOOKUP(B17,'Номенклатура'!A:N,9,0),"")</f>
        <v/>
      </c>
      <c r="N17" s="109" t="str">
        <f>IFERROR(VLOOKUP(B18,'Номенклатура'!A:N,10,0),"")</f>
        <v/>
      </c>
      <c r="O17" s="109" t="str">
        <f>IFERROR(VLOOKUP(B17,'Номенклатура'!A:N,11,0),"")</f>
        <v/>
      </c>
      <c r="P17" s="109" t="str">
        <f>IFERROR(VLOOKUP(B17,'Номенклатура'!A:N,12,0),"")</f>
        <v/>
      </c>
      <c r="Q17" s="109" t="str">
        <f>IFERROR(VLOOKUP(B17,'Номенклатура'!A:N,13,0),"")</f>
        <v/>
      </c>
      <c r="R17" s="102" t="str">
        <f>IFERROR(VLOOKUP(B17,'Номенклатура'!A:N,14,0),"")</f>
        <v/>
      </c>
    </row>
    <row r="18">
      <c r="A18" s="88">
        <v>5.0</v>
      </c>
      <c r="B18" s="111"/>
      <c r="C18" s="90" t="str">
        <f>if(B18="","", VLOOKUP(B18,'Номенклатура'!A$3:B997,2,false))</f>
        <v/>
      </c>
      <c r="D18" s="112">
        <v>25.0</v>
      </c>
      <c r="E18" s="91" t="str">
        <f>if(B18="","", VLOOKUP(B18,'Данни'!A:D,4,false))</f>
        <v/>
      </c>
      <c r="F18" s="92" t="str">
        <f>if(B18="","", VLOOKUP(B18,'Данни'!A:D,3,false))</f>
        <v/>
      </c>
      <c r="G18" s="93">
        <f t="shared" si="1"/>
        <v>0</v>
      </c>
      <c r="H18" s="94" t="str">
        <f>IFerror(VLOOKUP(B18,'Номенклатура'!A:F,4,0),"")</f>
        <v/>
      </c>
      <c r="I18" s="95" t="str">
        <f>iferror(VLOOKUP(B18,'Номенклатура'!A:F,5,0),"")</f>
        <v/>
      </c>
      <c r="J18" s="96" t="str">
        <f>iferror(VLOOKUP(B18,'Номенклатура'!A:N,6,0),"")</f>
        <v/>
      </c>
      <c r="K18" s="97" t="str">
        <f>iferror(VLOOKUP(B18,'Номенклатура'!A:N,7,0),"")</f>
        <v/>
      </c>
      <c r="L18" s="97" t="str">
        <f>IFERROR(VLOOKUP(B18,'Номенклатура'!A:N,8,0),"")</f>
        <v/>
      </c>
      <c r="M18" s="97" t="str">
        <f>IFERROR(VLOOKUP(B18,'Номенклатура'!A:N,9,0),"")</f>
        <v/>
      </c>
      <c r="N18" s="97" t="str">
        <f>IFERROR(VLOOKUP(B19,'Номенклатура'!A:N,10,0),"")</f>
        <v/>
      </c>
      <c r="O18" s="97" t="str">
        <f>IFERROR(VLOOKUP(B18,'Номенклатура'!A:N,11,0),"")</f>
        <v/>
      </c>
      <c r="P18" s="97" t="str">
        <f>IFERROR(VLOOKUP(B18,'Номенклатура'!A:N,12,0),"")</f>
        <v/>
      </c>
      <c r="Q18" s="97" t="str">
        <f>IFERROR(VLOOKUP(B18,'Номенклатура'!A:N,13,0),"")</f>
        <v/>
      </c>
      <c r="R18" s="91" t="str">
        <f>IFERROR(VLOOKUP(B18,'Номенклатура'!A:N,14,0),"")</f>
        <v/>
      </c>
    </row>
    <row r="19">
      <c r="A19" s="98">
        <v>6.0</v>
      </c>
      <c r="B19" s="114"/>
      <c r="C19" s="100" t="str">
        <f>if(B19="","", VLOOKUP(B19,'Номенклатура'!A$3:B997,2,false))</f>
        <v/>
      </c>
      <c r="D19" s="101">
        <v>25.0</v>
      </c>
      <c r="E19" s="102" t="str">
        <f>if(B19="","", VLOOKUP(B19,'Данни'!A:D,4,false))</f>
        <v/>
      </c>
      <c r="F19" s="103" t="str">
        <f>if(B19="","", VLOOKUP(B19,'Данни'!A:D,3,false))</f>
        <v/>
      </c>
      <c r="G19" s="104">
        <f t="shared" si="1"/>
        <v>0</v>
      </c>
      <c r="H19" s="105" t="str">
        <f>IFerror(VLOOKUP(B19,'Номенклатура'!A:F,4,0),"")</f>
        <v/>
      </c>
      <c r="I19" s="106" t="str">
        <f>iferror(VLOOKUP(B19,'Номенклатура'!A:F,5,0),"")</f>
        <v/>
      </c>
      <c r="J19" s="107" t="str">
        <f>iferror(VLOOKUP(B19,'Номенклатура'!A:N,6,0),"")</f>
        <v/>
      </c>
      <c r="K19" s="109" t="str">
        <f>iferror(VLOOKUP(B19,'Номенклатура'!A:N,7,0),"")</f>
        <v/>
      </c>
      <c r="L19" s="109" t="str">
        <f>IFERROR(VLOOKUP(B19,'Номенклатура'!A:N,8,0),"")</f>
        <v/>
      </c>
      <c r="M19" s="109" t="str">
        <f>IFERROR(VLOOKUP(B19,'Номенклатура'!A:N,9,0),"")</f>
        <v/>
      </c>
      <c r="N19" s="109" t="str">
        <f>IFERROR(VLOOKUP(B20,'Номенклатура'!A:N,10,0),"")</f>
        <v/>
      </c>
      <c r="O19" s="109" t="str">
        <f>IFERROR(VLOOKUP(B19,'Номенклатура'!A:N,11,0),"")</f>
        <v/>
      </c>
      <c r="P19" s="109" t="str">
        <f>IFERROR(VLOOKUP(B19,'Номенклатура'!A:N,12,0),"")</f>
        <v/>
      </c>
      <c r="Q19" s="109" t="str">
        <f>IFERROR(VLOOKUP(B19,'Номенклатура'!A:N,13,0),"")</f>
        <v/>
      </c>
      <c r="R19" s="102" t="str">
        <f>IFERROR(VLOOKUP(B19,'Номенклатура'!A:N,14,0),"")</f>
        <v/>
      </c>
    </row>
    <row r="20">
      <c r="A20" s="88">
        <v>7.0</v>
      </c>
      <c r="B20" s="111"/>
      <c r="C20" s="90" t="str">
        <f>if(B20="","", VLOOKUP(B20,'Номенклатура'!A$3:B997,2,false))</f>
        <v/>
      </c>
      <c r="D20" s="112">
        <v>25.0</v>
      </c>
      <c r="E20" s="91" t="str">
        <f>if(B20="","", VLOOKUP(B20,'Данни'!A:D,4,false))</f>
        <v/>
      </c>
      <c r="F20" s="92" t="str">
        <f>if(B20="","", VLOOKUP(B20,'Данни'!A:D,3,false))</f>
        <v/>
      </c>
      <c r="G20" s="93">
        <f t="shared" si="1"/>
        <v>0</v>
      </c>
      <c r="H20" s="94" t="str">
        <f>IFerror(VLOOKUP(B20,'Номенклатура'!A:F,4,0),"")</f>
        <v/>
      </c>
      <c r="I20" s="95" t="str">
        <f>iferror(VLOOKUP(B20,'Номенклатура'!A:F,5,0),"")</f>
        <v/>
      </c>
      <c r="J20" s="96" t="str">
        <f>iferror(VLOOKUP(B20,'Номенклатура'!A:N,6,0),"")</f>
        <v/>
      </c>
      <c r="K20" s="97" t="str">
        <f>iferror(VLOOKUP(B20,'Номенклатура'!A:N,7,0),"")</f>
        <v/>
      </c>
      <c r="L20" s="97" t="str">
        <f>IFERROR(VLOOKUP(B20,'Номенклатура'!A:N,8,0),"")</f>
        <v/>
      </c>
      <c r="M20" s="97" t="str">
        <f>IFERROR(VLOOKUP(B20,'Номенклатура'!A:N,9,0),"")</f>
        <v/>
      </c>
      <c r="N20" s="97" t="str">
        <f>IFERROR(VLOOKUP(B21,'Номенклатура'!A:N,10,0),"")</f>
        <v/>
      </c>
      <c r="O20" s="97" t="str">
        <f>IFERROR(VLOOKUP(B20,'Номенклатура'!A:N,11,0),"")</f>
        <v/>
      </c>
      <c r="P20" s="97" t="str">
        <f>IFERROR(VLOOKUP(B20,'Номенклатура'!A:N,12,0),"")</f>
        <v/>
      </c>
      <c r="Q20" s="97" t="str">
        <f>IFERROR(VLOOKUP(B20,'Номенклатура'!A:N,13,0),"")</f>
        <v/>
      </c>
      <c r="R20" s="91" t="str">
        <f>IFERROR(VLOOKUP(B20,'Номенклатура'!A:N,14,0),"")</f>
        <v/>
      </c>
    </row>
    <row r="21">
      <c r="A21" s="98">
        <v>8.0</v>
      </c>
      <c r="B21" s="99"/>
      <c r="C21" s="100" t="str">
        <f>if(B21="","", VLOOKUP(B21,'Номенклатура'!A$3:B997,2,false))</f>
        <v/>
      </c>
      <c r="D21" s="101">
        <v>60.0</v>
      </c>
      <c r="E21" s="102" t="str">
        <f>if(B21="","", VLOOKUP(B21,'Данни'!A:D,4,false))</f>
        <v/>
      </c>
      <c r="F21" s="103" t="str">
        <f>if(B21="","", VLOOKUP(B21,'Данни'!A:D,3,false))</f>
        <v/>
      </c>
      <c r="G21" s="104">
        <f t="shared" si="1"/>
        <v>0</v>
      </c>
      <c r="H21" s="105" t="str">
        <f>IFerror(VLOOKUP(B21,'Номенклатура'!A:F,4,0),"")</f>
        <v/>
      </c>
      <c r="I21" s="106" t="str">
        <f>iferror(VLOOKUP(B21,'Номенклатура'!A:F,5,0),"")</f>
        <v/>
      </c>
      <c r="J21" s="107" t="str">
        <f>iferror(VLOOKUP(B21,'Номенклатура'!A:N,6,0),"")</f>
        <v/>
      </c>
      <c r="K21" s="109" t="str">
        <f>iferror(VLOOKUP(B21,'Номенклатура'!A:N,7,0),"")</f>
        <v/>
      </c>
      <c r="L21" s="109" t="str">
        <f>IFERROR(VLOOKUP(B21,'Номенклатура'!A:N,8,0),"")</f>
        <v/>
      </c>
      <c r="M21" s="109" t="str">
        <f>IFERROR(VLOOKUP(B21,'Номенклатура'!A:N,9,0),"")</f>
        <v/>
      </c>
      <c r="N21" s="109" t="str">
        <f>IFERROR(VLOOKUP(B22,'Номенклатура'!A:N,10,0),"")</f>
        <v/>
      </c>
      <c r="O21" s="109" t="str">
        <f>IFERROR(VLOOKUP(B21,'Номенклатура'!A:N,11,0),"")</f>
        <v/>
      </c>
      <c r="P21" s="109" t="str">
        <f>IFERROR(VLOOKUP(B21,'Номенклатура'!A:N,12,0),"")</f>
        <v/>
      </c>
      <c r="Q21" s="109" t="str">
        <f>IFERROR(VLOOKUP(B21,'Номенклатура'!A:N,13,0),"")</f>
        <v/>
      </c>
      <c r="R21" s="102" t="str">
        <f>IFERROR(VLOOKUP(B21,'Номенклатура'!A:N,14,0),"")</f>
        <v/>
      </c>
    </row>
    <row r="22">
      <c r="A22" s="88">
        <v>9.0</v>
      </c>
      <c r="B22" s="111"/>
      <c r="C22" s="90" t="str">
        <f>if(B22="","", VLOOKUP(B22,'Номенклатура'!A$3:B997,2,false))</f>
        <v/>
      </c>
      <c r="D22" s="112">
        <v>120.0</v>
      </c>
      <c r="E22" s="91" t="str">
        <f>if(B22="","", VLOOKUP(B22,'Данни'!A:D,4,false))</f>
        <v/>
      </c>
      <c r="F22" s="92" t="str">
        <f>if(B22="","", VLOOKUP(B22,'Данни'!A:D,3,false))</f>
        <v/>
      </c>
      <c r="G22" s="93">
        <f t="shared" si="1"/>
        <v>0</v>
      </c>
      <c r="H22" s="94" t="str">
        <f>IFerror(VLOOKUP(B22,'Номенклатура'!A:F,4,0),"")</f>
        <v/>
      </c>
      <c r="I22" s="95" t="str">
        <f>iferror(VLOOKUP(B22,'Номенклатура'!A:F,5,0),"")</f>
        <v/>
      </c>
      <c r="J22" s="96" t="str">
        <f>iferror(VLOOKUP(B22,'Номенклатура'!A:N,6,0),"")</f>
        <v/>
      </c>
      <c r="K22" s="97" t="str">
        <f>iferror(VLOOKUP(B22,'Номенклатура'!A:N,7,0),"")</f>
        <v/>
      </c>
      <c r="L22" s="97" t="str">
        <f>IFERROR(VLOOKUP(B22,'Номенклатура'!A:N,8,0),"")</f>
        <v/>
      </c>
      <c r="M22" s="97" t="str">
        <f>IFERROR(VLOOKUP(B22,'Номенклатура'!A:N,9,0),"")</f>
        <v/>
      </c>
      <c r="N22" s="97" t="str">
        <f>IFERROR(VLOOKUP(B23,'Номенклатура'!A:N,10,0),"")</f>
        <v/>
      </c>
      <c r="O22" s="97" t="str">
        <f>IFERROR(VLOOKUP(B22,'Номенклатура'!A:N,11,0),"")</f>
        <v/>
      </c>
      <c r="P22" s="97" t="str">
        <f>IFERROR(VLOOKUP(B22,'Номенклатура'!A:N,12,0),"")</f>
        <v/>
      </c>
      <c r="Q22" s="97" t="str">
        <f>IFERROR(VLOOKUP(B22,'Номенклатура'!A:N,13,0),"")</f>
        <v/>
      </c>
      <c r="R22" s="91" t="str">
        <f>IFERROR(VLOOKUP(B22,'Номенклатура'!A:N,14,0),"")</f>
        <v/>
      </c>
    </row>
    <row r="23">
      <c r="A23" s="98">
        <v>10.0</v>
      </c>
      <c r="B23" s="99"/>
      <c r="C23" s="100" t="str">
        <f>if(B23="","", VLOOKUP(B23,'Номенклатура'!A$3:B997,2,false))</f>
        <v/>
      </c>
      <c r="D23" s="101">
        <v>90.0</v>
      </c>
      <c r="E23" s="102" t="str">
        <f>if(B23="","", VLOOKUP(B23,'Данни'!A:D,4,false))</f>
        <v/>
      </c>
      <c r="F23" s="103" t="str">
        <f>if(B23="","", VLOOKUP(B23,'Данни'!A:D,3,false))</f>
        <v/>
      </c>
      <c r="G23" s="104">
        <f t="shared" si="1"/>
        <v>0</v>
      </c>
      <c r="H23" s="105" t="str">
        <f>IFerror(VLOOKUP(B23,'Номенклатура'!A:F,4,0),"")</f>
        <v/>
      </c>
      <c r="I23" s="106" t="str">
        <f>iferror(VLOOKUP(B23,'Номенклатура'!A:F,5,0),"")</f>
        <v/>
      </c>
      <c r="J23" s="107" t="str">
        <f>iferror(VLOOKUP(B23,'Номенклатура'!A:N,6,0),"")</f>
        <v/>
      </c>
      <c r="K23" s="109" t="str">
        <f>iferror(VLOOKUP(B23,'Номенклатура'!A:N,7,0),"")</f>
        <v/>
      </c>
      <c r="L23" s="109" t="str">
        <f>IFERROR(VLOOKUP(B23,'Номенклатура'!A:N,8,0),"")</f>
        <v/>
      </c>
      <c r="M23" s="109" t="str">
        <f>IFERROR(VLOOKUP(B23,'Номенклатура'!A:N,9,0),"")</f>
        <v/>
      </c>
      <c r="N23" s="109" t="str">
        <f>IFERROR(VLOOKUP(B24,'Номенклатура'!A:N,10,0),"")</f>
        <v/>
      </c>
      <c r="O23" s="109" t="str">
        <f>IFERROR(VLOOKUP(B23,'Номенклатура'!A:N,11,0),"")</f>
        <v/>
      </c>
      <c r="P23" s="109" t="str">
        <f>IFERROR(VLOOKUP(B23,'Номенклатура'!A:N,12,0),"")</f>
        <v/>
      </c>
      <c r="Q23" s="109" t="str">
        <f>IFERROR(VLOOKUP(B23,'Номенклатура'!A:N,13,0),"")</f>
        <v/>
      </c>
      <c r="R23" s="102" t="str">
        <f>IFERROR(VLOOKUP(B23,'Номенклатура'!A:N,14,0),"")</f>
        <v/>
      </c>
    </row>
    <row r="24">
      <c r="A24" s="88">
        <v>11.0</v>
      </c>
      <c r="B24" s="111"/>
      <c r="C24" s="90" t="str">
        <f>if(B24="","", VLOOKUP(B24,'Номенклатура'!A$3:B997,2,false))</f>
        <v/>
      </c>
      <c r="D24" s="112">
        <v>25.0</v>
      </c>
      <c r="E24" s="91" t="str">
        <f>if(B24="","", VLOOKUP(B24,'Данни'!A:D,4,false))</f>
        <v/>
      </c>
      <c r="F24" s="92" t="str">
        <f>if(B24="","", VLOOKUP(B24,'Данни'!A:D,3,false))</f>
        <v/>
      </c>
      <c r="G24" s="93">
        <f t="shared" si="1"/>
        <v>0</v>
      </c>
      <c r="H24" s="94" t="str">
        <f>IFerror(VLOOKUP(B24,'Номенклатура'!A:F,4,0),"")</f>
        <v/>
      </c>
      <c r="I24" s="95" t="str">
        <f>iferror(VLOOKUP(B24,'Номенклатура'!A:F,5,0),"")</f>
        <v/>
      </c>
      <c r="J24" s="96" t="str">
        <f>iferror(VLOOKUP(B24,'Номенклатура'!A:N,6,0),"")</f>
        <v/>
      </c>
      <c r="K24" s="97" t="str">
        <f>iferror(VLOOKUP(B24,'Номенклатура'!A:N,7,0),"")</f>
        <v/>
      </c>
      <c r="L24" s="97" t="str">
        <f>IFERROR(VLOOKUP(B24,'Номенклатура'!A:N,8,0),"")</f>
        <v/>
      </c>
      <c r="M24" s="97" t="str">
        <f>IFERROR(VLOOKUP(B24,'Номенклатура'!A:N,9,0),"")</f>
        <v/>
      </c>
      <c r="N24" s="97" t="str">
        <f>IFERROR(VLOOKUP(B25,'Номенклатура'!A:N,10,0),"")</f>
        <v/>
      </c>
      <c r="O24" s="97" t="str">
        <f>IFERROR(VLOOKUP(B24,'Номенклатура'!A:N,11,0),"")</f>
        <v/>
      </c>
      <c r="P24" s="97" t="str">
        <f>IFERROR(VLOOKUP(B24,'Номенклатура'!A:N,12,0),"")</f>
        <v/>
      </c>
      <c r="Q24" s="97" t="str">
        <f>IFERROR(VLOOKUP(B24,'Номенклатура'!A:N,13,0),"")</f>
        <v/>
      </c>
      <c r="R24" s="91" t="str">
        <f>IFERROR(VLOOKUP(B24,'Номенклатура'!A:N,14,0),"")</f>
        <v/>
      </c>
    </row>
    <row r="25">
      <c r="A25" s="98">
        <v>12.0</v>
      </c>
      <c r="B25" s="99"/>
      <c r="C25" s="100" t="str">
        <f>if(B25="","", VLOOKUP(B25,'Номенклатура'!A$3:B997,2,false))</f>
        <v/>
      </c>
      <c r="D25" s="101">
        <v>35.0</v>
      </c>
      <c r="E25" s="102" t="str">
        <f>if(B25="","", VLOOKUP(B25,'Данни'!A:D,4,false))</f>
        <v/>
      </c>
      <c r="F25" s="103" t="str">
        <f>if(B25="","", VLOOKUP(B25,'Данни'!A:D,3,false))</f>
        <v/>
      </c>
      <c r="G25" s="104">
        <f t="shared" si="1"/>
        <v>0</v>
      </c>
      <c r="H25" s="105" t="str">
        <f>IFerror(VLOOKUP(B25,'Номенклатура'!A:F,4,0),"")</f>
        <v/>
      </c>
      <c r="I25" s="106" t="str">
        <f>iferror(VLOOKUP(B25,'Номенклатура'!A:F,5,0),"")</f>
        <v/>
      </c>
      <c r="J25" s="107" t="str">
        <f>iferror(VLOOKUP(B25,'Номенклатура'!A:N,6,0),"")</f>
        <v/>
      </c>
      <c r="K25" s="109" t="str">
        <f>iferror(VLOOKUP(B25,'Номенклатура'!A:N,7,0),"")</f>
        <v/>
      </c>
      <c r="L25" s="109" t="str">
        <f>IFERROR(VLOOKUP(B25,'Номенклатура'!A:N,8,0),"")</f>
        <v/>
      </c>
      <c r="M25" s="109" t="str">
        <f>IFERROR(VLOOKUP(B25,'Номенклатура'!A:N,9,0),"")</f>
        <v/>
      </c>
      <c r="N25" s="109" t="str">
        <f>IFERROR(VLOOKUP(B26,'Номенклатура'!A:N,10,0),"")</f>
        <v/>
      </c>
      <c r="O25" s="109" t="str">
        <f>IFERROR(VLOOKUP(B25,'Номенклатура'!A:N,11,0),"")</f>
        <v/>
      </c>
      <c r="P25" s="109" t="str">
        <f>IFERROR(VLOOKUP(B25,'Номенклатура'!A:N,12,0),"")</f>
        <v/>
      </c>
      <c r="Q25" s="109" t="str">
        <f>IFERROR(VLOOKUP(B25,'Номенклатура'!A:N,13,0),"")</f>
        <v/>
      </c>
      <c r="R25" s="102" t="str">
        <f>IFERROR(VLOOKUP(B25,'Номенклатура'!A:N,14,0),"")</f>
        <v/>
      </c>
    </row>
    <row r="26">
      <c r="A26" s="88">
        <v>13.0</v>
      </c>
      <c r="B26" s="111"/>
      <c r="C26" s="90" t="str">
        <f>if(B26="","", VLOOKUP(B26,'Номенклатура'!A$3:B997,2,false))</f>
        <v/>
      </c>
      <c r="D26" s="112">
        <v>25.0</v>
      </c>
      <c r="E26" s="91" t="str">
        <f>if(B26="","", VLOOKUP(B26,'Данни'!A:D,4,false))</f>
        <v/>
      </c>
      <c r="F26" s="92" t="str">
        <f>if(B26="","", VLOOKUP(B26,'Данни'!A:D,3,false))</f>
        <v/>
      </c>
      <c r="G26" s="93">
        <f t="shared" si="1"/>
        <v>0</v>
      </c>
      <c r="H26" s="94" t="str">
        <f>IFerror(VLOOKUP(B26,'Номенклатура'!A:F,4,0),"")</f>
        <v/>
      </c>
      <c r="I26" s="95" t="str">
        <f>iferror(VLOOKUP(B26,'Номенклатура'!A:F,5,0),"")</f>
        <v/>
      </c>
      <c r="J26" s="96" t="str">
        <f>iferror(VLOOKUP(B26,'Номенклатура'!A:N,6,0),"")</f>
        <v/>
      </c>
      <c r="K26" s="97" t="str">
        <f>iferror(VLOOKUP(B26,'Номенклатура'!A:N,7,0),"")</f>
        <v/>
      </c>
      <c r="L26" s="97" t="str">
        <f>IFERROR(VLOOKUP(B26,'Номенклатура'!A:N,8,0),"")</f>
        <v/>
      </c>
      <c r="M26" s="97" t="str">
        <f>IFERROR(VLOOKUP(B26,'Номенклатура'!A:N,9,0),"")</f>
        <v/>
      </c>
      <c r="N26" s="97" t="str">
        <f>IFERROR(VLOOKUP(B27,'Номенклатура'!A:N,10,0),"")</f>
        <v/>
      </c>
      <c r="O26" s="97" t="str">
        <f>IFERROR(VLOOKUP(B26,'Номенклатура'!A:N,11,0),"")</f>
        <v/>
      </c>
      <c r="P26" s="97" t="str">
        <f>IFERROR(VLOOKUP(B26,'Номенклатура'!A:N,12,0),"")</f>
        <v/>
      </c>
      <c r="Q26" s="97" t="str">
        <f>IFERROR(VLOOKUP(B26,'Номенклатура'!A:N,13,0),"")</f>
        <v/>
      </c>
      <c r="R26" s="91" t="str">
        <f>IFERROR(VLOOKUP(B26,'Номенклатура'!A:N,14,0),"")</f>
        <v/>
      </c>
    </row>
    <row r="27">
      <c r="A27" s="98">
        <v>14.0</v>
      </c>
      <c r="B27" s="99"/>
      <c r="C27" s="100" t="str">
        <f>if(B27="","", VLOOKUP(B27,'Номенклатура'!A$3:B997,2,false))</f>
        <v/>
      </c>
      <c r="D27" s="101">
        <v>20.0</v>
      </c>
      <c r="E27" s="102" t="str">
        <f>if(B27="","", VLOOKUP(B27,'Данни'!A:D,4,false))</f>
        <v/>
      </c>
      <c r="F27" s="103" t="str">
        <f>if(B27="","", VLOOKUP(B27,'Данни'!A:D,3,false))</f>
        <v/>
      </c>
      <c r="G27" s="104">
        <f t="shared" si="1"/>
        <v>0</v>
      </c>
      <c r="H27" s="105" t="str">
        <f>IFerror(VLOOKUP(B27,'Номенклатура'!A:F,4,0),"")</f>
        <v/>
      </c>
      <c r="I27" s="106" t="str">
        <f>iferror(VLOOKUP(B27,'Номенклатура'!A:F,5,0),"")</f>
        <v/>
      </c>
      <c r="J27" s="107" t="str">
        <f>iferror(VLOOKUP(B27,'Номенклатура'!A:N,6,0),"")</f>
        <v/>
      </c>
      <c r="K27" s="109" t="str">
        <f>iferror(VLOOKUP(B27,'Номенклатура'!A:N,7,0),"")</f>
        <v/>
      </c>
      <c r="L27" s="109" t="str">
        <f>IFERROR(VLOOKUP(B27,'Номенклатура'!A:N,8,0),"")</f>
        <v/>
      </c>
      <c r="M27" s="109" t="str">
        <f>IFERROR(VLOOKUP(B27,'Номенклатура'!A:N,9,0),"")</f>
        <v/>
      </c>
      <c r="N27" s="109" t="str">
        <f>IFERROR(VLOOKUP(B28,'Номенклатура'!A:N,10,0),"")</f>
        <v/>
      </c>
      <c r="O27" s="109" t="str">
        <f>IFERROR(VLOOKUP(B27,'Номенклатура'!A:N,11,0),"")</f>
        <v/>
      </c>
      <c r="P27" s="109" t="str">
        <f>IFERROR(VLOOKUP(B27,'Номенклатура'!A:N,12,0),"")</f>
        <v/>
      </c>
      <c r="Q27" s="109" t="str">
        <f>IFERROR(VLOOKUP(B27,'Номенклатура'!A:N,13,0),"")</f>
        <v/>
      </c>
      <c r="R27" s="102" t="str">
        <f>IFERROR(VLOOKUP(B27,'Номенклатура'!A:N,14,0),"")</f>
        <v/>
      </c>
    </row>
    <row r="28">
      <c r="A28" s="88">
        <v>15.0</v>
      </c>
      <c r="B28" s="111"/>
      <c r="C28" s="90" t="str">
        <f>if(B28="","", VLOOKUP(B28,'Номенклатура'!A$3:B997,2,false))</f>
        <v/>
      </c>
      <c r="D28" s="112">
        <v>20.0</v>
      </c>
      <c r="E28" s="91" t="str">
        <f>if(B28="","", VLOOKUP(B28,'Данни'!A:D,4,false))</f>
        <v/>
      </c>
      <c r="F28" s="92" t="str">
        <f>if(B28="","", VLOOKUP(B28,'Данни'!A:D,3,false))</f>
        <v/>
      </c>
      <c r="G28" s="93">
        <f t="shared" si="1"/>
        <v>0</v>
      </c>
      <c r="H28" s="94" t="str">
        <f>IFerror(VLOOKUP(B28,'Номенклатура'!A:F,4,0),"")</f>
        <v/>
      </c>
      <c r="I28" s="95" t="str">
        <f>iferror(VLOOKUP(B28,'Номенклатура'!A:F,5,0),"")</f>
        <v/>
      </c>
      <c r="J28" s="96" t="str">
        <f>iferror(VLOOKUP(B28,'Номенклатура'!A:N,6,0),"")</f>
        <v/>
      </c>
      <c r="K28" s="97" t="str">
        <f>iferror(VLOOKUP(B28,'Номенклатура'!A:N,7,0),"")</f>
        <v/>
      </c>
      <c r="L28" s="97" t="str">
        <f>IFERROR(VLOOKUP(B28,'Номенклатура'!A:N,8,0),"")</f>
        <v/>
      </c>
      <c r="M28" s="97" t="str">
        <f>IFERROR(VLOOKUP(B28,'Номенклатура'!A:N,9,0),"")</f>
        <v/>
      </c>
      <c r="N28" s="97" t="str">
        <f>IFERROR(VLOOKUP(B29,'Номенклатура'!A:N,10,0),"")</f>
        <v/>
      </c>
      <c r="O28" s="97" t="str">
        <f>IFERROR(VLOOKUP(B28,'Номенклатура'!A:N,11,0),"")</f>
        <v/>
      </c>
      <c r="P28" s="97" t="str">
        <f>IFERROR(VLOOKUP(B28,'Номенклатура'!A:N,12,0),"")</f>
        <v/>
      </c>
      <c r="Q28" s="97" t="str">
        <f>IFERROR(VLOOKUP(B28,'Номенклатура'!A:N,13,0),"")</f>
        <v/>
      </c>
      <c r="R28" s="91" t="str">
        <f>IFERROR(VLOOKUP(B28,'Номенклатура'!A:N,14,0),"")</f>
        <v/>
      </c>
    </row>
    <row r="29">
      <c r="A29" s="98">
        <v>16.0</v>
      </c>
      <c r="B29" s="99"/>
      <c r="C29" s="100" t="str">
        <f>if(B29="","", VLOOKUP(B29,'Номенклатура'!A$3:B997,2,false))</f>
        <v/>
      </c>
      <c r="D29" s="101">
        <v>15.0</v>
      </c>
      <c r="E29" s="102" t="str">
        <f>if(B29="","", VLOOKUP(B29,'Данни'!A:D,4,false))</f>
        <v/>
      </c>
      <c r="F29" s="103" t="str">
        <f>if(B29="","", VLOOKUP(B29,'Данни'!A:D,3,false))</f>
        <v/>
      </c>
      <c r="G29" s="104">
        <f t="shared" si="1"/>
        <v>0</v>
      </c>
      <c r="H29" s="105" t="str">
        <f>IFerror(VLOOKUP(B29,'Номенклатура'!A:F,4,0),"")</f>
        <v/>
      </c>
      <c r="I29" s="106" t="str">
        <f>iferror(VLOOKUP(B29,'Номенклатура'!A:F,5,0),"")</f>
        <v/>
      </c>
      <c r="J29" s="107" t="str">
        <f>iferror(VLOOKUP(B29,'Номенклатура'!A:N,6,0),"")</f>
        <v/>
      </c>
      <c r="K29" s="109" t="str">
        <f>iferror(VLOOKUP(B29,'Номенклатура'!A:N,7,0),"")</f>
        <v/>
      </c>
      <c r="L29" s="109" t="str">
        <f>IFERROR(VLOOKUP(B29,'Номенклатура'!A:N,8,0),"")</f>
        <v/>
      </c>
      <c r="M29" s="109" t="str">
        <f>IFERROR(VLOOKUP(B29,'Номенклатура'!A:N,9,0),"")</f>
        <v/>
      </c>
      <c r="N29" s="109" t="str">
        <f>IFERROR(VLOOKUP(B30,'Номенклатура'!A:N,10,0),"")</f>
        <v/>
      </c>
      <c r="O29" s="109" t="str">
        <f>IFERROR(VLOOKUP(B29,'Номенклатура'!A:N,11,0),"")</f>
        <v/>
      </c>
      <c r="P29" s="109" t="str">
        <f>IFERROR(VLOOKUP(B29,'Номенклатура'!A:N,12,0),"")</f>
        <v/>
      </c>
      <c r="Q29" s="109" t="str">
        <f>IFERROR(VLOOKUP(B29,'Номенклатура'!A:N,13,0),"")</f>
        <v/>
      </c>
      <c r="R29" s="102" t="str">
        <f>IFERROR(VLOOKUP(B29,'Номенклатура'!A:N,14,0),"")</f>
        <v/>
      </c>
    </row>
    <row r="30">
      <c r="A30" s="88">
        <v>17.0</v>
      </c>
      <c r="B30" s="111"/>
      <c r="C30" s="90" t="str">
        <f>if(B30="","", VLOOKUP(B30,'Номенклатура'!A$3:B997,2,false))</f>
        <v/>
      </c>
      <c r="D30" s="182"/>
      <c r="E30" s="91" t="str">
        <f>if(B30="","", VLOOKUP(B30,'Данни'!A:D,4,false))</f>
        <v/>
      </c>
      <c r="F30" s="92" t="str">
        <f>if(B30="","", VLOOKUP(B30,'Данни'!A:D,3,false))</f>
        <v/>
      </c>
      <c r="G30" s="93">
        <f t="shared" si="1"/>
        <v>0</v>
      </c>
      <c r="H30" s="94" t="str">
        <f>IFerror(VLOOKUP(B30,'Номенклатура'!A:F,4,0),"")</f>
        <v/>
      </c>
      <c r="I30" s="95" t="str">
        <f>iferror(VLOOKUP(B30,'Номенклатура'!A:F,5,0),"")</f>
        <v/>
      </c>
      <c r="J30" s="96" t="str">
        <f>iferror(VLOOKUP(B30,'Номенклатура'!A:N,6,0),"")</f>
        <v/>
      </c>
      <c r="K30" s="97" t="str">
        <f>iferror(VLOOKUP(B30,'Номенклатура'!A:N,7,0),"")</f>
        <v/>
      </c>
      <c r="L30" s="97" t="str">
        <f>IFERROR(VLOOKUP(B30,'Номенклатура'!A:N,8,0),"")</f>
        <v/>
      </c>
      <c r="M30" s="97" t="str">
        <f>IFERROR(VLOOKUP(B30,'Номенклатура'!A:N,9,0),"")</f>
        <v/>
      </c>
      <c r="N30" s="97" t="str">
        <f>IFERROR(VLOOKUP(B31,'Номенклатура'!A:N,10,0),"")</f>
        <v/>
      </c>
      <c r="O30" s="97" t="str">
        <f>IFERROR(VLOOKUP(B30,'Номенклатура'!A:N,11,0),"")</f>
        <v/>
      </c>
      <c r="P30" s="97" t="str">
        <f>IFERROR(VLOOKUP(B30,'Номенклатура'!A:N,12,0),"")</f>
        <v/>
      </c>
      <c r="Q30" s="97" t="str">
        <f>IFERROR(VLOOKUP(B30,'Номенклатура'!A:N,13,0),"")</f>
        <v/>
      </c>
      <c r="R30" s="91" t="str">
        <f>IFERROR(VLOOKUP(B30,'Номенклатура'!A:N,14,0),"")</f>
        <v/>
      </c>
    </row>
    <row r="31">
      <c r="A31" s="98">
        <v>18.0</v>
      </c>
      <c r="B31" s="99"/>
      <c r="C31" s="100" t="str">
        <f>if(B31="","", VLOOKUP(B31,'Номенклатура'!A$3:B997,2,false))</f>
        <v/>
      </c>
      <c r="D31" s="189"/>
      <c r="E31" s="102" t="str">
        <f>if(B31="","", VLOOKUP(B31,'Данни'!A:D,4,false))</f>
        <v/>
      </c>
      <c r="F31" s="103" t="str">
        <f>if(B31="","", VLOOKUP(B31,'Данни'!A:D,3,false))</f>
        <v/>
      </c>
      <c r="G31" s="104">
        <f t="shared" si="1"/>
        <v>0</v>
      </c>
      <c r="H31" s="105" t="str">
        <f>IFerror(VLOOKUP(B31,'Номенклатура'!A:F,4,0),"")</f>
        <v/>
      </c>
      <c r="I31" s="106" t="str">
        <f>iferror(VLOOKUP(B31,'Номенклатура'!A:F,5,0),"")</f>
        <v/>
      </c>
      <c r="J31" s="107" t="str">
        <f>iferror(VLOOKUP(B31,'Номенклатура'!A:N,6,0),"")</f>
        <v/>
      </c>
      <c r="K31" s="109" t="str">
        <f>iferror(VLOOKUP(B31,'Номенклатура'!A:N,7,0),"")</f>
        <v/>
      </c>
      <c r="L31" s="109" t="str">
        <f>IFERROR(VLOOKUP(B31,'Номенклатура'!A:N,8,0),"")</f>
        <v/>
      </c>
      <c r="M31" s="109" t="str">
        <f>IFERROR(VLOOKUP(B31,'Номенклатура'!A:N,9,0),"")</f>
        <v/>
      </c>
      <c r="N31" s="109" t="str">
        <f>IFERROR(VLOOKUP(B32,'Номенклатура'!A:N,10,0),"")</f>
        <v/>
      </c>
      <c r="O31" s="109" t="str">
        <f>IFERROR(VLOOKUP(B31,'Номенклатура'!A:N,11,0),"")</f>
        <v/>
      </c>
      <c r="P31" s="109" t="str">
        <f>IFERROR(VLOOKUP(B31,'Номенклатура'!A:N,12,0),"")</f>
        <v/>
      </c>
      <c r="Q31" s="109" t="str">
        <f>IFERROR(VLOOKUP(B31,'Номенклатура'!A:N,13,0),"")</f>
        <v/>
      </c>
      <c r="R31" s="102" t="str">
        <f>IFERROR(VLOOKUP(B31,'Номенклатура'!A:N,14,0),"")</f>
        <v/>
      </c>
    </row>
    <row r="32">
      <c r="A32" s="88">
        <v>19.0</v>
      </c>
      <c r="B32" s="111"/>
      <c r="C32" s="90" t="str">
        <f>if(B32="","", VLOOKUP(B32,'Номенклатура'!A$3:B997,2,false))</f>
        <v/>
      </c>
      <c r="D32" s="182"/>
      <c r="E32" s="91" t="str">
        <f>if(B32="","", VLOOKUP(B32,'Данни'!A:D,4,false))</f>
        <v/>
      </c>
      <c r="F32" s="92" t="str">
        <f>if(B32="","", VLOOKUP(B32,'Данни'!A:D,3,false))</f>
        <v/>
      </c>
      <c r="G32" s="93">
        <f t="shared" si="1"/>
        <v>0</v>
      </c>
      <c r="H32" s="94" t="str">
        <f>IFerror(VLOOKUP(B32,'Номенклатура'!A:F,4,0),"")</f>
        <v/>
      </c>
      <c r="I32" s="95" t="str">
        <f>iferror(VLOOKUP(B32,'Номенклатура'!A:F,5,0),"")</f>
        <v/>
      </c>
      <c r="J32" s="96" t="str">
        <f>iferror(VLOOKUP(B32,'Номенклатура'!A:N,6,0),"")</f>
        <v/>
      </c>
      <c r="K32" s="97" t="str">
        <f>iferror(VLOOKUP(B32,'Номенклатура'!A:N,7,0),"")</f>
        <v/>
      </c>
      <c r="L32" s="97" t="str">
        <f>IFERROR(VLOOKUP(B32,'Номенклатура'!A:N,8,0),"")</f>
        <v/>
      </c>
      <c r="M32" s="97" t="str">
        <f>IFERROR(VLOOKUP(B32,'Номенклатура'!A:N,9,0),"")</f>
        <v/>
      </c>
      <c r="N32" s="97" t="str">
        <f>IFERROR(VLOOKUP(B33,'Номенклатура'!A:N,10,0),"")</f>
        <v/>
      </c>
      <c r="O32" s="97" t="str">
        <f>IFERROR(VLOOKUP(B32,'Номенклатура'!A:N,11,0),"")</f>
        <v/>
      </c>
      <c r="P32" s="97" t="str">
        <f>IFERROR(VLOOKUP(B32,'Номенклатура'!A:N,12,0),"")</f>
        <v/>
      </c>
      <c r="Q32" s="97" t="str">
        <f>IFERROR(VLOOKUP(B32,'Номенклатура'!A:N,13,0),"")</f>
        <v/>
      </c>
      <c r="R32" s="91" t="str">
        <f>IFERROR(VLOOKUP(B32,'Номенклатура'!A:N,14,0),"")</f>
        <v/>
      </c>
    </row>
    <row r="33">
      <c r="A33" s="98">
        <v>20.0</v>
      </c>
      <c r="B33" s="99"/>
      <c r="C33" s="100" t="str">
        <f>if(B33="","", VLOOKUP(B33,'Номенклатура'!A$3:B997,2,false))</f>
        <v/>
      </c>
      <c r="D33" s="101"/>
      <c r="E33" s="102" t="str">
        <f>if(B33="","", VLOOKUP(B33,'Данни'!A:D,4,false))</f>
        <v/>
      </c>
      <c r="F33" s="103" t="str">
        <f>if(B33="","", VLOOKUP(B33,'Данни'!A:D,3,false))</f>
        <v/>
      </c>
      <c r="G33" s="104">
        <f t="shared" si="1"/>
        <v>0</v>
      </c>
      <c r="H33" s="105" t="str">
        <f>IFerror(VLOOKUP(B33,'Номенклатура'!A:F,4,0),"")</f>
        <v/>
      </c>
      <c r="I33" s="106" t="str">
        <f>iferror(VLOOKUP(B33,'Номенклатура'!A:F,5,0),"")</f>
        <v/>
      </c>
      <c r="J33" s="107" t="str">
        <f>iferror(VLOOKUP(B33,'Номенклатура'!A:N,6,0),"")</f>
        <v/>
      </c>
      <c r="K33" s="109" t="str">
        <f>iferror(VLOOKUP(B33,'Номенклатура'!A:N,7,0),"")</f>
        <v/>
      </c>
      <c r="L33" s="109" t="str">
        <f>IFERROR(VLOOKUP(B33,'Номенклатура'!A:N,8,0),"")</f>
        <v/>
      </c>
      <c r="M33" s="109" t="str">
        <f>IFERROR(VLOOKUP(B33,'Номенклатура'!A:N,9,0),"")</f>
        <v/>
      </c>
      <c r="N33" s="109" t="str">
        <f>IFERROR(VLOOKUP(B34,'Номенклатура'!A:N,10,0),"")</f>
        <v/>
      </c>
      <c r="O33" s="109" t="str">
        <f>IFERROR(VLOOKUP(B33,'Номенклатура'!A:N,11,0),"")</f>
        <v/>
      </c>
      <c r="P33" s="109" t="str">
        <f>IFERROR(VLOOKUP(B33,'Номенклатура'!A:N,12,0),"")</f>
        <v/>
      </c>
      <c r="Q33" s="109" t="str">
        <f>IFERROR(VLOOKUP(B33,'Номенклатура'!A:N,13,0),"")</f>
        <v/>
      </c>
      <c r="R33" s="102" t="str">
        <f>IFERROR(VLOOKUP(B33,'Номенклатура'!A:N,14,0),"")</f>
        <v/>
      </c>
    </row>
    <row r="34">
      <c r="A34" s="88">
        <v>21.0</v>
      </c>
      <c r="B34" s="111"/>
      <c r="C34" s="90"/>
      <c r="D34" s="182"/>
      <c r="E34" s="91"/>
      <c r="F34" s="92" t="str">
        <f>if(B34="","", VLOOKUP(B34,'Данни'!A:D,3,false))</f>
        <v/>
      </c>
      <c r="G34" s="93">
        <f t="shared" si="1"/>
        <v>0</v>
      </c>
      <c r="H34" s="94" t="str">
        <f>IFerror(VLOOKUP(B34,'Номенклатура'!A:F,4,0),"")</f>
        <v/>
      </c>
      <c r="I34" s="95" t="str">
        <f>iferror(VLOOKUP(B34,'Номенклатура'!A:F,5,0),"")</f>
        <v/>
      </c>
      <c r="J34" s="96" t="str">
        <f>iferror(VLOOKUP(B34,'Номенклатура'!A:N,6,0),"")</f>
        <v/>
      </c>
      <c r="K34" s="97" t="str">
        <f>iferror(VLOOKUP(B34,'Номенклатура'!A:N,7,0),"")</f>
        <v/>
      </c>
      <c r="L34" s="97" t="str">
        <f>IFERROR(VLOOKUP(B34,'Номенклатура'!A:N,8,0),"")</f>
        <v/>
      </c>
      <c r="M34" s="97" t="str">
        <f>IFERROR(VLOOKUP(B34,'Номенклатура'!A:N,9,0),"")</f>
        <v/>
      </c>
      <c r="N34" s="97" t="str">
        <f>IFERROR(VLOOKUP(B35,'Номенклатура'!A:N,10,0),"")</f>
        <v/>
      </c>
      <c r="O34" s="97" t="str">
        <f>IFERROR(VLOOKUP(B34,'Номенклатура'!A:N,11,0),"")</f>
        <v/>
      </c>
      <c r="P34" s="97" t="str">
        <f>IFERROR(VLOOKUP(B34,'Номенклатура'!A:N,12,0),"")</f>
        <v/>
      </c>
      <c r="Q34" s="97" t="str">
        <f>IFERROR(VLOOKUP(B34,'Номенклатура'!A:N,13,0),"")</f>
        <v/>
      </c>
      <c r="R34" s="91" t="str">
        <f>IFERROR(VLOOKUP(B34,'Номенклатура'!A:N,14,0),"")</f>
        <v/>
      </c>
    </row>
    <row r="35">
      <c r="A35" s="98">
        <v>22.0</v>
      </c>
      <c r="B35" s="99"/>
      <c r="C35" s="100"/>
      <c r="D35" s="189"/>
      <c r="E35" s="102" t="str">
        <f>if(B35="","", VLOOKUP(B35,'Данни'!A:D,4,false))</f>
        <v/>
      </c>
      <c r="F35" s="103" t="str">
        <f>if(B35="","", VLOOKUP(B35,'Данни'!A:D,3,false))</f>
        <v/>
      </c>
      <c r="G35" s="104">
        <f t="shared" si="1"/>
        <v>0</v>
      </c>
      <c r="H35" s="105" t="str">
        <f>IFerror(VLOOKUP(B35,'Номенклатура'!A:F,4,0),"")</f>
        <v/>
      </c>
      <c r="I35" s="106" t="str">
        <f>iferror(VLOOKUP(B35,'Номенклатура'!A:F,5,0),"")</f>
        <v/>
      </c>
      <c r="J35" s="107" t="str">
        <f>iferror(VLOOKUP(B35,'Номенклатура'!A:N,6,0),"")</f>
        <v/>
      </c>
      <c r="K35" s="109" t="str">
        <f>iferror(VLOOKUP(B35,'Номенклатура'!A:N,7,0),"")</f>
        <v/>
      </c>
      <c r="L35" s="109" t="str">
        <f>IFERROR(VLOOKUP(B35,'Номенклатура'!A:N,8,0),"")</f>
        <v/>
      </c>
      <c r="M35" s="109" t="str">
        <f>IFERROR(VLOOKUP(B35,'Номенклатура'!A:N,9,0),"")</f>
        <v/>
      </c>
      <c r="N35" s="109" t="str">
        <f>IFERROR(VLOOKUP(B36,'Номенклатура'!A:N,10,0),"")</f>
        <v/>
      </c>
      <c r="O35" s="109" t="str">
        <f>IFERROR(VLOOKUP(B35,'Номенклатура'!A:N,11,0),"")</f>
        <v/>
      </c>
      <c r="P35" s="109" t="str">
        <f>IFERROR(VLOOKUP(B35,'Номенклатура'!A:N,12,0),"")</f>
        <v/>
      </c>
      <c r="Q35" s="109" t="str">
        <f>IFERROR(VLOOKUP(B35,'Номенклатура'!A:N,13,0),"")</f>
        <v/>
      </c>
      <c r="R35" s="102" t="str">
        <f>IFERROR(VLOOKUP(B35,'Номенклатура'!A:N,14,0),"")</f>
        <v/>
      </c>
    </row>
    <row r="36">
      <c r="A36" s="88">
        <v>23.0</v>
      </c>
      <c r="B36" s="111"/>
      <c r="C36" s="90"/>
      <c r="D36" s="182"/>
      <c r="E36" s="91" t="str">
        <f>if(B36="","", VLOOKUP(B36,'Данни'!A:D,4,false))</f>
        <v/>
      </c>
      <c r="F36" s="92" t="str">
        <f>if(B36="","", VLOOKUP(B36,'Данни'!A:D,3,false))</f>
        <v/>
      </c>
      <c r="G36" s="93">
        <f t="shared" si="1"/>
        <v>0</v>
      </c>
      <c r="H36" s="94" t="str">
        <f>IFerror(VLOOKUP(B36,'Номенклатура'!A:F,4,0),"")</f>
        <v/>
      </c>
      <c r="I36" s="95" t="str">
        <f>iferror(VLOOKUP(B36,'Номенклатура'!A:F,5,0),"")</f>
        <v/>
      </c>
      <c r="J36" s="96" t="str">
        <f>iferror(VLOOKUP(B36,'Номенклатура'!A:N,6,0),"")</f>
        <v/>
      </c>
      <c r="K36" s="97" t="str">
        <f>iferror(VLOOKUP(B36,'Номенклатура'!A:N,7,0),"")</f>
        <v/>
      </c>
      <c r="L36" s="97" t="str">
        <f>IFERROR(VLOOKUP(B36,'Номенклатура'!A:N,8,0),"")</f>
        <v/>
      </c>
      <c r="M36" s="97" t="str">
        <f>IFERROR(VLOOKUP(B36,'Номенклатура'!A:N,9,0),"")</f>
        <v/>
      </c>
      <c r="N36" s="97" t="str">
        <f>IFERROR(VLOOKUP(B39,'Номенклатура'!A:N,10,0),"")</f>
        <v/>
      </c>
      <c r="O36" s="97" t="str">
        <f>IFERROR(VLOOKUP(B36,'Номенклатура'!A:N,11,0),"")</f>
        <v/>
      </c>
      <c r="P36" s="97" t="str">
        <f>IFERROR(VLOOKUP(B36,'Номенклатура'!A:N,12,0),"")</f>
        <v/>
      </c>
      <c r="Q36" s="97" t="str">
        <f>IFERROR(VLOOKUP(B36,'Номенклатура'!A:N,13,0),"")</f>
        <v/>
      </c>
      <c r="R36" s="91" t="str">
        <f>IFERROR(VLOOKUP(B36,'Номенклатура'!A:N,14,0),"")</f>
        <v/>
      </c>
    </row>
    <row r="37">
      <c r="A37" s="98">
        <v>24.0</v>
      </c>
      <c r="B37" s="99"/>
      <c r="C37" s="100"/>
      <c r="D37" s="189"/>
      <c r="E37" s="102" t="str">
        <f>if(B39="","", VLOOKUP(B39,'Данни'!A:D,4,false))</f>
        <v/>
      </c>
      <c r="F37" s="103" t="str">
        <f>if(B39="","", VLOOKUP(B39,'Данни'!A:D,3,false))</f>
        <v/>
      </c>
      <c r="G37" s="104">
        <f t="shared" si="1"/>
        <v>0</v>
      </c>
      <c r="H37" s="105" t="str">
        <f>IFerror(VLOOKUP(B39,'Номенклатура'!A:F,4,0),"")</f>
        <v/>
      </c>
      <c r="I37" s="106" t="str">
        <f>iferror(VLOOKUP(B39,'Номенклатура'!A:F,5,0),"")</f>
        <v/>
      </c>
      <c r="J37" s="107" t="str">
        <f>iferror(VLOOKUP(B39,'Номенклатура'!A:N,6,0),"")</f>
        <v/>
      </c>
      <c r="K37" s="109" t="str">
        <f>iferror(VLOOKUP(B39,'Номенклатура'!A:N,7,0),"")</f>
        <v/>
      </c>
      <c r="L37" s="109" t="str">
        <f>IFERROR(VLOOKUP(B39,'Номенклатура'!A:N,8,0),"")</f>
        <v/>
      </c>
      <c r="M37" s="109" t="str">
        <f>IFERROR(VLOOKUP(B39,'Номенклатура'!A:N,9,0),"")</f>
        <v/>
      </c>
      <c r="N37" s="109" t="str">
        <f>IFERROR(VLOOKUP(B40,'Номенклатура'!A:N,10,0),"")</f>
        <v/>
      </c>
      <c r="O37" s="109" t="str">
        <f>IFERROR(VLOOKUP(B39,'Номенклатура'!A:N,11,0),"")</f>
        <v/>
      </c>
      <c r="P37" s="109" t="str">
        <f>IFERROR(VLOOKUP(B39,'Номенклатура'!A:N,12,0),"")</f>
        <v/>
      </c>
      <c r="Q37" s="109" t="str">
        <f>IFERROR(VLOOKUP(B39,'Номенклатура'!A:N,13,0),"")</f>
        <v/>
      </c>
      <c r="R37" s="102" t="str">
        <f>IFERROR(VLOOKUP(B39,'Номенклатура'!A:N,14,0),"")</f>
        <v/>
      </c>
    </row>
    <row r="38">
      <c r="A38" s="88"/>
      <c r="B38" s="111"/>
      <c r="C38" s="90"/>
      <c r="D38" s="182"/>
      <c r="E38" s="91" t="str">
        <f>if(B40="","", VLOOKUP(B40,'Данни'!A:D,4,false))</f>
        <v/>
      </c>
      <c r="F38" s="92" t="str">
        <f>if(B40="","", VLOOKUP(B40,'Данни'!A:D,3,false))</f>
        <v/>
      </c>
      <c r="G38" s="93">
        <f t="shared" si="1"/>
        <v>0</v>
      </c>
      <c r="H38" s="94" t="str">
        <f>IFerror(VLOOKUP(B40,'Номенклатура'!A:F,4,0),"")</f>
        <v/>
      </c>
      <c r="I38" s="95" t="str">
        <f>iferror(VLOOKUP(B40,'Номенклатура'!A:F,5,0),"")</f>
        <v/>
      </c>
      <c r="J38" s="96" t="str">
        <f>iferror(VLOOKUP(B40,'Номенклатура'!A:N,6,0),"")</f>
        <v/>
      </c>
      <c r="K38" s="97" t="str">
        <f>iferror(VLOOKUP(B40,'Номенклатура'!A:N,7,0),"")</f>
        <v/>
      </c>
      <c r="L38" s="97" t="str">
        <f>IFERROR(VLOOKUP(B40,'Номенклатура'!A:N,8,0),"")</f>
        <v/>
      </c>
      <c r="M38" s="97" t="str">
        <f>IFERROR(VLOOKUP(B40,'Номенклатура'!A:N,9,0),"")</f>
        <v/>
      </c>
      <c r="N38" s="97" t="str">
        <f>IFERROR(VLOOKUP(B41,'Номенклатура'!A:N,10,0),"")</f>
        <v/>
      </c>
      <c r="O38" s="97" t="str">
        <f>IFERROR(VLOOKUP(B40,'Номенклатура'!A:N,11,0),"")</f>
        <v/>
      </c>
      <c r="P38" s="97" t="str">
        <f>IFERROR(VLOOKUP(B40,'Номенклатура'!A:N,12,0),"")</f>
        <v/>
      </c>
      <c r="Q38" s="97" t="str">
        <f>IFERROR(VLOOKUP(B40,'Номенклатура'!A:N,13,0),"")</f>
        <v/>
      </c>
      <c r="R38" s="91" t="str">
        <f>IFERROR(VLOOKUP(B40,'Номенклатура'!A:N,14,0),"")</f>
        <v/>
      </c>
    </row>
    <row r="39">
      <c r="A39" s="98"/>
      <c r="B39" s="180"/>
      <c r="C39" s="100"/>
      <c r="D39" s="191"/>
      <c r="E39" s="102" t="str">
        <f>if(B41="","", VLOOKUP(B41,'Данни'!A:D,4,false))</f>
        <v/>
      </c>
      <c r="F39" s="103" t="str">
        <f>if(B41="","", VLOOKUP(B41,'Данни'!A:D,3,false))</f>
        <v/>
      </c>
      <c r="G39" s="104">
        <f t="shared" si="1"/>
        <v>0</v>
      </c>
      <c r="H39" s="105" t="str">
        <f>IFerror(VLOOKUP(B41,'Номенклатура'!A:F,4,0),"")</f>
        <v/>
      </c>
      <c r="I39" s="106" t="str">
        <f>iferror(VLOOKUP(B41,'Номенклатура'!A:F,5,0),"")</f>
        <v/>
      </c>
      <c r="J39" s="107" t="str">
        <f>iferror(VLOOKUP(B41,'Номенклатура'!A:N,6,0),"")</f>
        <v/>
      </c>
      <c r="K39" s="109" t="str">
        <f>iferror(VLOOKUP(B41,'Номенклатура'!A:N,7,0),"")</f>
        <v/>
      </c>
      <c r="L39" s="109" t="str">
        <f>IFERROR(VLOOKUP(B41,'Номенклатура'!A:N,8,0),"")</f>
        <v/>
      </c>
      <c r="M39" s="109" t="str">
        <f>IFERROR(VLOOKUP(B41,'Номенклатура'!A:N,9,0),"")</f>
        <v/>
      </c>
      <c r="N39" s="109" t="str">
        <f>IFERROR(VLOOKUP(B42,'Номенклатура'!A:N,10,0),"")</f>
        <v/>
      </c>
      <c r="O39" s="109" t="str">
        <f>IFERROR(VLOOKUP(B41,'Номенклатура'!A:N,11,0),"")</f>
        <v/>
      </c>
      <c r="P39" s="109" t="str">
        <f>IFERROR(VLOOKUP(B41,'Номенклатура'!A:N,12,0),"")</f>
        <v/>
      </c>
      <c r="Q39" s="109" t="str">
        <f>IFERROR(VLOOKUP(B41,'Номенклатура'!A:N,13,0),"")</f>
        <v/>
      </c>
      <c r="R39" s="102" t="str">
        <f>IFERROR(VLOOKUP(B41,'Номенклатура'!A:N,14,0),"")</f>
        <v/>
      </c>
    </row>
    <row r="40">
      <c r="A40" s="88">
        <v>27.0</v>
      </c>
      <c r="B40" s="193"/>
      <c r="C40" s="90"/>
      <c r="D40" s="177"/>
      <c r="E40" s="91"/>
      <c r="F40" s="92"/>
      <c r="G40" s="93"/>
      <c r="H40" s="94" t="str">
        <f>IFerror(VLOOKUP(B42,'Номенклатура'!A:F,4,0),"")</f>
        <v/>
      </c>
      <c r="I40" s="95" t="str">
        <f>iferror(VLOOKUP(B42,'Номенклатура'!A:F,5,0),"")</f>
        <v/>
      </c>
      <c r="J40" s="96" t="str">
        <f>iferror(VLOOKUP(B42,'Номенклатура'!A:N,6,0),"")</f>
        <v/>
      </c>
      <c r="K40" s="97" t="str">
        <f>iferror(VLOOKUP(B42,'Номенклатура'!A:N,7,0),"")</f>
        <v/>
      </c>
      <c r="L40" s="97" t="str">
        <f>IFERROR(VLOOKUP(B42,'Номенклатура'!A:N,8,0),"")</f>
        <v/>
      </c>
      <c r="M40" s="97" t="str">
        <f>IFERROR(VLOOKUP(B42,'Номенклатура'!A:N,9,0),"")</f>
        <v/>
      </c>
      <c r="N40" s="97" t="str">
        <f>IFERROR(VLOOKUP(B43,'Номенклатура'!A:N,10,0),"")</f>
        <v/>
      </c>
      <c r="O40" s="97" t="str">
        <f>IFERROR(VLOOKUP(B42,'Номенклатура'!A:N,11,0),"")</f>
        <v/>
      </c>
      <c r="P40" s="97" t="str">
        <f>IFERROR(VLOOKUP(B42,'Номенклатура'!A:N,12,0),"")</f>
        <v/>
      </c>
      <c r="Q40" s="97" t="str">
        <f>IFERROR(VLOOKUP(B42,'Номенклатура'!A:N,13,0),"")</f>
        <v/>
      </c>
      <c r="R40" s="91" t="str">
        <f>IFERROR(VLOOKUP(B42,'Номенклатура'!A:N,14,0),"")</f>
        <v/>
      </c>
    </row>
    <row r="41">
      <c r="A41" s="98">
        <v>28.0</v>
      </c>
      <c r="B41" s="99"/>
      <c r="C41" s="100"/>
      <c r="D41" s="191"/>
      <c r="E41" s="102"/>
      <c r="F41" s="103"/>
      <c r="G41" s="104"/>
      <c r="H41" s="105" t="str">
        <f>IFerror(VLOOKUP(B43,'Номенклатура'!A:F,4,0),"")</f>
        <v/>
      </c>
      <c r="I41" s="106" t="str">
        <f>iferror(VLOOKUP(B43,'Номенклатура'!A:F,5,0),"")</f>
        <v/>
      </c>
      <c r="J41" s="107" t="str">
        <f>iferror(VLOOKUP(B43,'Номенклатура'!A:N,6,0),"")</f>
        <v/>
      </c>
      <c r="K41" s="109" t="str">
        <f>iferror(VLOOKUP(B43,'Номенклатура'!A:N,7,0),"")</f>
        <v/>
      </c>
      <c r="L41" s="109" t="str">
        <f>IFERROR(VLOOKUP(B43,'Номенклатура'!A:N,8,0),"")</f>
        <v/>
      </c>
      <c r="M41" s="109" t="str">
        <f>IFERROR(VLOOKUP(B43,'Номенклатура'!A:N,9,0),"")</f>
        <v/>
      </c>
      <c r="N41" s="109" t="str">
        <f>IFERROR(VLOOKUP(B44,'Номенклатура'!A:N,10,0),"")</f>
        <v/>
      </c>
      <c r="O41" s="109" t="str">
        <f>IFERROR(VLOOKUP(B43,'Номенклатура'!A:N,11,0),"")</f>
        <v/>
      </c>
      <c r="P41" s="109" t="str">
        <f>IFERROR(VLOOKUP(B43,'Номенклатура'!A:N,12,0),"")</f>
        <v/>
      </c>
      <c r="Q41" s="109" t="str">
        <f>IFERROR(VLOOKUP(B43,'Номенклатура'!A:N,13,0),"")</f>
        <v/>
      </c>
      <c r="R41" s="102" t="str">
        <f>IFERROR(VLOOKUP(B43,'Номенклатура'!A:N,14,0),"")</f>
        <v/>
      </c>
    </row>
    <row r="42">
      <c r="A42" s="88">
        <v>29.0</v>
      </c>
      <c r="B42" s="111"/>
      <c r="C42" s="90"/>
      <c r="D42" s="177"/>
      <c r="E42" s="91"/>
      <c r="F42" s="92"/>
      <c r="G42" s="93"/>
      <c r="H42" s="94" t="str">
        <f>IFerror(VLOOKUP(B44,'Номенклатура'!A:F,4,0),"")</f>
        <v/>
      </c>
      <c r="I42" s="95" t="str">
        <f>iferror(VLOOKUP(B44,'Номенклатура'!A:F,5,0),"")</f>
        <v/>
      </c>
      <c r="J42" s="96" t="str">
        <f>iferror(VLOOKUP(B44,'Номенклатура'!A:N,6,0),"")</f>
        <v/>
      </c>
      <c r="K42" s="97" t="str">
        <f>iferror(VLOOKUP(B44,'Номенклатура'!A:N,7,0),"")</f>
        <v/>
      </c>
      <c r="L42" s="97" t="str">
        <f>IFERROR(VLOOKUP(B44,'Номенклатура'!A:N,8,0),"")</f>
        <v/>
      </c>
      <c r="M42" s="97" t="str">
        <f>IFERROR(VLOOKUP(B44,'Номенклатура'!A:N,9,0),"")</f>
        <v/>
      </c>
      <c r="N42" s="97" t="str">
        <f>IFERROR(VLOOKUP(B45,'Номенклатура'!A:N,10,0),"")</f>
        <v/>
      </c>
      <c r="O42" s="97" t="str">
        <f>IFERROR(VLOOKUP(B44,'Номенклатура'!A:N,11,0),"")</f>
        <v/>
      </c>
      <c r="P42" s="97" t="str">
        <f>IFERROR(VLOOKUP(B44,'Номенклатура'!A:N,12,0),"")</f>
        <v/>
      </c>
      <c r="Q42" s="97" t="str">
        <f>IFERROR(VLOOKUP(B44,'Номенклатура'!A:N,13,0),"")</f>
        <v/>
      </c>
      <c r="R42" s="91" t="str">
        <f>IFERROR(VLOOKUP(B44,'Номенклатура'!A:N,14,0),"")</f>
        <v/>
      </c>
    </row>
    <row r="43">
      <c r="A43" s="98">
        <v>30.0</v>
      </c>
      <c r="B43" s="199"/>
      <c r="C43" s="100"/>
      <c r="D43" s="191"/>
      <c r="E43" s="102"/>
      <c r="F43" s="103"/>
      <c r="G43" s="104"/>
      <c r="H43" s="105" t="str">
        <f>IFerror(VLOOKUP(B45,'Номенклатура'!A:F,4,0),"")</f>
        <v/>
      </c>
      <c r="I43" s="106" t="str">
        <f>iferror(VLOOKUP(B45,'Номенклатура'!A:F,5,0),"")</f>
        <v/>
      </c>
      <c r="J43" s="107" t="str">
        <f>iferror(VLOOKUP(B45,'Номенклатура'!A:N,6,0),"")</f>
        <v/>
      </c>
      <c r="K43" s="109" t="str">
        <f>iferror(VLOOKUP(B45,'Номенклатура'!A:N,7,0),"")</f>
        <v/>
      </c>
      <c r="L43" s="109" t="str">
        <f>IFERROR(VLOOKUP(B45,'Номенклатура'!A:N,8,0),"")</f>
        <v/>
      </c>
      <c r="M43" s="109" t="str">
        <f>IFERROR(VLOOKUP(B45,'Номенклатура'!A:N,9,0),"")</f>
        <v/>
      </c>
      <c r="N43" s="109" t="str">
        <f>IFERROR(VLOOKUP(B46,'Номенклатура'!A:N,10,0),"")</f>
        <v/>
      </c>
      <c r="O43" s="109" t="str">
        <f>IFERROR(VLOOKUP(B45,'Номенклатура'!A:N,11,0),"")</f>
        <v/>
      </c>
      <c r="P43" s="109" t="str">
        <f>IFERROR(VLOOKUP(B45,'Номенклатура'!A:N,12,0),"")</f>
        <v/>
      </c>
      <c r="Q43" s="109" t="str">
        <f>IFERROR(VLOOKUP(B45,'Номенклатура'!A:N,13,0),"")</f>
        <v/>
      </c>
      <c r="R43" s="102" t="str">
        <f>IFERROR(VLOOKUP(B45,'Номенклатура'!A:N,14,0),"")</f>
        <v/>
      </c>
    </row>
    <row r="44">
      <c r="A44" s="88">
        <v>31.0</v>
      </c>
      <c r="B44" s="200"/>
      <c r="C44" s="90"/>
      <c r="D44" s="177"/>
      <c r="E44" s="91"/>
      <c r="F44" s="92"/>
      <c r="G44" s="93"/>
      <c r="H44" s="94" t="str">
        <f>IFerror(VLOOKUP(B46,'Номенклатура'!A:F,4,0),"")</f>
        <v/>
      </c>
      <c r="I44" s="95" t="str">
        <f>iferror(VLOOKUP(B46,'Номенклатура'!A:F,5,0),"")</f>
        <v/>
      </c>
      <c r="J44" s="96" t="str">
        <f>iferror(VLOOKUP(B46,'Номенклатура'!A:N,6,0),"")</f>
        <v/>
      </c>
      <c r="K44" s="97" t="str">
        <f>iferror(VLOOKUP(B46,'Номенклатура'!A:N,7,0),"")</f>
        <v/>
      </c>
      <c r="L44" s="97" t="str">
        <f>IFERROR(VLOOKUP(B46,'Номенклатура'!A:N,8,0),"")</f>
        <v/>
      </c>
      <c r="M44" s="97" t="str">
        <f>IFERROR(VLOOKUP(B46,'Номенклатура'!A:N,9,0),"")</f>
        <v/>
      </c>
      <c r="N44" s="97" t="str">
        <f>IFERROR(VLOOKUP(B47,'Номенклатура'!A:N,10,0),"")</f>
        <v/>
      </c>
      <c r="O44" s="97" t="str">
        <f>IFERROR(VLOOKUP(B46,'Номенклатура'!A:N,11,0),"")</f>
        <v/>
      </c>
      <c r="P44" s="97" t="str">
        <f>IFERROR(VLOOKUP(B46,'Номенклатура'!A:N,12,0),"")</f>
        <v/>
      </c>
      <c r="Q44" s="97" t="str">
        <f>IFERROR(VLOOKUP(B46,'Номенклатура'!A:N,13,0),"")</f>
        <v/>
      </c>
      <c r="R44" s="91" t="str">
        <f>IFERROR(VLOOKUP(B46,'Номенклатура'!A:N,14,0),"")</f>
        <v/>
      </c>
    </row>
    <row r="45">
      <c r="A45" s="98">
        <v>32.0</v>
      </c>
      <c r="B45" s="201"/>
      <c r="C45" s="100"/>
      <c r="D45" s="191"/>
      <c r="E45" s="102"/>
      <c r="F45" s="103"/>
      <c r="G45" s="104"/>
      <c r="H45" s="105" t="str">
        <f>IFerror(VLOOKUP(B47,'Номенклатура'!A:F,4,0),"")</f>
        <v/>
      </c>
      <c r="I45" s="106" t="str">
        <f>iferror(VLOOKUP(B47,'Номенклатура'!A:F,5,0),"")</f>
        <v/>
      </c>
      <c r="J45" s="107" t="str">
        <f>iferror(VLOOKUP(B47,'Номенклатура'!A:N,6,0),"")</f>
        <v/>
      </c>
      <c r="K45" s="109" t="str">
        <f>iferror(VLOOKUP(B47,'Номенклатура'!A:N,7,0),"")</f>
        <v/>
      </c>
      <c r="L45" s="109" t="str">
        <f>IFERROR(VLOOKUP(B47,'Номенклатура'!A:N,8,0),"")</f>
        <v/>
      </c>
      <c r="M45" s="109" t="str">
        <f>IFERROR(VLOOKUP(B47,'Номенклатура'!A:N,9,0),"")</f>
        <v/>
      </c>
      <c r="N45" s="109" t="str">
        <f>IFERROR(VLOOKUP(B48,'Номенклатура'!A:N,10,0),"")</f>
        <v/>
      </c>
      <c r="O45" s="109" t="str">
        <f>IFERROR(VLOOKUP(B47,'Номенклатура'!A:N,11,0),"")</f>
        <v/>
      </c>
      <c r="P45" s="109" t="str">
        <f>IFERROR(VLOOKUP(B47,'Номенклатура'!A:N,12,0),"")</f>
        <v/>
      </c>
      <c r="Q45" s="109" t="str">
        <f>IFERROR(VLOOKUP(B47,'Номенклатура'!A:N,13,0),"")</f>
        <v/>
      </c>
      <c r="R45" s="102" t="str">
        <f>IFERROR(VLOOKUP(B47,'Номенклатура'!A:N,14,0),"")</f>
        <v/>
      </c>
    </row>
    <row r="46">
      <c r="A46" s="88">
        <v>33.0</v>
      </c>
      <c r="B46" s="202"/>
      <c r="C46" s="90"/>
      <c r="D46" s="177"/>
      <c r="E46" s="91"/>
      <c r="F46" s="92"/>
      <c r="G46" s="93"/>
      <c r="H46" s="94" t="str">
        <f>IFerror(VLOOKUP(B48,'Номенклатура'!A:F,4,0),"")</f>
        <v/>
      </c>
      <c r="I46" s="95" t="str">
        <f>iferror(VLOOKUP(B48,'Номенклатура'!A:F,5,0),"")</f>
        <v/>
      </c>
      <c r="J46" s="96" t="str">
        <f>iferror(VLOOKUP(B48,'Номенклатура'!A:N,6,0),"")</f>
        <v/>
      </c>
      <c r="K46" s="97" t="str">
        <f>iferror(VLOOKUP(B48,'Номенклатура'!A:N,7,0),"")</f>
        <v/>
      </c>
      <c r="L46" s="97" t="str">
        <f>IFERROR(VLOOKUP(B48,'Номенклатура'!A:N,8,0),"")</f>
        <v/>
      </c>
      <c r="M46" s="97" t="str">
        <f>IFERROR(VLOOKUP(B48,'Номенклатура'!A:N,9,0),"")</f>
        <v/>
      </c>
      <c r="N46" s="97" t="str">
        <f>IFERROR(VLOOKUP(B49,'Номенклатура'!A:N,10,0),"")</f>
        <v/>
      </c>
      <c r="O46" s="97" t="str">
        <f>IFERROR(VLOOKUP(B48,'Номенклатура'!A:N,11,0),"")</f>
        <v/>
      </c>
      <c r="P46" s="97" t="str">
        <f>IFERROR(VLOOKUP(B48,'Номенклатура'!A:N,12,0),"")</f>
        <v/>
      </c>
      <c r="Q46" s="97" t="str">
        <f>IFERROR(VLOOKUP(B48,'Номенклатура'!A:N,13,0),"")</f>
        <v/>
      </c>
      <c r="R46" s="91" t="str">
        <f>IFERROR(VLOOKUP(B48,'Номенклатура'!A:N,14,0),"")</f>
        <v/>
      </c>
    </row>
    <row r="47">
      <c r="A47" s="98">
        <v>34.0</v>
      </c>
      <c r="B47" s="201"/>
      <c r="C47" s="100"/>
      <c r="D47" s="191"/>
      <c r="E47" s="102"/>
      <c r="F47" s="103"/>
      <c r="G47" s="104"/>
      <c r="H47" s="105" t="str">
        <f>IFerror(VLOOKUP(B49,'Номенклатура'!A:F,4,0),"")</f>
        <v/>
      </c>
      <c r="I47" s="106" t="str">
        <f>iferror(VLOOKUP(B49,'Номенклатура'!A:F,5,0),"")</f>
        <v/>
      </c>
      <c r="J47" s="107" t="str">
        <f>iferror(VLOOKUP(B49,'Номенклатура'!A:N,6,0),"")</f>
        <v/>
      </c>
      <c r="K47" s="109" t="str">
        <f>iferror(VLOOKUP(B49,'Номенклатура'!A:N,7,0),"")</f>
        <v/>
      </c>
      <c r="L47" s="109" t="str">
        <f>IFERROR(VLOOKUP(B49,'Номенклатура'!A:N,8,0),"")</f>
        <v/>
      </c>
      <c r="M47" s="109" t="str">
        <f>IFERROR(VLOOKUP(B49,'Номенклатура'!A:N,9,0),"")</f>
        <v/>
      </c>
      <c r="N47" s="109" t="str">
        <f>IFERROR(VLOOKUP(#REF!,'Номенклатура'!A:N,10,0),"")</f>
        <v/>
      </c>
      <c r="O47" s="109" t="str">
        <f>IFERROR(VLOOKUP(B49,'Номенклатура'!A:N,11,0),"")</f>
        <v/>
      </c>
      <c r="P47" s="109" t="str">
        <f>IFERROR(VLOOKUP(B49,'Номенклатура'!A:N,12,0),"")</f>
        <v/>
      </c>
      <c r="Q47" s="109" t="str">
        <f>IFERROR(VLOOKUP(B49,'Номенклатура'!A:N,13,0),"")</f>
        <v/>
      </c>
      <c r="R47" s="102" t="str">
        <f>IFERROR(VLOOKUP(B49,'Номенклатура'!A:N,14,0),"")</f>
        <v/>
      </c>
    </row>
    <row r="48">
      <c r="A48" s="88">
        <v>35.0</v>
      </c>
      <c r="B48" s="202"/>
      <c r="C48" s="90"/>
      <c r="D48" s="177"/>
      <c r="E48" s="91"/>
      <c r="F48" s="92"/>
      <c r="G48" s="93"/>
      <c r="H48" s="94" t="str">
        <f>IFerror(VLOOKUP(#REF!,'Номенклатура'!A:F,4,0),"")</f>
        <v/>
      </c>
      <c r="I48" s="95" t="str">
        <f>iferror(VLOOKUP(#REF!,'Номенклатура'!A:F,5,0),"")</f>
        <v/>
      </c>
      <c r="J48" s="96" t="str">
        <f>iferror(VLOOKUP(#REF!,'Номенклатура'!A:N,6,0),"")</f>
        <v/>
      </c>
      <c r="K48" s="97" t="str">
        <f>iferror(VLOOKUP(#REF!,'Номенклатура'!A:N,7,0),"")</f>
        <v/>
      </c>
      <c r="L48" s="97" t="str">
        <f>IFERROR(VLOOKUP(#REF!,'Номенклатура'!A:N,8,0),"")</f>
        <v/>
      </c>
      <c r="M48" s="97" t="str">
        <f>IFERROR(VLOOKUP(#REF!,'Номенклатура'!A:N,9,0),"")</f>
        <v/>
      </c>
      <c r="N48" s="97" t="str">
        <f>IFERROR(VLOOKUP(#REF!,'Номенклатура'!A:N,10,0),"")</f>
        <v/>
      </c>
      <c r="O48" s="97" t="str">
        <f>IFERROR(VLOOKUP(#REF!,'Номенклатура'!A:N,11,0),"")</f>
        <v/>
      </c>
      <c r="P48" s="97" t="str">
        <f>IFERROR(VLOOKUP(#REF!,'Номенклатура'!A:N,12,0),"")</f>
        <v/>
      </c>
      <c r="Q48" s="97" t="str">
        <f>IFERROR(VLOOKUP(#REF!,'Номенклатура'!A:N,13,0),"")</f>
        <v/>
      </c>
      <c r="R48" s="91" t="str">
        <f>IFERROR(VLOOKUP(#REF!,'Номенклатура'!A:N,14,0),"")</f>
        <v/>
      </c>
    </row>
    <row r="49">
      <c r="A49" s="98">
        <v>36.0</v>
      </c>
      <c r="B49" s="201"/>
      <c r="C49" s="100"/>
      <c r="D49" s="191"/>
      <c r="E49" s="102"/>
      <c r="F49" s="103"/>
      <c r="G49" s="104"/>
      <c r="H49" s="105" t="str">
        <f>IFerror(VLOOKUP(#REF!,'Номенклатура'!A:F,4,0),"")</f>
        <v/>
      </c>
      <c r="I49" s="106" t="str">
        <f>iferror(VLOOKUP(#REF!,'Номенклатура'!A:F,5,0),"")</f>
        <v/>
      </c>
      <c r="J49" s="107" t="str">
        <f>iferror(VLOOKUP(#REF!,'Номенклатура'!A:N,6,0),"")</f>
        <v/>
      </c>
      <c r="K49" s="109" t="str">
        <f>iferror(VLOOKUP(#REF!,'Номенклатура'!A:N,7,0),"")</f>
        <v/>
      </c>
      <c r="L49" s="109" t="str">
        <f>IFERROR(VLOOKUP(#REF!,'Номенклатура'!A:N,8,0),"")</f>
        <v/>
      </c>
      <c r="M49" s="109" t="str">
        <f>IFERROR(VLOOKUP(#REF!,'Номенклатура'!A:N,9,0),"")</f>
        <v/>
      </c>
      <c r="N49" s="109" t="str">
        <f>IFERROR(VLOOKUP(B50,'Номенклатура'!A:N,10,0),"")</f>
        <v/>
      </c>
      <c r="O49" s="109" t="str">
        <f>IFERROR(VLOOKUP(#REF!,'Номенклатура'!A:N,11,0),"")</f>
        <v/>
      </c>
      <c r="P49" s="109" t="str">
        <f>IFERROR(VLOOKUP(#REF!,'Номенклатура'!A:N,12,0),"")</f>
        <v/>
      </c>
      <c r="Q49" s="109" t="str">
        <f>IFERROR(VLOOKUP(#REF!,'Номенклатура'!A:N,13,0),"")</f>
        <v/>
      </c>
      <c r="R49" s="102" t="str">
        <f>IFERROR(VLOOKUP(#REF!,'Номенклатура'!A:N,14,0),"")</f>
        <v/>
      </c>
    </row>
    <row r="50">
      <c r="A50" s="88">
        <v>37.0</v>
      </c>
      <c r="B50" s="202"/>
      <c r="C50" s="90"/>
      <c r="D50" s="177"/>
      <c r="E50" s="91"/>
      <c r="F50" s="92"/>
      <c r="G50" s="93"/>
      <c r="H50" s="94" t="str">
        <f>IFerror(VLOOKUP(B50,'Номенклатура'!A:F,4,0),"")</f>
        <v/>
      </c>
      <c r="I50" s="95" t="str">
        <f>iferror(VLOOKUP(B50,'Номенклатура'!A:F,5,0),"")</f>
        <v/>
      </c>
      <c r="J50" s="96" t="str">
        <f>iferror(VLOOKUP(B50,'Номенклатура'!A:N,6,0),"")</f>
        <v/>
      </c>
      <c r="K50" s="97" t="str">
        <f>iferror(VLOOKUP(B50,'Номенклатура'!A:N,7,0),"")</f>
        <v/>
      </c>
      <c r="L50" s="97" t="str">
        <f>IFERROR(VLOOKUP(B50,'Номенклатура'!A:N,8,0),"")</f>
        <v/>
      </c>
      <c r="M50" s="97" t="str">
        <f>IFERROR(VLOOKUP(B50,'Номенклатура'!A:N,9,0),"")</f>
        <v/>
      </c>
      <c r="N50" s="97" t="str">
        <f>IFERROR(VLOOKUP(B51,'Номенклатура'!A:N,10,0),"")</f>
        <v/>
      </c>
      <c r="O50" s="97" t="str">
        <f>IFERROR(VLOOKUP(B50,'Номенклатура'!A:N,11,0),"")</f>
        <v/>
      </c>
      <c r="P50" s="97" t="str">
        <f>IFERROR(VLOOKUP(B50,'Номенклатура'!A:N,12,0),"")</f>
        <v/>
      </c>
      <c r="Q50" s="97" t="str">
        <f>IFERROR(VLOOKUP(B50,'Номенклатура'!A:N,13,0),"")</f>
        <v/>
      </c>
      <c r="R50" s="91" t="str">
        <f>IFERROR(VLOOKUP(B50,'Номенклатура'!A:N,14,0),"")</f>
        <v/>
      </c>
    </row>
    <row r="51">
      <c r="A51" s="98">
        <v>38.0</v>
      </c>
      <c r="B51" s="201"/>
      <c r="C51" s="100"/>
      <c r="D51" s="191"/>
      <c r="E51" s="102"/>
      <c r="F51" s="103"/>
      <c r="G51" s="104"/>
      <c r="H51" s="105" t="str">
        <f>IFerror(VLOOKUP(B51,'Номенклатура'!A:F,4,0),"")</f>
        <v/>
      </c>
      <c r="I51" s="106" t="str">
        <f>iferror(VLOOKUP(B51,'Номенклатура'!A:F,5,0),"")</f>
        <v/>
      </c>
      <c r="J51" s="107" t="str">
        <f>iferror(VLOOKUP(B51,'Номенклатура'!A:N,6,0),"")</f>
        <v/>
      </c>
      <c r="K51" s="109" t="str">
        <f>iferror(VLOOKUP(B51,'Номенклатура'!A:N,7,0),"")</f>
        <v/>
      </c>
      <c r="L51" s="109" t="str">
        <f>IFERROR(VLOOKUP(B51,'Номенклатура'!A:N,8,0),"")</f>
        <v/>
      </c>
      <c r="M51" s="109" t="str">
        <f>IFERROR(VLOOKUP(B51,'Номенклатура'!A:N,9,0),"")</f>
        <v/>
      </c>
      <c r="N51" s="109" t="str">
        <f>IFERROR(VLOOKUP(B52,'Номенклатура'!A:N,10,0),"")</f>
        <v/>
      </c>
      <c r="O51" s="109" t="str">
        <f>IFERROR(VLOOKUP(B51,'Номенклатура'!A:N,11,0),"")</f>
        <v/>
      </c>
      <c r="P51" s="109" t="str">
        <f>IFERROR(VLOOKUP(B51,'Номенклатура'!A:N,12,0),"")</f>
        <v/>
      </c>
      <c r="Q51" s="109" t="str">
        <f>IFERROR(VLOOKUP(B51,'Номенклатура'!A:N,13,0),"")</f>
        <v/>
      </c>
      <c r="R51" s="102" t="str">
        <f>IFERROR(VLOOKUP(B51,'Номенклатура'!A:N,14,0),"")</f>
        <v/>
      </c>
    </row>
    <row r="52">
      <c r="A52" s="88">
        <v>39.0</v>
      </c>
      <c r="B52" s="202"/>
      <c r="C52" s="90"/>
      <c r="D52" s="177"/>
      <c r="E52" s="91"/>
      <c r="F52" s="92"/>
      <c r="G52" s="93"/>
      <c r="H52" s="94" t="str">
        <f>IFerror(VLOOKUP(B52,'Номенклатура'!A:F,4,0),"")</f>
        <v/>
      </c>
      <c r="I52" s="95" t="str">
        <f>iferror(VLOOKUP(B52,'Номенклатура'!A:F,5,0),"")</f>
        <v/>
      </c>
      <c r="J52" s="96" t="str">
        <f>iferror(VLOOKUP(B52,'Номенклатура'!A:N,6,0),"")</f>
        <v/>
      </c>
      <c r="K52" s="97" t="str">
        <f>iferror(VLOOKUP(B52,'Номенклатура'!A:N,7,0),"")</f>
        <v/>
      </c>
      <c r="L52" s="97" t="str">
        <f>IFERROR(VLOOKUP(B52,'Номенклатура'!A:N,8,0),"")</f>
        <v/>
      </c>
      <c r="M52" s="97" t="str">
        <f>IFERROR(VLOOKUP(B52,'Номенклатура'!A:N,9,0),"")</f>
        <v/>
      </c>
      <c r="N52" s="97" t="str">
        <f>IFERROR(VLOOKUP(B53,'Номенклатура'!A:N,10,0),"")</f>
        <v/>
      </c>
      <c r="O52" s="97" t="str">
        <f>IFERROR(VLOOKUP(B52,'Номенклатура'!A:N,11,0),"")</f>
        <v/>
      </c>
      <c r="P52" s="97" t="str">
        <f>IFERROR(VLOOKUP(B52,'Номенклатура'!A:N,12,0),"")</f>
        <v/>
      </c>
      <c r="Q52" s="97" t="str">
        <f>IFERROR(VLOOKUP(B52,'Номенклатура'!A:N,13,0),"")</f>
        <v/>
      </c>
      <c r="R52" s="91" t="str">
        <f>IFERROR(VLOOKUP(B52,'Номенклатура'!A:N,14,0),"")</f>
        <v/>
      </c>
    </row>
    <row r="53">
      <c r="A53" s="98">
        <v>40.0</v>
      </c>
      <c r="B53" s="201"/>
      <c r="C53" s="100"/>
      <c r="D53" s="191"/>
      <c r="E53" s="102" t="str">
        <f>if(B53="","", VLOOKUP(B53,'Данни'!A:D,4,false))</f>
        <v/>
      </c>
      <c r="F53" s="103" t="str">
        <f>if(B53="","", VLOOKUP(B53,'Данни'!A:D,3,false))</f>
        <v/>
      </c>
      <c r="G53" s="104">
        <f t="shared" ref="G53:G113" si="2">D53*F53</f>
        <v>0</v>
      </c>
      <c r="H53" s="105" t="str">
        <f>IFerror(VLOOKUP(B53,'Номенклатура'!A:F,4,0),"")</f>
        <v/>
      </c>
      <c r="I53" s="106" t="str">
        <f>iferror(VLOOKUP(B53,'Номенклатура'!A:F,5,0),"")</f>
        <v/>
      </c>
      <c r="J53" s="107" t="str">
        <f>iferror(VLOOKUP(B53,'Номенклатура'!A:N,6,0),"")</f>
        <v/>
      </c>
      <c r="K53" s="109" t="str">
        <f>iferror(VLOOKUP(B53,'Номенклатура'!A:N,7,0),"")</f>
        <v/>
      </c>
      <c r="L53" s="109" t="str">
        <f>IFERROR(VLOOKUP(B53,'Номенклатура'!A:N,8,0),"")</f>
        <v/>
      </c>
      <c r="M53" s="109" t="str">
        <f>IFERROR(VLOOKUP(B53,'Номенклатура'!A:N,9,0),"")</f>
        <v/>
      </c>
      <c r="N53" s="109" t="str">
        <f>IFERROR(VLOOKUP(B54,'Номенклатура'!A:N,10,0),"")</f>
        <v/>
      </c>
      <c r="O53" s="109" t="str">
        <f>IFERROR(VLOOKUP(B53,'Номенклатура'!A:N,11,0),"")</f>
        <v/>
      </c>
      <c r="P53" s="109" t="str">
        <f>IFERROR(VLOOKUP(B53,'Номенклатура'!A:N,12,0),"")</f>
        <v/>
      </c>
      <c r="Q53" s="109" t="str">
        <f>IFERROR(VLOOKUP(B53,'Номенклатура'!A:N,13,0),"")</f>
        <v/>
      </c>
      <c r="R53" s="102" t="str">
        <f>IFERROR(VLOOKUP(B53,'Номенклатура'!A:N,14,0),"")</f>
        <v/>
      </c>
    </row>
    <row r="54">
      <c r="A54" s="88">
        <v>41.0</v>
      </c>
      <c r="B54" s="202"/>
      <c r="C54" s="90"/>
      <c r="D54" s="177"/>
      <c r="E54" s="91" t="str">
        <f>if(B54="","", VLOOKUP(B54,'Данни'!A:D,4,false))</f>
        <v/>
      </c>
      <c r="F54" s="92" t="str">
        <f>if(B54="","", VLOOKUP(B54,'Данни'!A:D,3,false))</f>
        <v/>
      </c>
      <c r="G54" s="93">
        <f t="shared" si="2"/>
        <v>0</v>
      </c>
      <c r="H54" s="94" t="str">
        <f>IFerror(VLOOKUP(B54,'Номенклатура'!A:F,4,0),"")</f>
        <v/>
      </c>
      <c r="I54" s="95" t="str">
        <f>iferror(VLOOKUP(B54,'Номенклатура'!A:F,5,0),"")</f>
        <v/>
      </c>
      <c r="J54" s="96" t="str">
        <f>iferror(VLOOKUP(B54,'Номенклатура'!A:N,6,0),"")</f>
        <v/>
      </c>
      <c r="K54" s="97" t="str">
        <f>iferror(VLOOKUP(B54,'Номенклатура'!A:N,7,0),"")</f>
        <v/>
      </c>
      <c r="L54" s="97" t="str">
        <f>IFERROR(VLOOKUP(B54,'Номенклатура'!A:N,8,0),"")</f>
        <v/>
      </c>
      <c r="M54" s="97" t="str">
        <f>IFERROR(VLOOKUP(B54,'Номенклатура'!A:N,9,0),"")</f>
        <v/>
      </c>
      <c r="N54" s="97" t="str">
        <f>IFERROR(VLOOKUP(B55,'Номенклатура'!A:N,10,0),"")</f>
        <v/>
      </c>
      <c r="O54" s="97" t="str">
        <f>IFERROR(VLOOKUP(B54,'Номенклатура'!A:N,11,0),"")</f>
        <v/>
      </c>
      <c r="P54" s="97" t="str">
        <f>IFERROR(VLOOKUP(B54,'Номенклатура'!A:N,12,0),"")</f>
        <v/>
      </c>
      <c r="Q54" s="97" t="str">
        <f>IFERROR(VLOOKUP(B54,'Номенклатура'!A:N,13,0),"")</f>
        <v/>
      </c>
      <c r="R54" s="91" t="str">
        <f>IFERROR(VLOOKUP(B54,'Номенклатура'!A:N,14,0),"")</f>
        <v/>
      </c>
    </row>
    <row r="55">
      <c r="A55" s="98">
        <v>42.0</v>
      </c>
      <c r="B55" s="201"/>
      <c r="C55" s="100"/>
      <c r="D55" s="191"/>
      <c r="E55" s="102" t="str">
        <f>if(B55="","", VLOOKUP(B55,'Данни'!A:D,4,false))</f>
        <v/>
      </c>
      <c r="F55" s="103" t="str">
        <f>if(B55="","", VLOOKUP(B55,'Данни'!A:D,3,false))</f>
        <v/>
      </c>
      <c r="G55" s="104">
        <f t="shared" si="2"/>
        <v>0</v>
      </c>
      <c r="H55" s="105" t="str">
        <f>IFerror(VLOOKUP(B55,'Номенклатура'!A:F,4,0),"")</f>
        <v/>
      </c>
      <c r="I55" s="106" t="str">
        <f>iferror(VLOOKUP(B55,'Номенклатура'!A:F,5,0),"")</f>
        <v/>
      </c>
      <c r="J55" s="107" t="str">
        <f>iferror(VLOOKUP(B55,'Номенклатура'!A:N,6,0),"")</f>
        <v/>
      </c>
      <c r="K55" s="109" t="str">
        <f>iferror(VLOOKUP(B55,'Номенклатура'!A:N,7,0),"")</f>
        <v/>
      </c>
      <c r="L55" s="109" t="str">
        <f>IFERROR(VLOOKUP(B55,'Номенклатура'!A:N,8,0),"")</f>
        <v/>
      </c>
      <c r="M55" s="109" t="str">
        <f>IFERROR(VLOOKUP(B55,'Номенклатура'!A:N,9,0),"")</f>
        <v/>
      </c>
      <c r="N55" s="109" t="str">
        <f>IFERROR(VLOOKUP(B56,'Номенклатура'!A:N,10,0),"")</f>
        <v/>
      </c>
      <c r="O55" s="109" t="str">
        <f>IFERROR(VLOOKUP(B55,'Номенклатура'!A:N,11,0),"")</f>
        <v/>
      </c>
      <c r="P55" s="109" t="str">
        <f>IFERROR(VLOOKUP(B55,'Номенклатура'!A:N,12,0),"")</f>
        <v/>
      </c>
      <c r="Q55" s="109" t="str">
        <f>IFERROR(VLOOKUP(B55,'Номенклатура'!A:N,13,0),"")</f>
        <v/>
      </c>
      <c r="R55" s="102" t="str">
        <f>IFERROR(VLOOKUP(B55,'Номенклатура'!A:N,14,0),"")</f>
        <v/>
      </c>
    </row>
    <row r="56">
      <c r="A56" s="88">
        <v>43.0</v>
      </c>
      <c r="B56" s="202"/>
      <c r="C56" s="90"/>
      <c r="D56" s="91"/>
      <c r="E56" s="91" t="str">
        <f>if(B56="","", VLOOKUP(B56,'Данни'!A:D,4,false))</f>
        <v/>
      </c>
      <c r="F56" s="92" t="str">
        <f>if(B56="","", VLOOKUP(B56,'Данни'!A:D,3,false))</f>
        <v/>
      </c>
      <c r="G56" s="93">
        <f t="shared" si="2"/>
        <v>0</v>
      </c>
      <c r="H56" s="94" t="str">
        <f>IFerror(VLOOKUP(B56,'Номенклатура'!A:F,4,0),"")</f>
        <v/>
      </c>
      <c r="I56" s="95" t="str">
        <f>iferror(VLOOKUP(B56,'Номенклатура'!A:F,5,0),"")</f>
        <v/>
      </c>
      <c r="J56" s="96" t="str">
        <f>iferror(VLOOKUP(B56,'Номенклатура'!A:N,6,0),"")</f>
        <v/>
      </c>
      <c r="K56" s="97" t="str">
        <f>iferror(VLOOKUP(B56,'Номенклатура'!A:N,7,0),"")</f>
        <v/>
      </c>
      <c r="L56" s="97" t="str">
        <f>IFERROR(VLOOKUP(B56,'Номенклатура'!A:N,8,0),"")</f>
        <v/>
      </c>
      <c r="M56" s="97" t="str">
        <f>IFERROR(VLOOKUP(B56,'Номенклатура'!A:N,9,0),"")</f>
        <v/>
      </c>
      <c r="N56" s="97" t="str">
        <f>IFERROR(VLOOKUP(B57,'Номенклатура'!A:N,10,0),"")</f>
        <v/>
      </c>
      <c r="O56" s="97" t="str">
        <f>IFERROR(VLOOKUP(B56,'Номенклатура'!A:N,11,0),"")</f>
        <v/>
      </c>
      <c r="P56" s="97" t="str">
        <f>IFERROR(VLOOKUP(B56,'Номенклатура'!A:N,12,0),"")</f>
        <v/>
      </c>
      <c r="Q56" s="97" t="str">
        <f>IFERROR(VLOOKUP(B56,'Номенклатура'!A:N,13,0),"")</f>
        <v/>
      </c>
      <c r="R56" s="91" t="str">
        <f>IFERROR(VLOOKUP(B56,'Номенклатура'!A:N,14,0),"")</f>
        <v/>
      </c>
    </row>
    <row r="57">
      <c r="A57" s="98">
        <v>44.0</v>
      </c>
      <c r="B57" s="204" t="str">
        <f>'План'!C45</f>
        <v/>
      </c>
      <c r="C57" s="100"/>
      <c r="D57" s="102"/>
      <c r="E57" s="102" t="str">
        <f>if(B57="","", VLOOKUP(B57,'Данни'!A:D,4,false))</f>
        <v/>
      </c>
      <c r="F57" s="103" t="str">
        <f>if(B57="","", VLOOKUP(B57,'Данни'!A:D,3,false))</f>
        <v/>
      </c>
      <c r="G57" s="104">
        <f t="shared" si="2"/>
        <v>0</v>
      </c>
      <c r="H57" s="105" t="str">
        <f>IFerror(VLOOKUP(B57,'Номенклатура'!A:F,4,0),"")</f>
        <v/>
      </c>
      <c r="I57" s="106" t="str">
        <f>iferror(VLOOKUP(B57,'Номенклатура'!A:F,5,0),"")</f>
        <v/>
      </c>
      <c r="J57" s="107" t="str">
        <f>iferror(VLOOKUP(B57,'Номенклатура'!A:N,6,0),"")</f>
        <v/>
      </c>
      <c r="K57" s="109" t="str">
        <f>iferror(VLOOKUP(B57,'Номенклатура'!A:N,7,0),"")</f>
        <v/>
      </c>
      <c r="L57" s="109" t="str">
        <f>IFERROR(VLOOKUP(B57,'Номенклатура'!A:N,8,0),"")</f>
        <v/>
      </c>
      <c r="M57" s="109" t="str">
        <f>IFERROR(VLOOKUP(B57,'Номенклатура'!A:N,9,0),"")</f>
        <v/>
      </c>
      <c r="N57" s="109" t="str">
        <f>IFERROR(VLOOKUP(B58,'Номенклатура'!A:N,10,0),"")</f>
        <v/>
      </c>
      <c r="O57" s="109" t="str">
        <f>IFERROR(VLOOKUP(B57,'Номенклатура'!A:N,11,0),"")</f>
        <v/>
      </c>
      <c r="P57" s="109" t="str">
        <f>IFERROR(VLOOKUP(B57,'Номенклатура'!A:N,12,0),"")</f>
        <v/>
      </c>
      <c r="Q57" s="109" t="str">
        <f>IFERROR(VLOOKUP(B57,'Номенклатура'!A:N,13,0),"")</f>
        <v/>
      </c>
      <c r="R57" s="102" t="str">
        <f>IFERROR(VLOOKUP(B57,'Номенклатура'!A:N,14,0),"")</f>
        <v/>
      </c>
    </row>
    <row r="58">
      <c r="A58" s="88">
        <v>45.0</v>
      </c>
      <c r="B58" s="205" t="str">
        <f>'План'!C46</f>
        <v/>
      </c>
      <c r="C58" s="90"/>
      <c r="D58" s="91"/>
      <c r="E58" s="91" t="str">
        <f>if(B58="","", VLOOKUP(B58,'Данни'!A:D,4,false))</f>
        <v/>
      </c>
      <c r="F58" s="92" t="str">
        <f>if(B58="","", VLOOKUP(B58,'Данни'!A:D,3,false))</f>
        <v/>
      </c>
      <c r="G58" s="93">
        <f t="shared" si="2"/>
        <v>0</v>
      </c>
      <c r="H58" s="94" t="str">
        <f>IFerror(VLOOKUP(B58,'Номенклатура'!A:F,4,0),"")</f>
        <v/>
      </c>
      <c r="I58" s="95" t="str">
        <f>iferror(VLOOKUP(B58,'Номенклатура'!A:F,5,0),"")</f>
        <v/>
      </c>
      <c r="J58" s="96" t="str">
        <f>iferror(VLOOKUP(B58,'Номенклатура'!A:N,6,0),"")</f>
        <v/>
      </c>
      <c r="K58" s="97" t="str">
        <f>iferror(VLOOKUP(B58,'Номенклатура'!A:N,7,0),"")</f>
        <v/>
      </c>
      <c r="L58" s="97" t="str">
        <f>IFERROR(VLOOKUP(B58,'Номенклатура'!A:N,8,0),"")</f>
        <v/>
      </c>
      <c r="M58" s="97" t="str">
        <f>IFERROR(VLOOKUP(B58,'Номенклатура'!A:N,9,0),"")</f>
        <v/>
      </c>
      <c r="N58" s="97" t="str">
        <f>IFERROR(VLOOKUP(B59,'Номенклатура'!A:N,10,0),"")</f>
        <v/>
      </c>
      <c r="O58" s="97" t="str">
        <f>IFERROR(VLOOKUP(B58,'Номенклатура'!A:N,11,0),"")</f>
        <v/>
      </c>
      <c r="P58" s="97" t="str">
        <f>IFERROR(VLOOKUP(B58,'Номенклатура'!A:N,12,0),"")</f>
        <v/>
      </c>
      <c r="Q58" s="97" t="str">
        <f>IFERROR(VLOOKUP(B58,'Номенклатура'!A:N,13,0),"")</f>
        <v/>
      </c>
      <c r="R58" s="91" t="str">
        <f>IFERROR(VLOOKUP(B58,'Номенклатура'!A:N,14,0),"")</f>
        <v/>
      </c>
    </row>
    <row r="59">
      <c r="A59" s="98">
        <v>46.0</v>
      </c>
      <c r="B59" s="204" t="str">
        <f>'План'!C47</f>
        <v/>
      </c>
      <c r="C59" s="100" t="str">
        <f>if(B59="","", VLOOKUP(B59,'Номенклатура'!A$3:B997,2,false))</f>
        <v/>
      </c>
      <c r="D59" s="206" t="str">
        <f>'План'!A47</f>
        <v/>
      </c>
      <c r="E59" s="102" t="str">
        <f>if(B59="","", VLOOKUP(B59,'Данни'!A:D,4,false))</f>
        <v/>
      </c>
      <c r="F59" s="103" t="str">
        <f>if(B59="","", VLOOKUP(B59,'Данни'!A:D,3,false))</f>
        <v/>
      </c>
      <c r="G59" s="104">
        <f t="shared" si="2"/>
        <v>0</v>
      </c>
      <c r="H59" s="105" t="str">
        <f>IFerror(VLOOKUP(B59,'Номенклатура'!A:F,4,0),"")</f>
        <v/>
      </c>
      <c r="I59" s="106" t="str">
        <f>iferror(VLOOKUP(B59,'Номенклатура'!A:F,5,0),"")</f>
        <v/>
      </c>
      <c r="J59" s="107" t="str">
        <f>iferror(VLOOKUP(B59,'Номенклатура'!A:N,6,0),"")</f>
        <v/>
      </c>
      <c r="K59" s="109" t="str">
        <f>iferror(VLOOKUP(B59,'Номенклатура'!A:N,7,0),"")</f>
        <v/>
      </c>
      <c r="L59" s="109" t="str">
        <f>IFERROR(VLOOKUP(B59,'Номенклатура'!A:N,8,0),"")</f>
        <v/>
      </c>
      <c r="M59" s="109" t="str">
        <f>IFERROR(VLOOKUP(B59,'Номенклатура'!A:N,9,0),"")</f>
        <v/>
      </c>
      <c r="N59" s="109" t="str">
        <f>IFERROR(VLOOKUP(B60,'Номенклатура'!A:N,10,0),"")</f>
        <v/>
      </c>
      <c r="O59" s="109" t="str">
        <f>IFERROR(VLOOKUP(B59,'Номенклатура'!A:N,11,0),"")</f>
        <v/>
      </c>
      <c r="P59" s="109" t="str">
        <f>IFERROR(VLOOKUP(B59,'Номенклатура'!A:N,12,0),"")</f>
        <v/>
      </c>
      <c r="Q59" s="109" t="str">
        <f>IFERROR(VLOOKUP(B59,'Номенклатура'!A:N,13,0),"")</f>
        <v/>
      </c>
      <c r="R59" s="102" t="str">
        <f>IFERROR(VLOOKUP(B59,'Номенклатура'!A:N,14,0),"")</f>
        <v/>
      </c>
    </row>
    <row r="60">
      <c r="A60" s="88">
        <v>47.0</v>
      </c>
      <c r="B60" s="205" t="str">
        <f>'План'!C48</f>
        <v/>
      </c>
      <c r="C60" s="90" t="str">
        <f>if(B60="","", VLOOKUP(B60,'Номенклатура'!A$3:B997,2,false))</f>
        <v/>
      </c>
      <c r="D60" s="207" t="str">
        <f>'План'!A48</f>
        <v/>
      </c>
      <c r="E60" s="91" t="str">
        <f>if(B60="","", VLOOKUP(B60,'Данни'!A:D,4,false))</f>
        <v/>
      </c>
      <c r="F60" s="92" t="str">
        <f>if(B60="","", VLOOKUP(B60,'Данни'!A:D,3,false))</f>
        <v/>
      </c>
      <c r="G60" s="93">
        <f t="shared" si="2"/>
        <v>0</v>
      </c>
      <c r="H60" s="94" t="str">
        <f>IFerror(VLOOKUP(B60,'Номенклатура'!A:F,4,0),"")</f>
        <v/>
      </c>
      <c r="I60" s="95" t="str">
        <f>iferror(VLOOKUP(B60,'Номенклатура'!A:F,5,0),"")</f>
        <v/>
      </c>
      <c r="J60" s="96" t="str">
        <f>iferror(VLOOKUP(B60,'Номенклатура'!A:N,6,0),"")</f>
        <v/>
      </c>
      <c r="K60" s="97" t="str">
        <f>iferror(VLOOKUP(B60,'Номенклатура'!A:N,7,0),"")</f>
        <v/>
      </c>
      <c r="L60" s="97" t="str">
        <f>IFERROR(VLOOKUP(B60,'Номенклатура'!A:N,8,0),"")</f>
        <v/>
      </c>
      <c r="M60" s="97" t="str">
        <f>IFERROR(VLOOKUP(B60,'Номенклатура'!A:N,9,0),"")</f>
        <v/>
      </c>
      <c r="N60" s="97" t="str">
        <f>IFERROR(VLOOKUP(B61,'Номенклатура'!A:N,10,0),"")</f>
        <v/>
      </c>
      <c r="O60" s="97" t="str">
        <f>IFERROR(VLOOKUP(B60,'Номенклатура'!A:N,11,0),"")</f>
        <v/>
      </c>
      <c r="P60" s="97" t="str">
        <f>IFERROR(VLOOKUP(B60,'Номенклатура'!A:N,12,0),"")</f>
        <v/>
      </c>
      <c r="Q60" s="97" t="str">
        <f>IFERROR(VLOOKUP(B60,'Номенклатура'!A:N,13,0),"")</f>
        <v/>
      </c>
      <c r="R60" s="91" t="str">
        <f>IFERROR(VLOOKUP(B60,'Номенклатура'!A:N,14,0),"")</f>
        <v/>
      </c>
    </row>
    <row r="61">
      <c r="A61" s="98">
        <v>48.0</v>
      </c>
      <c r="B61" s="204" t="str">
        <f>'План'!C49</f>
        <v/>
      </c>
      <c r="C61" s="100" t="str">
        <f>if(B61="","", VLOOKUP(B61,'Номенклатура'!A$3:B997,2,false))</f>
        <v/>
      </c>
      <c r="D61" s="206" t="str">
        <f>'План'!A49</f>
        <v/>
      </c>
      <c r="E61" s="102" t="str">
        <f>if(B61="","", VLOOKUP(B61,'Данни'!A:D,4,false))</f>
        <v/>
      </c>
      <c r="F61" s="103" t="str">
        <f>if(B61="","", VLOOKUP(B61,'Данни'!A:D,3,false))</f>
        <v/>
      </c>
      <c r="G61" s="104">
        <f t="shared" si="2"/>
        <v>0</v>
      </c>
      <c r="H61" s="105" t="str">
        <f>IFerror(VLOOKUP(B61,'Номенклатура'!A:F,4,0),"")</f>
        <v/>
      </c>
      <c r="I61" s="106" t="str">
        <f>iferror(VLOOKUP(B61,'Номенклатура'!A:F,5,0),"")</f>
        <v/>
      </c>
      <c r="J61" s="107" t="str">
        <f>iferror(VLOOKUP(B61,'Номенклатура'!A:N,6,0),"")</f>
        <v/>
      </c>
      <c r="K61" s="109" t="str">
        <f>iferror(VLOOKUP(B61,'Номенклатура'!A:N,7,0),"")</f>
        <v/>
      </c>
      <c r="L61" s="109" t="str">
        <f>IFERROR(VLOOKUP(B61,'Номенклатура'!A:N,8,0),"")</f>
        <v/>
      </c>
      <c r="M61" s="109" t="str">
        <f>IFERROR(VLOOKUP(B61,'Номенклатура'!A:N,9,0),"")</f>
        <v/>
      </c>
      <c r="N61" s="109" t="str">
        <f>IFERROR(VLOOKUP(B62,'Номенклатура'!A:N,10,0),"")</f>
        <v/>
      </c>
      <c r="O61" s="109" t="str">
        <f>IFERROR(VLOOKUP(B61,'Номенклатура'!A:N,11,0),"")</f>
        <v/>
      </c>
      <c r="P61" s="109" t="str">
        <f>IFERROR(VLOOKUP(B61,'Номенклатура'!A:N,12,0),"")</f>
        <v/>
      </c>
      <c r="Q61" s="109" t="str">
        <f>IFERROR(VLOOKUP(B61,'Номенклатура'!A:N,13,0),"")</f>
        <v/>
      </c>
      <c r="R61" s="102" t="str">
        <f>IFERROR(VLOOKUP(B61,'Номенклатура'!A:N,14,0),"")</f>
        <v/>
      </c>
    </row>
    <row r="62">
      <c r="A62" s="88">
        <v>49.0</v>
      </c>
      <c r="B62" s="205" t="str">
        <f>'План'!C50</f>
        <v/>
      </c>
      <c r="C62" s="90" t="str">
        <f>if(B62="","", VLOOKUP(B62,'Номенклатура'!A$3:B997,2,false))</f>
        <v/>
      </c>
      <c r="D62" s="207" t="str">
        <f>'План'!A50</f>
        <v/>
      </c>
      <c r="E62" s="91" t="str">
        <f>if(B62="","", VLOOKUP(B62,'Данни'!A:D,4,false))</f>
        <v/>
      </c>
      <c r="F62" s="92" t="str">
        <f>if(B62="","", VLOOKUP(B62,'Данни'!A:D,3,false))</f>
        <v/>
      </c>
      <c r="G62" s="93">
        <f t="shared" si="2"/>
        <v>0</v>
      </c>
      <c r="H62" s="94" t="str">
        <f>IFerror(VLOOKUP(B62,'Номенклатура'!A:F,4,0),"")</f>
        <v/>
      </c>
      <c r="I62" s="95" t="str">
        <f>iferror(VLOOKUP(B62,'Номенклатура'!A:F,5,0),"")</f>
        <v/>
      </c>
      <c r="J62" s="96" t="str">
        <f>iferror(VLOOKUP(B62,'Номенклатура'!A:N,6,0),"")</f>
        <v/>
      </c>
      <c r="K62" s="97" t="str">
        <f>iferror(VLOOKUP(B62,'Номенклатура'!A:N,7,0),"")</f>
        <v/>
      </c>
      <c r="L62" s="97" t="str">
        <f>IFERROR(VLOOKUP(B62,'Номенклатура'!A:N,8,0),"")</f>
        <v/>
      </c>
      <c r="M62" s="97" t="str">
        <f>IFERROR(VLOOKUP(B62,'Номенклатура'!A:N,9,0),"")</f>
        <v/>
      </c>
      <c r="N62" s="97" t="str">
        <f>IFERROR(VLOOKUP(B63,'Номенклатура'!A:N,10,0),"")</f>
        <v/>
      </c>
      <c r="O62" s="97" t="str">
        <f>IFERROR(VLOOKUP(B62,'Номенклатура'!A:N,11,0),"")</f>
        <v/>
      </c>
      <c r="P62" s="97" t="str">
        <f>IFERROR(VLOOKUP(B62,'Номенклатура'!A:N,12,0),"")</f>
        <v/>
      </c>
      <c r="Q62" s="97" t="str">
        <f>IFERROR(VLOOKUP(B62,'Номенклатура'!A:N,13,0),"")</f>
        <v/>
      </c>
      <c r="R62" s="91" t="str">
        <f>IFERROR(VLOOKUP(B62,'Номенклатура'!A:N,14,0),"")</f>
        <v/>
      </c>
    </row>
    <row r="63">
      <c r="A63" s="98">
        <v>50.0</v>
      </c>
      <c r="B63" s="204" t="str">
        <f>'План'!C51</f>
        <v/>
      </c>
      <c r="C63" s="100" t="str">
        <f>if(B63="","", VLOOKUP(B63,'Номенклатура'!A$3:B997,2,false))</f>
        <v/>
      </c>
      <c r="D63" s="206" t="str">
        <f>'План'!A51</f>
        <v/>
      </c>
      <c r="E63" s="102" t="str">
        <f>if(B63="","", VLOOKUP(B63,'Данни'!A:D,4,false))</f>
        <v/>
      </c>
      <c r="F63" s="103" t="str">
        <f>if(B63="","", VLOOKUP(B63,'Данни'!A:D,3,false))</f>
        <v/>
      </c>
      <c r="G63" s="104">
        <f t="shared" si="2"/>
        <v>0</v>
      </c>
      <c r="H63" s="105" t="str">
        <f>IFerror(VLOOKUP(B63,'Номенклатура'!A:F,4,0),"")</f>
        <v/>
      </c>
      <c r="I63" s="106" t="str">
        <f>iferror(VLOOKUP(B63,'Номенклатура'!A:F,5,0),"")</f>
        <v/>
      </c>
      <c r="J63" s="107" t="str">
        <f>iferror(VLOOKUP(B63,'Номенклатура'!A:N,6,0),"")</f>
        <v/>
      </c>
      <c r="K63" s="109" t="str">
        <f>iferror(VLOOKUP(B63,'Номенклатура'!A:N,7,0),"")</f>
        <v/>
      </c>
      <c r="L63" s="109" t="str">
        <f>IFERROR(VLOOKUP(B63,'Номенклатура'!A:N,8,0),"")</f>
        <v/>
      </c>
      <c r="M63" s="109" t="str">
        <f>IFERROR(VLOOKUP(B63,'Номенклатура'!A:N,9,0),"")</f>
        <v/>
      </c>
      <c r="N63" s="109" t="str">
        <f>IFERROR(VLOOKUP(B64,'Номенклатура'!A:N,10,0),"")</f>
        <v/>
      </c>
      <c r="O63" s="109" t="str">
        <f>IFERROR(VLOOKUP(B63,'Номенклатура'!A:N,11,0),"")</f>
        <v/>
      </c>
      <c r="P63" s="109" t="str">
        <f>IFERROR(VLOOKUP(B63,'Номенклатура'!A:N,12,0),"")</f>
        <v/>
      </c>
      <c r="Q63" s="109" t="str">
        <f>IFERROR(VLOOKUP(B63,'Номенклатура'!A:N,13,0),"")</f>
        <v/>
      </c>
      <c r="R63" s="102" t="str">
        <f>IFERROR(VLOOKUP(B63,'Номенклатура'!A:N,14,0),"")</f>
        <v/>
      </c>
    </row>
    <row r="64">
      <c r="A64" s="88">
        <v>51.0</v>
      </c>
      <c r="B64" s="205" t="str">
        <f>'План'!C52</f>
        <v/>
      </c>
      <c r="C64" s="90" t="str">
        <f>if(B64="","", VLOOKUP(B64,'Номенклатура'!A$3:B997,2,false))</f>
        <v/>
      </c>
      <c r="D64" s="207" t="str">
        <f>'План'!A52</f>
        <v/>
      </c>
      <c r="E64" s="91" t="str">
        <f>if(B64="","", VLOOKUP(B64,'Данни'!A:D,4,false))</f>
        <v/>
      </c>
      <c r="F64" s="92" t="str">
        <f>if(B64="","", VLOOKUP(B64,'Данни'!A:D,3,false))</f>
        <v/>
      </c>
      <c r="G64" s="93">
        <f t="shared" si="2"/>
        <v>0</v>
      </c>
      <c r="H64" s="94" t="str">
        <f>IFerror(VLOOKUP(B64,'Номенклатура'!A:F,4,0),"")</f>
        <v/>
      </c>
      <c r="I64" s="95" t="str">
        <f>iferror(VLOOKUP(B64,'Номенклатура'!A:F,5,0),"")</f>
        <v/>
      </c>
      <c r="J64" s="96" t="str">
        <f>iferror(VLOOKUP(B64,'Номенклатура'!A:N,6,0),"")</f>
        <v/>
      </c>
      <c r="K64" s="97" t="str">
        <f>iferror(VLOOKUP(B64,'Номенклатура'!A:N,7,0),"")</f>
        <v/>
      </c>
      <c r="L64" s="97" t="str">
        <f>IFERROR(VLOOKUP(B64,'Номенклатура'!A:N,8,0),"")</f>
        <v/>
      </c>
      <c r="M64" s="97" t="str">
        <f>IFERROR(VLOOKUP(B64,'Номенклатура'!A:N,9,0),"")</f>
        <v/>
      </c>
      <c r="N64" s="97" t="str">
        <f>IFERROR(VLOOKUP(B65,'Номенклатура'!A:N,10,0),"")</f>
        <v/>
      </c>
      <c r="O64" s="97" t="str">
        <f>IFERROR(VLOOKUP(B64,'Номенклатура'!A:N,11,0),"")</f>
        <v/>
      </c>
      <c r="P64" s="97" t="str">
        <f>IFERROR(VLOOKUP(B64,'Номенклатура'!A:N,12,0),"")</f>
        <v/>
      </c>
      <c r="Q64" s="97" t="str">
        <f>IFERROR(VLOOKUP(B64,'Номенклатура'!A:N,13,0),"")</f>
        <v/>
      </c>
      <c r="R64" s="91" t="str">
        <f>IFERROR(VLOOKUP(B64,'Номенклатура'!A:N,14,0),"")</f>
        <v/>
      </c>
    </row>
    <row r="65">
      <c r="A65" s="98">
        <v>52.0</v>
      </c>
      <c r="B65" s="204" t="str">
        <f>'План'!C53</f>
        <v/>
      </c>
      <c r="C65" s="100" t="str">
        <f>if(B65="","", VLOOKUP(B65,'Номенклатура'!A$3:B997,2,false))</f>
        <v/>
      </c>
      <c r="D65" s="206" t="str">
        <f>'План'!A53</f>
        <v/>
      </c>
      <c r="E65" s="102" t="str">
        <f>if(B65="","", VLOOKUP(B65,'Данни'!A:D,4,false))</f>
        <v/>
      </c>
      <c r="F65" s="103" t="str">
        <f>if(B65="","", VLOOKUP(B65,'Данни'!A:D,3,false))</f>
        <v/>
      </c>
      <c r="G65" s="104">
        <f t="shared" si="2"/>
        <v>0</v>
      </c>
      <c r="H65" s="105" t="str">
        <f>IFerror(VLOOKUP(B65,'Номенклатура'!A:F,4,0),"")</f>
        <v/>
      </c>
      <c r="I65" s="106" t="str">
        <f>iferror(VLOOKUP(B65,'Номенклатура'!A:F,5,0),"")</f>
        <v/>
      </c>
      <c r="J65" s="107" t="str">
        <f>iferror(VLOOKUP(B65,'Номенклатура'!A:N,6,0),"")</f>
        <v/>
      </c>
      <c r="K65" s="109" t="str">
        <f>iferror(VLOOKUP(B65,'Номенклатура'!A:N,7,0),"")</f>
        <v/>
      </c>
      <c r="L65" s="109" t="str">
        <f>IFERROR(VLOOKUP(B65,'Номенклатура'!A:N,8,0),"")</f>
        <v/>
      </c>
      <c r="M65" s="109" t="str">
        <f>IFERROR(VLOOKUP(B65,'Номенклатура'!A:N,9,0),"")</f>
        <v/>
      </c>
      <c r="N65" s="109" t="str">
        <f>IFERROR(VLOOKUP(B66,'Номенклатура'!A:N,10,0),"")</f>
        <v/>
      </c>
      <c r="O65" s="109" t="str">
        <f>IFERROR(VLOOKUP(B65,'Номенклатура'!A:N,11,0),"")</f>
        <v/>
      </c>
      <c r="P65" s="109" t="str">
        <f>IFERROR(VLOOKUP(B65,'Номенклатура'!A:N,12,0),"")</f>
        <v/>
      </c>
      <c r="Q65" s="109" t="str">
        <f>IFERROR(VLOOKUP(B65,'Номенклатура'!A:N,13,0),"")</f>
        <v/>
      </c>
      <c r="R65" s="102" t="str">
        <f>IFERROR(VLOOKUP(B65,'Номенклатура'!A:N,14,0),"")</f>
        <v/>
      </c>
    </row>
    <row r="66">
      <c r="A66" s="88">
        <v>53.0</v>
      </c>
      <c r="B66" s="205" t="str">
        <f>'План'!C54</f>
        <v/>
      </c>
      <c r="C66" s="90" t="str">
        <f>if(B66="","", VLOOKUP(B66,'Номенклатура'!A$3:B997,2,false))</f>
        <v/>
      </c>
      <c r="D66" s="207" t="str">
        <f>'План'!A54</f>
        <v/>
      </c>
      <c r="E66" s="91" t="str">
        <f>if(B66="","", VLOOKUP(B66,'Данни'!A:D,4,false))</f>
        <v/>
      </c>
      <c r="F66" s="92" t="str">
        <f>if(B66="","", VLOOKUP(B66,'Данни'!A:D,3,false))</f>
        <v/>
      </c>
      <c r="G66" s="93">
        <f t="shared" si="2"/>
        <v>0</v>
      </c>
      <c r="H66" s="94" t="str">
        <f>IFerror(VLOOKUP(B66,'Номенклатура'!A:F,4,0),"")</f>
        <v/>
      </c>
      <c r="I66" s="95" t="str">
        <f>iferror(VLOOKUP(B66,'Номенклатура'!A:F,5,0),"")</f>
        <v/>
      </c>
      <c r="J66" s="96" t="str">
        <f>iferror(VLOOKUP(B66,'Номенклатура'!A:N,6,0),"")</f>
        <v/>
      </c>
      <c r="K66" s="97" t="str">
        <f>iferror(VLOOKUP(B66,'Номенклатура'!A:N,7,0),"")</f>
        <v/>
      </c>
      <c r="L66" s="97" t="str">
        <f>IFERROR(VLOOKUP(B66,'Номенклатура'!A:N,8,0),"")</f>
        <v/>
      </c>
      <c r="M66" s="97" t="str">
        <f>IFERROR(VLOOKUP(B66,'Номенклатура'!A:N,9,0),"")</f>
        <v/>
      </c>
      <c r="N66" s="97" t="str">
        <f>IFERROR(VLOOKUP(B67,'Номенклатура'!A:N,10,0),"")</f>
        <v/>
      </c>
      <c r="O66" s="97" t="str">
        <f>IFERROR(VLOOKUP(B66,'Номенклатура'!A:N,11,0),"")</f>
        <v/>
      </c>
      <c r="P66" s="97" t="str">
        <f>IFERROR(VLOOKUP(B66,'Номенклатура'!A:N,12,0),"")</f>
        <v/>
      </c>
      <c r="Q66" s="97" t="str">
        <f>IFERROR(VLOOKUP(B66,'Номенклатура'!A:N,13,0),"")</f>
        <v/>
      </c>
      <c r="R66" s="91" t="str">
        <f>IFERROR(VLOOKUP(B66,'Номенклатура'!A:N,14,0),"")</f>
        <v/>
      </c>
    </row>
    <row r="67">
      <c r="A67" s="98">
        <v>54.0</v>
      </c>
      <c r="B67" s="204" t="str">
        <f>'План'!C55</f>
        <v/>
      </c>
      <c r="C67" s="100" t="str">
        <f>if(B67="","", VLOOKUP(B67,'Номенклатура'!A$3:B997,2,false))</f>
        <v/>
      </c>
      <c r="D67" s="206" t="str">
        <f>'План'!A55</f>
        <v/>
      </c>
      <c r="E67" s="102" t="str">
        <f>if(B67="","", VLOOKUP(B67,'Данни'!A:D,4,false))</f>
        <v/>
      </c>
      <c r="F67" s="103" t="str">
        <f>if(B67="","", VLOOKUP(B67,'Данни'!A:D,3,false))</f>
        <v/>
      </c>
      <c r="G67" s="104">
        <f t="shared" si="2"/>
        <v>0</v>
      </c>
      <c r="H67" s="105" t="str">
        <f>IFerror(VLOOKUP(B67,'Номенклатура'!A:F,4,0),"")</f>
        <v/>
      </c>
      <c r="I67" s="106" t="str">
        <f>iferror(VLOOKUP(B67,'Номенклатура'!A:F,5,0),"")</f>
        <v/>
      </c>
      <c r="J67" s="107" t="str">
        <f>iferror(VLOOKUP(B67,'Номенклатура'!A:N,6,0),"")</f>
        <v/>
      </c>
      <c r="K67" s="109" t="str">
        <f>iferror(VLOOKUP(B67,'Номенклатура'!A:N,7,0),"")</f>
        <v/>
      </c>
      <c r="L67" s="109" t="str">
        <f>IFERROR(VLOOKUP(B67,'Номенклатура'!A:N,8,0),"")</f>
        <v/>
      </c>
      <c r="M67" s="109" t="str">
        <f>IFERROR(VLOOKUP(B67,'Номенклатура'!A:N,9,0),"")</f>
        <v/>
      </c>
      <c r="N67" s="109" t="str">
        <f>IFERROR(VLOOKUP(B68,'Номенклатура'!A:N,10,0),"")</f>
        <v/>
      </c>
      <c r="O67" s="109" t="str">
        <f>IFERROR(VLOOKUP(B67,'Номенклатура'!A:N,11,0),"")</f>
        <v/>
      </c>
      <c r="P67" s="109" t="str">
        <f>IFERROR(VLOOKUP(B67,'Номенклатура'!A:N,12,0),"")</f>
        <v/>
      </c>
      <c r="Q67" s="109" t="str">
        <f>IFERROR(VLOOKUP(B67,'Номенклатура'!A:N,13,0),"")</f>
        <v/>
      </c>
      <c r="R67" s="102" t="str">
        <f>IFERROR(VLOOKUP(B67,'Номенклатура'!A:N,14,0),"")</f>
        <v/>
      </c>
    </row>
    <row r="68">
      <c r="A68" s="88">
        <v>55.0</v>
      </c>
      <c r="B68" s="205" t="str">
        <f>'План'!C56</f>
        <v/>
      </c>
      <c r="C68" s="90" t="str">
        <f>if(B68="","", VLOOKUP(B68,'Номенклатура'!A$3:B997,2,false))</f>
        <v/>
      </c>
      <c r="D68" s="207" t="str">
        <f>'План'!A56</f>
        <v/>
      </c>
      <c r="E68" s="91" t="str">
        <f>if(B68="","", VLOOKUP(B68,'Данни'!A:D,4,false))</f>
        <v/>
      </c>
      <c r="F68" s="92" t="str">
        <f>if(B68="","", VLOOKUP(B68,'Данни'!A:D,3,false))</f>
        <v/>
      </c>
      <c r="G68" s="93">
        <f t="shared" si="2"/>
        <v>0</v>
      </c>
      <c r="H68" s="94" t="str">
        <f>IFerror(VLOOKUP(B68,'Номенклатура'!A:F,4,0),"")</f>
        <v/>
      </c>
      <c r="I68" s="95" t="str">
        <f>iferror(VLOOKUP(B68,'Номенклатура'!A:F,5,0),"")</f>
        <v/>
      </c>
      <c r="J68" s="96" t="str">
        <f>iferror(VLOOKUP(B68,'Номенклатура'!A:N,6,0),"")</f>
        <v/>
      </c>
      <c r="K68" s="97" t="str">
        <f>iferror(VLOOKUP(B68,'Номенклатура'!A:N,7,0),"")</f>
        <v/>
      </c>
      <c r="L68" s="97" t="str">
        <f>IFERROR(VLOOKUP(B68,'Номенклатура'!A:N,8,0),"")</f>
        <v/>
      </c>
      <c r="M68" s="97" t="str">
        <f>IFERROR(VLOOKUP(B68,'Номенклатура'!A:N,9,0),"")</f>
        <v/>
      </c>
      <c r="N68" s="97" t="str">
        <f>IFERROR(VLOOKUP(B69,'Номенклатура'!A:N,10,0),"")</f>
        <v/>
      </c>
      <c r="O68" s="97" t="str">
        <f>IFERROR(VLOOKUP(B68,'Номенклатура'!A:N,11,0),"")</f>
        <v/>
      </c>
      <c r="P68" s="97" t="str">
        <f>IFERROR(VLOOKUP(B68,'Номенклатура'!A:N,12,0),"")</f>
        <v/>
      </c>
      <c r="Q68" s="97" t="str">
        <f>IFERROR(VLOOKUP(B68,'Номенклатура'!A:N,13,0),"")</f>
        <v/>
      </c>
      <c r="R68" s="91" t="str">
        <f>IFERROR(VLOOKUP(B68,'Номенклатура'!A:N,14,0),"")</f>
        <v/>
      </c>
    </row>
    <row r="69">
      <c r="A69" s="98">
        <v>56.0</v>
      </c>
      <c r="B69" s="204" t="str">
        <f>'План'!C57</f>
        <v/>
      </c>
      <c r="C69" s="100" t="str">
        <f>if(B69="","", VLOOKUP(B69,'Номенклатура'!A$3:B997,2,false))</f>
        <v/>
      </c>
      <c r="D69" s="206" t="str">
        <f>'План'!A57</f>
        <v/>
      </c>
      <c r="E69" s="102" t="str">
        <f>if(B69="","", VLOOKUP(B69,'Данни'!A:D,4,false))</f>
        <v/>
      </c>
      <c r="F69" s="103" t="str">
        <f>if(B69="","", VLOOKUP(B69,'Данни'!A:D,3,false))</f>
        <v/>
      </c>
      <c r="G69" s="104">
        <f t="shared" si="2"/>
        <v>0</v>
      </c>
      <c r="H69" s="105" t="str">
        <f>IFerror(VLOOKUP(B69,'Номенклатура'!A:F,4,0),"")</f>
        <v/>
      </c>
      <c r="I69" s="106" t="str">
        <f>iferror(VLOOKUP(B69,'Номенклатура'!A:F,5,0),"")</f>
        <v/>
      </c>
      <c r="J69" s="107" t="str">
        <f>iferror(VLOOKUP(B69,'Номенклатура'!A:N,6,0),"")</f>
        <v/>
      </c>
      <c r="K69" s="109" t="str">
        <f>iferror(VLOOKUP(B69,'Номенклатура'!A:N,7,0),"")</f>
        <v/>
      </c>
      <c r="L69" s="109" t="str">
        <f>IFERROR(VLOOKUP(B69,'Номенклатура'!A:N,8,0),"")</f>
        <v/>
      </c>
      <c r="M69" s="109" t="str">
        <f>IFERROR(VLOOKUP(B69,'Номенклатура'!A:N,9,0),"")</f>
        <v/>
      </c>
      <c r="N69" s="109" t="str">
        <f>IFERROR(VLOOKUP(B70,'Номенклатура'!A:N,10,0),"")</f>
        <v/>
      </c>
      <c r="O69" s="109" t="str">
        <f>IFERROR(VLOOKUP(B69,'Номенклатура'!A:N,11,0),"")</f>
        <v/>
      </c>
      <c r="P69" s="109" t="str">
        <f>IFERROR(VLOOKUP(B69,'Номенклатура'!A:N,12,0),"")</f>
        <v/>
      </c>
      <c r="Q69" s="109" t="str">
        <f>IFERROR(VLOOKUP(B69,'Номенклатура'!A:N,13,0),"")</f>
        <v/>
      </c>
      <c r="R69" s="102" t="str">
        <f>IFERROR(VLOOKUP(B69,'Номенклатура'!A:N,14,0),"")</f>
        <v/>
      </c>
    </row>
    <row r="70">
      <c r="A70" s="88">
        <v>57.0</v>
      </c>
      <c r="B70" s="205" t="str">
        <f>'План'!C58</f>
        <v/>
      </c>
      <c r="C70" s="90" t="str">
        <f>if(B70="","", VLOOKUP(B70,'Номенклатура'!A$3:B997,2,false))</f>
        <v/>
      </c>
      <c r="D70" s="207" t="str">
        <f>'План'!A58</f>
        <v/>
      </c>
      <c r="E70" s="91" t="str">
        <f>if(B70="","", VLOOKUP(B70,'Данни'!A:D,4,false))</f>
        <v/>
      </c>
      <c r="F70" s="92" t="str">
        <f>if(B70="","", VLOOKUP(B70,'Данни'!A:D,3,false))</f>
        <v/>
      </c>
      <c r="G70" s="93">
        <f t="shared" si="2"/>
        <v>0</v>
      </c>
      <c r="H70" s="94" t="str">
        <f>IFerror(VLOOKUP(B70,'Номенклатура'!A:F,4,0),"")</f>
        <v/>
      </c>
      <c r="I70" s="95" t="str">
        <f>iferror(VLOOKUP(B70,'Номенклатура'!A:F,5,0),"")</f>
        <v/>
      </c>
      <c r="J70" s="96" t="str">
        <f>iferror(VLOOKUP(B70,'Номенклатура'!A:N,6,0),"")</f>
        <v/>
      </c>
      <c r="K70" s="97" t="str">
        <f>iferror(VLOOKUP(B70,'Номенклатура'!A:N,7,0),"")</f>
        <v/>
      </c>
      <c r="L70" s="97" t="str">
        <f>IFERROR(VLOOKUP(B70,'Номенклатура'!A:N,8,0),"")</f>
        <v/>
      </c>
      <c r="M70" s="97" t="str">
        <f>IFERROR(VLOOKUP(B70,'Номенклатура'!A:N,9,0),"")</f>
        <v/>
      </c>
      <c r="N70" s="97" t="str">
        <f>IFERROR(VLOOKUP(B71,'Номенклатура'!A:N,10,0),"")</f>
        <v/>
      </c>
      <c r="O70" s="97" t="str">
        <f>IFERROR(VLOOKUP(B70,'Номенклатура'!A:N,11,0),"")</f>
        <v/>
      </c>
      <c r="P70" s="97" t="str">
        <f>IFERROR(VLOOKUP(B70,'Номенклатура'!A:N,12,0),"")</f>
        <v/>
      </c>
      <c r="Q70" s="97" t="str">
        <f>IFERROR(VLOOKUP(B70,'Номенклатура'!A:N,13,0),"")</f>
        <v/>
      </c>
      <c r="R70" s="91" t="str">
        <f>IFERROR(VLOOKUP(B70,'Номенклатура'!A:N,14,0),"")</f>
        <v/>
      </c>
    </row>
    <row r="71">
      <c r="A71" s="98">
        <v>58.0</v>
      </c>
      <c r="B71" s="204" t="str">
        <f>'План'!C59</f>
        <v/>
      </c>
      <c r="C71" s="100" t="str">
        <f>if(B71="","", VLOOKUP(B71,'Номенклатура'!A$3:B997,2,false))</f>
        <v/>
      </c>
      <c r="D71" s="206" t="str">
        <f>'План'!A59</f>
        <v/>
      </c>
      <c r="E71" s="102" t="str">
        <f>if(B71="","", VLOOKUP(B71,'Данни'!A:D,4,false))</f>
        <v/>
      </c>
      <c r="F71" s="103" t="str">
        <f>if(B71="","", VLOOKUP(B71,'Данни'!A:D,3,false))</f>
        <v/>
      </c>
      <c r="G71" s="104">
        <f t="shared" si="2"/>
        <v>0</v>
      </c>
      <c r="H71" s="105" t="str">
        <f>IFerror(VLOOKUP(B71,'Номенклатура'!A:F,4,0),"")</f>
        <v/>
      </c>
      <c r="I71" s="106" t="str">
        <f>iferror(VLOOKUP(B71,'Номенклатура'!A:F,5,0),"")</f>
        <v/>
      </c>
      <c r="J71" s="107" t="str">
        <f>iferror(VLOOKUP(B71,'Номенклатура'!A:N,6,0),"")</f>
        <v/>
      </c>
      <c r="K71" s="109" t="str">
        <f>iferror(VLOOKUP(B71,'Номенклатура'!A:N,7,0),"")</f>
        <v/>
      </c>
      <c r="L71" s="109" t="str">
        <f>IFERROR(VLOOKUP(B71,'Номенклатура'!A:N,8,0),"")</f>
        <v/>
      </c>
      <c r="M71" s="109" t="str">
        <f>IFERROR(VLOOKUP(B71,'Номенклатура'!A:N,9,0),"")</f>
        <v/>
      </c>
      <c r="N71" s="109" t="str">
        <f>IFERROR(VLOOKUP(B72,'Номенклатура'!A:N,10,0),"")</f>
        <v/>
      </c>
      <c r="O71" s="109" t="str">
        <f>IFERROR(VLOOKUP(B71,'Номенклатура'!A:N,11,0),"")</f>
        <v/>
      </c>
      <c r="P71" s="109" t="str">
        <f>IFERROR(VLOOKUP(B71,'Номенклатура'!A:N,12,0),"")</f>
        <v/>
      </c>
      <c r="Q71" s="109" t="str">
        <f>IFERROR(VLOOKUP(B71,'Номенклатура'!A:N,13,0),"")</f>
        <v/>
      </c>
      <c r="R71" s="102" t="str">
        <f>IFERROR(VLOOKUP(B71,'Номенклатура'!A:N,14,0),"")</f>
        <v/>
      </c>
    </row>
    <row r="72">
      <c r="A72" s="88">
        <v>59.0</v>
      </c>
      <c r="B72" s="205" t="str">
        <f>'План'!C60</f>
        <v/>
      </c>
      <c r="C72" s="90" t="str">
        <f>if(B72="","", VLOOKUP(B72,'Номенклатура'!A$3:B997,2,false))</f>
        <v/>
      </c>
      <c r="D72" s="207" t="str">
        <f>'План'!A60</f>
        <v/>
      </c>
      <c r="E72" s="91" t="str">
        <f>if(B72="","", VLOOKUP(B72,'Данни'!A:D,4,false))</f>
        <v/>
      </c>
      <c r="F72" s="92" t="str">
        <f>if(B72="","", VLOOKUP(B72,'Данни'!A:D,3,false))</f>
        <v/>
      </c>
      <c r="G72" s="93">
        <f t="shared" si="2"/>
        <v>0</v>
      </c>
      <c r="H72" s="94" t="str">
        <f>IFerror(VLOOKUP(B72,'Номенклатура'!A:F,4,0),"")</f>
        <v/>
      </c>
      <c r="I72" s="95" t="str">
        <f>iferror(VLOOKUP(B72,'Номенклатура'!A:F,5,0),"")</f>
        <v/>
      </c>
      <c r="J72" s="96" t="str">
        <f>iferror(VLOOKUP(B72,'Номенклатура'!A:N,6,0),"")</f>
        <v/>
      </c>
      <c r="K72" s="97" t="str">
        <f>iferror(VLOOKUP(B72,'Номенклатура'!A:N,7,0),"")</f>
        <v/>
      </c>
      <c r="L72" s="97" t="str">
        <f>IFERROR(VLOOKUP(B72,'Номенклатура'!A:N,8,0),"")</f>
        <v/>
      </c>
      <c r="M72" s="97" t="str">
        <f>IFERROR(VLOOKUP(B72,'Номенклатура'!A:N,9,0),"")</f>
        <v/>
      </c>
      <c r="N72" s="97" t="str">
        <f>IFERROR(VLOOKUP(B73,'Номенклатура'!A:N,10,0),"")</f>
        <v/>
      </c>
      <c r="O72" s="97" t="str">
        <f>IFERROR(VLOOKUP(B72,'Номенклатура'!A:N,11,0),"")</f>
        <v/>
      </c>
      <c r="P72" s="97" t="str">
        <f>IFERROR(VLOOKUP(B72,'Номенклатура'!A:N,12,0),"")</f>
        <v/>
      </c>
      <c r="Q72" s="97" t="str">
        <f>IFERROR(VLOOKUP(B72,'Номенклатура'!A:N,13,0),"")</f>
        <v/>
      </c>
      <c r="R72" s="91" t="str">
        <f>IFERROR(VLOOKUP(B72,'Номенклатура'!A:N,14,0),"")</f>
        <v/>
      </c>
    </row>
    <row r="73">
      <c r="A73" s="98">
        <v>60.0</v>
      </c>
      <c r="B73" s="204" t="str">
        <f>'План'!C61</f>
        <v/>
      </c>
      <c r="C73" s="100" t="str">
        <f>if(B73="","", VLOOKUP(B73,'Номенклатура'!A$3:B997,2,false))</f>
        <v/>
      </c>
      <c r="D73" s="206" t="str">
        <f>'План'!A61</f>
        <v/>
      </c>
      <c r="E73" s="102" t="str">
        <f>if(B73="","", VLOOKUP(B73,'Данни'!A:D,4,false))</f>
        <v/>
      </c>
      <c r="F73" s="103" t="str">
        <f>if(B73="","", VLOOKUP(B73,'Данни'!A:D,3,false))</f>
        <v/>
      </c>
      <c r="G73" s="104">
        <f t="shared" si="2"/>
        <v>0</v>
      </c>
      <c r="H73" s="105" t="str">
        <f>IFerror(VLOOKUP(B73,'Номенклатура'!A:F,4,0),"")</f>
        <v/>
      </c>
      <c r="I73" s="106" t="str">
        <f>iferror(VLOOKUP(B73,'Номенклатура'!A:F,5,0),"")</f>
        <v/>
      </c>
      <c r="J73" s="107" t="str">
        <f>iferror(VLOOKUP(B73,'Номенклатура'!A:N,6,0),"")</f>
        <v/>
      </c>
      <c r="K73" s="109" t="str">
        <f>iferror(VLOOKUP(B73,'Номенклатура'!A:N,7,0),"")</f>
        <v/>
      </c>
      <c r="L73" s="109" t="str">
        <f>IFERROR(VLOOKUP(B73,'Номенклатура'!A:N,8,0),"")</f>
        <v/>
      </c>
      <c r="M73" s="109" t="str">
        <f>IFERROR(VLOOKUP(B73,'Номенклатура'!A:N,9,0),"")</f>
        <v/>
      </c>
      <c r="N73" s="109" t="str">
        <f>IFERROR(VLOOKUP(B74,'Номенклатура'!A:N,10,0),"")</f>
        <v/>
      </c>
      <c r="O73" s="109" t="str">
        <f>IFERROR(VLOOKUP(B73,'Номенклатура'!A:N,11,0),"")</f>
        <v/>
      </c>
      <c r="P73" s="109" t="str">
        <f>IFERROR(VLOOKUP(B73,'Номенклатура'!A:N,12,0),"")</f>
        <v/>
      </c>
      <c r="Q73" s="109" t="str">
        <f>IFERROR(VLOOKUP(B73,'Номенклатура'!A:N,13,0),"")</f>
        <v/>
      </c>
      <c r="R73" s="102" t="str">
        <f>IFERROR(VLOOKUP(B73,'Номенклатура'!A:N,14,0),"")</f>
        <v/>
      </c>
    </row>
    <row r="74">
      <c r="A74" s="88">
        <v>61.0</v>
      </c>
      <c r="B74" s="205" t="str">
        <f>'План'!C62</f>
        <v/>
      </c>
      <c r="C74" s="90" t="str">
        <f>if(B74="","", VLOOKUP(B74,'Номенклатура'!A$3:B997,2,false))</f>
        <v/>
      </c>
      <c r="D74" s="207" t="str">
        <f>'План'!A62</f>
        <v/>
      </c>
      <c r="E74" s="91" t="str">
        <f>if(B74="","", VLOOKUP(B74,'Данни'!A:D,4,false))</f>
        <v/>
      </c>
      <c r="F74" s="92" t="str">
        <f>if(B74="","", VLOOKUP(B74,'Данни'!A:D,3,false))</f>
        <v/>
      </c>
      <c r="G74" s="93">
        <f t="shared" si="2"/>
        <v>0</v>
      </c>
      <c r="H74" s="94" t="str">
        <f>IFerror(VLOOKUP(B74,'Номенклатура'!A:F,4,0),"")</f>
        <v/>
      </c>
      <c r="I74" s="95" t="str">
        <f>iferror(VLOOKUP(B74,'Номенклатура'!A:F,5,0),"")</f>
        <v/>
      </c>
      <c r="J74" s="96" t="str">
        <f>iferror(VLOOKUP(B74,'Номенклатура'!A:N,6,0),"")</f>
        <v/>
      </c>
      <c r="K74" s="97" t="str">
        <f>iferror(VLOOKUP(B74,'Номенклатура'!A:N,7,0),"")</f>
        <v/>
      </c>
      <c r="L74" s="97" t="str">
        <f>IFERROR(VLOOKUP(B74,'Номенклатура'!A:N,8,0),"")</f>
        <v/>
      </c>
      <c r="M74" s="97" t="str">
        <f>IFERROR(VLOOKUP(B74,'Номенклатура'!A:N,9,0),"")</f>
        <v/>
      </c>
      <c r="N74" s="97" t="str">
        <f>IFERROR(VLOOKUP(B75,'Номенклатура'!A:N,10,0),"")</f>
        <v/>
      </c>
      <c r="O74" s="97" t="str">
        <f>IFERROR(VLOOKUP(B74,'Номенклатура'!A:N,11,0),"")</f>
        <v/>
      </c>
      <c r="P74" s="97" t="str">
        <f>IFERROR(VLOOKUP(B74,'Номенклатура'!A:N,12,0),"")</f>
        <v/>
      </c>
      <c r="Q74" s="97" t="str">
        <f>IFERROR(VLOOKUP(B74,'Номенклатура'!A:N,13,0),"")</f>
        <v/>
      </c>
      <c r="R74" s="91" t="str">
        <f>IFERROR(VLOOKUP(B74,'Номенклатура'!A:N,14,0),"")</f>
        <v/>
      </c>
    </row>
    <row r="75">
      <c r="A75" s="98">
        <v>62.0</v>
      </c>
      <c r="B75" s="204" t="str">
        <f>'План'!C63</f>
        <v/>
      </c>
      <c r="C75" s="100" t="str">
        <f>if(B75="","", VLOOKUP(B75,'Номенклатура'!A$3:B997,2,false))</f>
        <v/>
      </c>
      <c r="D75" s="206" t="str">
        <f>'План'!A63</f>
        <v/>
      </c>
      <c r="E75" s="102" t="str">
        <f>if(B75="","", VLOOKUP(B75,'Данни'!A:D,4,false))</f>
        <v/>
      </c>
      <c r="F75" s="103" t="str">
        <f>if(B75="","", VLOOKUP(B75,'Данни'!A:D,3,false))</f>
        <v/>
      </c>
      <c r="G75" s="104">
        <f t="shared" si="2"/>
        <v>0</v>
      </c>
      <c r="H75" s="105" t="str">
        <f>IFerror(VLOOKUP(B75,'Номенклатура'!A:F,4,0),"")</f>
        <v/>
      </c>
      <c r="I75" s="106" t="str">
        <f>iferror(VLOOKUP(B75,'Номенклатура'!A:F,5,0),"")</f>
        <v/>
      </c>
      <c r="J75" s="107" t="str">
        <f>iferror(VLOOKUP(B75,'Номенклатура'!A:N,6,0),"")</f>
        <v/>
      </c>
      <c r="K75" s="109" t="str">
        <f>iferror(VLOOKUP(B75,'Номенклатура'!A:N,7,0),"")</f>
        <v/>
      </c>
      <c r="L75" s="109" t="str">
        <f>IFERROR(VLOOKUP(B75,'Номенклатура'!A:N,8,0),"")</f>
        <v/>
      </c>
      <c r="M75" s="109" t="str">
        <f>IFERROR(VLOOKUP(B75,'Номенклатура'!A:N,9,0),"")</f>
        <v/>
      </c>
      <c r="N75" s="109" t="str">
        <f>IFERROR(VLOOKUP(B76,'Номенклатура'!A:N,10,0),"")</f>
        <v/>
      </c>
      <c r="O75" s="109" t="str">
        <f>IFERROR(VLOOKUP(B75,'Номенклатура'!A:N,11,0),"")</f>
        <v/>
      </c>
      <c r="P75" s="109" t="str">
        <f>IFERROR(VLOOKUP(B75,'Номенклатура'!A:N,12,0),"")</f>
        <v/>
      </c>
      <c r="Q75" s="109" t="str">
        <f>IFERROR(VLOOKUP(B75,'Номенклатура'!A:N,13,0),"")</f>
        <v/>
      </c>
      <c r="R75" s="102" t="str">
        <f>IFERROR(VLOOKUP(B75,'Номенклатура'!A:N,14,0),"")</f>
        <v/>
      </c>
    </row>
    <row r="76">
      <c r="A76" s="88">
        <v>63.0</v>
      </c>
      <c r="B76" s="205" t="str">
        <f>'План'!C64</f>
        <v/>
      </c>
      <c r="C76" s="90" t="str">
        <f>if(B76="","", VLOOKUP(B76,'Номенклатура'!A$3:B997,2,false))</f>
        <v/>
      </c>
      <c r="D76" s="207" t="str">
        <f>'План'!A64</f>
        <v/>
      </c>
      <c r="E76" s="91" t="str">
        <f>if(B76="","", VLOOKUP(B76,'Данни'!A:D,4,false))</f>
        <v/>
      </c>
      <c r="F76" s="92" t="str">
        <f>if(B76="","", VLOOKUP(B76,'Данни'!A:D,3,false))</f>
        <v/>
      </c>
      <c r="G76" s="93">
        <f t="shared" si="2"/>
        <v>0</v>
      </c>
      <c r="H76" s="94" t="str">
        <f>IFerror(VLOOKUP(B76,'Номенклатура'!A:F,4,0),"")</f>
        <v/>
      </c>
      <c r="I76" s="95" t="str">
        <f>iferror(VLOOKUP(B76,'Номенклатура'!A:F,5,0),"")</f>
        <v/>
      </c>
      <c r="J76" s="96" t="str">
        <f>iferror(VLOOKUP(B76,'Номенклатура'!A:N,6,0),"")</f>
        <v/>
      </c>
      <c r="K76" s="97" t="str">
        <f>iferror(VLOOKUP(B76,'Номенклатура'!A:N,7,0),"")</f>
        <v/>
      </c>
      <c r="L76" s="97" t="str">
        <f>IFERROR(VLOOKUP(B76,'Номенклатура'!A:N,8,0),"")</f>
        <v/>
      </c>
      <c r="M76" s="97" t="str">
        <f>IFERROR(VLOOKUP(B76,'Номенклатура'!A:N,9,0),"")</f>
        <v/>
      </c>
      <c r="N76" s="97" t="str">
        <f>IFERROR(VLOOKUP(B77,'Номенклатура'!A:N,10,0),"")</f>
        <v/>
      </c>
      <c r="O76" s="97" t="str">
        <f>IFERROR(VLOOKUP(B76,'Номенклатура'!A:N,11,0),"")</f>
        <v/>
      </c>
      <c r="P76" s="97" t="str">
        <f>IFERROR(VLOOKUP(B76,'Номенклатура'!A:N,12,0),"")</f>
        <v/>
      </c>
      <c r="Q76" s="97" t="str">
        <f>IFERROR(VLOOKUP(B76,'Номенклатура'!A:N,13,0),"")</f>
        <v/>
      </c>
      <c r="R76" s="91" t="str">
        <f>IFERROR(VLOOKUP(B76,'Номенклатура'!A:N,14,0),"")</f>
        <v/>
      </c>
    </row>
    <row r="77">
      <c r="A77" s="98">
        <v>64.0</v>
      </c>
      <c r="B77" s="204" t="str">
        <f>'План'!C65</f>
        <v/>
      </c>
      <c r="C77" s="100" t="str">
        <f>if(B77="","", VLOOKUP(B77,'Номенклатура'!A$3:B997,2,false))</f>
        <v/>
      </c>
      <c r="D77" s="206" t="str">
        <f>'План'!A65</f>
        <v/>
      </c>
      <c r="E77" s="102" t="str">
        <f>if(B77="","", VLOOKUP(B77,'Данни'!A:D,4,false))</f>
        <v/>
      </c>
      <c r="F77" s="103" t="str">
        <f>if(B77="","", VLOOKUP(B77,'Данни'!A:D,3,false))</f>
        <v/>
      </c>
      <c r="G77" s="104">
        <f t="shared" si="2"/>
        <v>0</v>
      </c>
      <c r="H77" s="105" t="str">
        <f>IFerror(VLOOKUP(B77,'Номенклатура'!A:F,4,0),"")</f>
        <v/>
      </c>
      <c r="I77" s="106" t="str">
        <f>iferror(VLOOKUP(B77,'Номенклатура'!A:F,5,0),"")</f>
        <v/>
      </c>
      <c r="J77" s="107" t="str">
        <f>iferror(VLOOKUP(B77,'Номенклатура'!A:N,6,0),"")</f>
        <v/>
      </c>
      <c r="K77" s="109" t="str">
        <f>iferror(VLOOKUP(B77,'Номенклатура'!A:N,7,0),"")</f>
        <v/>
      </c>
      <c r="L77" s="109" t="str">
        <f>IFERROR(VLOOKUP(B77,'Номенклатура'!A:N,8,0),"")</f>
        <v/>
      </c>
      <c r="M77" s="109" t="str">
        <f>IFERROR(VLOOKUP(B77,'Номенклатура'!A:N,9,0),"")</f>
        <v/>
      </c>
      <c r="N77" s="109" t="str">
        <f>IFERROR(VLOOKUP(B78,'Номенклатура'!A:N,10,0),"")</f>
        <v/>
      </c>
      <c r="O77" s="109" t="str">
        <f>IFERROR(VLOOKUP(B77,'Номенклатура'!A:N,11,0),"")</f>
        <v/>
      </c>
      <c r="P77" s="109" t="str">
        <f>IFERROR(VLOOKUP(B77,'Номенклатура'!A:N,12,0),"")</f>
        <v/>
      </c>
      <c r="Q77" s="109" t="str">
        <f>IFERROR(VLOOKUP(B77,'Номенклатура'!A:N,13,0),"")</f>
        <v/>
      </c>
      <c r="R77" s="102" t="str">
        <f>IFERROR(VLOOKUP(B77,'Номенклатура'!A:N,14,0),"")</f>
        <v/>
      </c>
    </row>
    <row r="78">
      <c r="A78" s="88">
        <v>65.0</v>
      </c>
      <c r="B78" s="205" t="str">
        <f>'План'!C66</f>
        <v/>
      </c>
      <c r="C78" s="90" t="str">
        <f>if(B78="","", VLOOKUP(B78,'Номенклатура'!A$3:B997,2,false))</f>
        <v/>
      </c>
      <c r="D78" s="207" t="str">
        <f>'План'!A66</f>
        <v/>
      </c>
      <c r="E78" s="91" t="str">
        <f>if(B78="","", VLOOKUP(B78,'Данни'!A:D,4,false))</f>
        <v/>
      </c>
      <c r="F78" s="92" t="str">
        <f>if(B78="","", VLOOKUP(B78,'Данни'!A:D,3,false))</f>
        <v/>
      </c>
      <c r="G78" s="93">
        <f t="shared" si="2"/>
        <v>0</v>
      </c>
      <c r="H78" s="94" t="str">
        <f>IFerror(VLOOKUP(B78,'Номенклатура'!A:F,4,0),"")</f>
        <v/>
      </c>
      <c r="I78" s="95" t="str">
        <f>iferror(VLOOKUP(B78,'Номенклатура'!A:F,5,0),"")</f>
        <v/>
      </c>
      <c r="J78" s="96" t="str">
        <f>iferror(VLOOKUP(B78,'Номенклатура'!A:N,6,0),"")</f>
        <v/>
      </c>
      <c r="K78" s="97" t="str">
        <f>iferror(VLOOKUP(B78,'Номенклатура'!A:N,7,0),"")</f>
        <v/>
      </c>
      <c r="L78" s="97" t="str">
        <f>IFERROR(VLOOKUP(B78,'Номенклатура'!A:N,8,0),"")</f>
        <v/>
      </c>
      <c r="M78" s="97" t="str">
        <f>IFERROR(VLOOKUP(B78,'Номенклатура'!A:N,9,0),"")</f>
        <v/>
      </c>
      <c r="N78" s="97" t="str">
        <f>IFERROR(VLOOKUP(B79,'Номенклатура'!A:N,10,0),"")</f>
        <v/>
      </c>
      <c r="O78" s="97" t="str">
        <f>IFERROR(VLOOKUP(B78,'Номенклатура'!A:N,11,0),"")</f>
        <v/>
      </c>
      <c r="P78" s="97" t="str">
        <f>IFERROR(VLOOKUP(B78,'Номенклатура'!A:N,12,0),"")</f>
        <v/>
      </c>
      <c r="Q78" s="97" t="str">
        <f>IFERROR(VLOOKUP(B78,'Номенклатура'!A:N,13,0),"")</f>
        <v/>
      </c>
      <c r="R78" s="91" t="str">
        <f>IFERROR(VLOOKUP(B78,'Номенклатура'!A:N,14,0),"")</f>
        <v/>
      </c>
    </row>
    <row r="79">
      <c r="A79" s="98">
        <v>66.0</v>
      </c>
      <c r="B79" s="204" t="str">
        <f>'План'!C67</f>
        <v/>
      </c>
      <c r="C79" s="100" t="str">
        <f>if(B79="","", VLOOKUP(B79,'Номенклатура'!A$3:B997,2,false))</f>
        <v/>
      </c>
      <c r="D79" s="206" t="str">
        <f>'План'!A67</f>
        <v/>
      </c>
      <c r="E79" s="102" t="str">
        <f>if(B79="","", VLOOKUP(B79,'Данни'!A:D,4,false))</f>
        <v/>
      </c>
      <c r="F79" s="103" t="str">
        <f>if(B79="","", VLOOKUP(B79,'Данни'!A:D,3,false))</f>
        <v/>
      </c>
      <c r="G79" s="104">
        <f t="shared" si="2"/>
        <v>0</v>
      </c>
      <c r="H79" s="105" t="str">
        <f>IFerror(VLOOKUP(B79,'Номенклатура'!A:F,4,0),"")</f>
        <v/>
      </c>
      <c r="I79" s="106" t="str">
        <f>iferror(VLOOKUP(B79,'Номенклатура'!A:F,5,0),"")</f>
        <v/>
      </c>
      <c r="J79" s="107" t="str">
        <f>iferror(VLOOKUP(B79,'Номенклатура'!A:N,6,0),"")</f>
        <v/>
      </c>
      <c r="K79" s="109" t="str">
        <f>iferror(VLOOKUP(B79,'Номенклатура'!A:N,7,0),"")</f>
        <v/>
      </c>
      <c r="L79" s="109" t="str">
        <f>IFERROR(VLOOKUP(B79,'Номенклатура'!A:N,8,0),"")</f>
        <v/>
      </c>
      <c r="M79" s="109" t="str">
        <f>IFERROR(VLOOKUP(B79,'Номенклатура'!A:N,9,0),"")</f>
        <v/>
      </c>
      <c r="N79" s="109" t="str">
        <f>IFERROR(VLOOKUP(B80,'Номенклатура'!A:N,10,0),"")</f>
        <v/>
      </c>
      <c r="O79" s="109" t="str">
        <f>IFERROR(VLOOKUP(B79,'Номенклатура'!A:N,11,0),"")</f>
        <v/>
      </c>
      <c r="P79" s="109" t="str">
        <f>IFERROR(VLOOKUP(B79,'Номенклатура'!A:N,12,0),"")</f>
        <v/>
      </c>
      <c r="Q79" s="109" t="str">
        <f>IFERROR(VLOOKUP(B79,'Номенклатура'!A:N,13,0),"")</f>
        <v/>
      </c>
      <c r="R79" s="102" t="str">
        <f>IFERROR(VLOOKUP(B79,'Номенклатура'!A:N,14,0),"")</f>
        <v/>
      </c>
    </row>
    <row r="80">
      <c r="A80" s="88">
        <v>67.0</v>
      </c>
      <c r="B80" s="205" t="str">
        <f>'План'!C68</f>
        <v/>
      </c>
      <c r="C80" s="90" t="str">
        <f>if(B80="","", VLOOKUP(B80,'Номенклатура'!A$3:B997,2,false))</f>
        <v/>
      </c>
      <c r="D80" s="207" t="str">
        <f>'План'!A68</f>
        <v/>
      </c>
      <c r="E80" s="91" t="str">
        <f>if(B80="","", VLOOKUP(B80,'Данни'!A:D,4,false))</f>
        <v/>
      </c>
      <c r="F80" s="92" t="str">
        <f>if(B80="","", VLOOKUP(B80,'Данни'!A:D,3,false))</f>
        <v/>
      </c>
      <c r="G80" s="93">
        <f t="shared" si="2"/>
        <v>0</v>
      </c>
      <c r="H80" s="94" t="str">
        <f>IFerror(VLOOKUP(B80,'Номенклатура'!A:F,4,0),"")</f>
        <v/>
      </c>
      <c r="I80" s="95" t="str">
        <f>iferror(VLOOKUP(B80,'Номенклатура'!A:F,5,0),"")</f>
        <v/>
      </c>
      <c r="J80" s="96" t="str">
        <f>iferror(VLOOKUP(B80,'Номенклатура'!A:N,6,0),"")</f>
        <v/>
      </c>
      <c r="K80" s="97" t="str">
        <f>iferror(VLOOKUP(B80,'Номенклатура'!A:N,7,0),"")</f>
        <v/>
      </c>
      <c r="L80" s="97" t="str">
        <f>IFERROR(VLOOKUP(B80,'Номенклатура'!A:N,8,0),"")</f>
        <v/>
      </c>
      <c r="M80" s="97" t="str">
        <f>IFERROR(VLOOKUP(B80,'Номенклатура'!A:N,9,0),"")</f>
        <v/>
      </c>
      <c r="N80" s="97" t="str">
        <f>IFERROR(VLOOKUP(B81,'Номенклатура'!A:N,10,0),"")</f>
        <v/>
      </c>
      <c r="O80" s="97" t="str">
        <f>IFERROR(VLOOKUP(B80,'Номенклатура'!A:N,11,0),"")</f>
        <v/>
      </c>
      <c r="P80" s="97" t="str">
        <f>IFERROR(VLOOKUP(B80,'Номенклатура'!A:N,12,0),"")</f>
        <v/>
      </c>
      <c r="Q80" s="97" t="str">
        <f>IFERROR(VLOOKUP(B80,'Номенклатура'!A:N,13,0),"")</f>
        <v/>
      </c>
      <c r="R80" s="91" t="str">
        <f>IFERROR(VLOOKUP(B80,'Номенклатура'!A:N,14,0),"")</f>
        <v/>
      </c>
    </row>
    <row r="81">
      <c r="A81" s="98">
        <v>68.0</v>
      </c>
      <c r="B81" s="204" t="str">
        <f>'План'!C69</f>
        <v/>
      </c>
      <c r="C81" s="100" t="str">
        <f>if(B81="","", VLOOKUP(B81,'Номенклатура'!A$3:B997,2,false))</f>
        <v/>
      </c>
      <c r="D81" s="206" t="str">
        <f>'План'!A69</f>
        <v/>
      </c>
      <c r="E81" s="102" t="str">
        <f>if(B81="","", VLOOKUP(B81,'Данни'!A:D,4,false))</f>
        <v/>
      </c>
      <c r="F81" s="103" t="str">
        <f>if(B81="","", VLOOKUP(B81,'Данни'!A:D,3,false))</f>
        <v/>
      </c>
      <c r="G81" s="104">
        <f t="shared" si="2"/>
        <v>0</v>
      </c>
      <c r="H81" s="105" t="str">
        <f>IFerror(VLOOKUP(B81,'Номенклатура'!A:F,4,0),"")</f>
        <v/>
      </c>
      <c r="I81" s="106" t="str">
        <f>iferror(VLOOKUP(B81,'Номенклатура'!A:F,5,0),"")</f>
        <v/>
      </c>
      <c r="J81" s="107" t="str">
        <f>iferror(VLOOKUP(B81,'Номенклатура'!A:N,6,0),"")</f>
        <v/>
      </c>
      <c r="K81" s="109" t="str">
        <f>iferror(VLOOKUP(B81,'Номенклатура'!A:N,7,0),"")</f>
        <v/>
      </c>
      <c r="L81" s="109" t="str">
        <f>IFERROR(VLOOKUP(B81,'Номенклатура'!A:N,8,0),"")</f>
        <v/>
      </c>
      <c r="M81" s="109" t="str">
        <f>IFERROR(VLOOKUP(B81,'Номенклатура'!A:N,9,0),"")</f>
        <v/>
      </c>
      <c r="N81" s="109" t="str">
        <f>IFERROR(VLOOKUP(B82,'Номенклатура'!A:N,10,0),"")</f>
        <v/>
      </c>
      <c r="O81" s="109" t="str">
        <f>IFERROR(VLOOKUP(B81,'Номенклатура'!A:N,11,0),"")</f>
        <v/>
      </c>
      <c r="P81" s="109" t="str">
        <f>IFERROR(VLOOKUP(B81,'Номенклатура'!A:N,12,0),"")</f>
        <v/>
      </c>
      <c r="Q81" s="109" t="str">
        <f>IFERROR(VLOOKUP(B81,'Номенклатура'!A:N,13,0),"")</f>
        <v/>
      </c>
      <c r="R81" s="102" t="str">
        <f>IFERROR(VLOOKUP(B81,'Номенклатура'!A:N,14,0),"")</f>
        <v/>
      </c>
    </row>
    <row r="82">
      <c r="A82" s="88">
        <v>69.0</v>
      </c>
      <c r="B82" s="205" t="str">
        <f>'План'!C70</f>
        <v/>
      </c>
      <c r="C82" s="90" t="str">
        <f>if(B82="","", VLOOKUP(B82,'Номенклатура'!A$3:B997,2,false))</f>
        <v/>
      </c>
      <c r="D82" s="207" t="str">
        <f>'План'!A70</f>
        <v/>
      </c>
      <c r="E82" s="91" t="str">
        <f>if(B82="","", VLOOKUP(B82,'Данни'!A:D,4,false))</f>
        <v/>
      </c>
      <c r="F82" s="92" t="str">
        <f>if(B82="","", VLOOKUP(B82,'Данни'!A:D,3,false))</f>
        <v/>
      </c>
      <c r="G82" s="93">
        <f t="shared" si="2"/>
        <v>0</v>
      </c>
      <c r="H82" s="94" t="str">
        <f>IFerror(VLOOKUP(B82,'Номенклатура'!A:F,4,0),"")</f>
        <v/>
      </c>
      <c r="I82" s="95" t="str">
        <f>iferror(VLOOKUP(B82,'Номенклатура'!A:F,5,0),"")</f>
        <v/>
      </c>
      <c r="J82" s="96" t="str">
        <f>iferror(VLOOKUP(B82,'Номенклатура'!A:N,6,0),"")</f>
        <v/>
      </c>
      <c r="K82" s="97" t="str">
        <f>iferror(VLOOKUP(B82,'Номенклатура'!A:N,7,0),"")</f>
        <v/>
      </c>
      <c r="L82" s="97" t="str">
        <f>IFERROR(VLOOKUP(B82,'Номенклатура'!A:N,8,0),"")</f>
        <v/>
      </c>
      <c r="M82" s="97" t="str">
        <f>IFERROR(VLOOKUP(B82,'Номенклатура'!A:N,9,0),"")</f>
        <v/>
      </c>
      <c r="N82" s="97" t="str">
        <f>IFERROR(VLOOKUP(B83,'Номенклатура'!A:N,10,0),"")</f>
        <v/>
      </c>
      <c r="O82" s="97" t="str">
        <f>IFERROR(VLOOKUP(B82,'Номенклатура'!A:N,11,0),"")</f>
        <v/>
      </c>
      <c r="P82" s="97" t="str">
        <f>IFERROR(VLOOKUP(B82,'Номенклатура'!A:N,12,0),"")</f>
        <v/>
      </c>
      <c r="Q82" s="97" t="str">
        <f>IFERROR(VLOOKUP(B82,'Номенклатура'!A:N,13,0),"")</f>
        <v/>
      </c>
      <c r="R82" s="91" t="str">
        <f>IFERROR(VLOOKUP(B82,'Номенклатура'!A:N,14,0),"")</f>
        <v/>
      </c>
    </row>
    <row r="83">
      <c r="A83" s="98">
        <v>70.0</v>
      </c>
      <c r="B83" s="204" t="str">
        <f>'План'!C71</f>
        <v/>
      </c>
      <c r="C83" s="100" t="str">
        <f>if(B83="","", VLOOKUP(B83,'Номенклатура'!A$3:B997,2,false))</f>
        <v/>
      </c>
      <c r="D83" s="206" t="str">
        <f>'План'!A71</f>
        <v/>
      </c>
      <c r="E83" s="102" t="str">
        <f>if(B83="","", VLOOKUP(B83,'Данни'!A:D,4,false))</f>
        <v/>
      </c>
      <c r="F83" s="103" t="str">
        <f>if(B83="","", VLOOKUP(B83,'Данни'!A:D,3,false))</f>
        <v/>
      </c>
      <c r="G83" s="104">
        <f t="shared" si="2"/>
        <v>0</v>
      </c>
      <c r="H83" s="105" t="str">
        <f>IFerror(VLOOKUP(B83,'Номенклатура'!A:F,4,0),"")</f>
        <v/>
      </c>
      <c r="I83" s="106" t="str">
        <f>iferror(VLOOKUP(B83,'Номенклатура'!A:F,5,0),"")</f>
        <v/>
      </c>
      <c r="J83" s="107" t="str">
        <f>iferror(VLOOKUP(B83,'Номенклатура'!A:N,6,0),"")</f>
        <v/>
      </c>
      <c r="K83" s="109" t="str">
        <f>iferror(VLOOKUP(B83,'Номенклатура'!A:N,7,0),"")</f>
        <v/>
      </c>
      <c r="L83" s="109" t="str">
        <f>IFERROR(VLOOKUP(B83,'Номенклатура'!A:N,8,0),"")</f>
        <v/>
      </c>
      <c r="M83" s="109" t="str">
        <f>IFERROR(VLOOKUP(B83,'Номенклатура'!A:N,9,0),"")</f>
        <v/>
      </c>
      <c r="N83" s="109" t="str">
        <f>IFERROR(VLOOKUP(B84,'Номенклатура'!A:N,10,0),"")</f>
        <v/>
      </c>
      <c r="O83" s="109" t="str">
        <f>IFERROR(VLOOKUP(B83,'Номенклатура'!A:N,11,0),"")</f>
        <v/>
      </c>
      <c r="P83" s="109" t="str">
        <f>IFERROR(VLOOKUP(B83,'Номенклатура'!A:N,12,0),"")</f>
        <v/>
      </c>
      <c r="Q83" s="109" t="str">
        <f>IFERROR(VLOOKUP(B83,'Номенклатура'!A:N,13,0),"")</f>
        <v/>
      </c>
      <c r="R83" s="102" t="str">
        <f>IFERROR(VLOOKUP(B83,'Номенклатура'!A:N,14,0),"")</f>
        <v/>
      </c>
    </row>
    <row r="84">
      <c r="A84" s="88">
        <v>71.0</v>
      </c>
      <c r="B84" s="205" t="str">
        <f>'План'!C72</f>
        <v/>
      </c>
      <c r="C84" s="90" t="str">
        <f>if(B84="","", VLOOKUP(B84,'Номенклатура'!A$3:B997,2,false))</f>
        <v/>
      </c>
      <c r="D84" s="207" t="str">
        <f>'План'!A72</f>
        <v/>
      </c>
      <c r="E84" s="91" t="str">
        <f>if(B84="","", VLOOKUP(B84,'Данни'!A:D,4,false))</f>
        <v/>
      </c>
      <c r="F84" s="92" t="str">
        <f>if(B84="","", VLOOKUP(B84,'Данни'!A:D,3,false))</f>
        <v/>
      </c>
      <c r="G84" s="93">
        <f t="shared" si="2"/>
        <v>0</v>
      </c>
      <c r="H84" s="94" t="str">
        <f>IFerror(VLOOKUP(B84,'Номенклатура'!A:F,4,0),"")</f>
        <v/>
      </c>
      <c r="I84" s="95" t="str">
        <f>iferror(VLOOKUP(B84,'Номенклатура'!A:F,5,0),"")</f>
        <v/>
      </c>
      <c r="J84" s="96" t="str">
        <f>iferror(VLOOKUP(B84,'Номенклатура'!A:N,6,0),"")</f>
        <v/>
      </c>
      <c r="K84" s="97" t="str">
        <f>iferror(VLOOKUP(B84,'Номенклатура'!A:N,7,0),"")</f>
        <v/>
      </c>
      <c r="L84" s="97" t="str">
        <f>IFERROR(VLOOKUP(B84,'Номенклатура'!A:N,8,0),"")</f>
        <v/>
      </c>
      <c r="M84" s="97" t="str">
        <f>IFERROR(VLOOKUP(B84,'Номенклатура'!A:N,9,0),"")</f>
        <v/>
      </c>
      <c r="N84" s="97" t="str">
        <f>IFERROR(VLOOKUP(B85,'Номенклатура'!A:N,10,0),"")</f>
        <v/>
      </c>
      <c r="O84" s="97" t="str">
        <f>IFERROR(VLOOKUP(B84,'Номенклатура'!A:N,11,0),"")</f>
        <v/>
      </c>
      <c r="P84" s="97" t="str">
        <f>IFERROR(VLOOKUP(B84,'Номенклатура'!A:N,12,0),"")</f>
        <v/>
      </c>
      <c r="Q84" s="97" t="str">
        <f>IFERROR(VLOOKUP(B84,'Номенклатура'!A:N,13,0),"")</f>
        <v/>
      </c>
      <c r="R84" s="91" t="str">
        <f>IFERROR(VLOOKUP(B84,'Номенклатура'!A:N,14,0),"")</f>
        <v/>
      </c>
    </row>
    <row r="85">
      <c r="A85" s="98">
        <v>72.0</v>
      </c>
      <c r="B85" s="204" t="str">
        <f>'План'!C73</f>
        <v/>
      </c>
      <c r="C85" s="100" t="str">
        <f>if(B85="","", VLOOKUP(B85,'Номенклатура'!A$3:B997,2,false))</f>
        <v/>
      </c>
      <c r="D85" s="206" t="str">
        <f>'План'!A73</f>
        <v/>
      </c>
      <c r="E85" s="102" t="str">
        <f>if(B85="","", VLOOKUP(B85,'Данни'!A:D,4,false))</f>
        <v/>
      </c>
      <c r="F85" s="103" t="str">
        <f>if(B85="","", VLOOKUP(B85,'Данни'!A:D,3,false))</f>
        <v/>
      </c>
      <c r="G85" s="104">
        <f t="shared" si="2"/>
        <v>0</v>
      </c>
      <c r="H85" s="105" t="str">
        <f>IFerror(VLOOKUP(B85,'Номенклатура'!A:F,4,0),"")</f>
        <v/>
      </c>
      <c r="I85" s="106" t="str">
        <f>iferror(VLOOKUP(B85,'Номенклатура'!A:F,5,0),"")</f>
        <v/>
      </c>
      <c r="J85" s="107" t="str">
        <f>iferror(VLOOKUP(B85,'Номенклатура'!A:N,6,0),"")</f>
        <v/>
      </c>
      <c r="K85" s="109" t="str">
        <f>iferror(VLOOKUP(B85,'Номенклатура'!A:N,7,0),"")</f>
        <v/>
      </c>
      <c r="L85" s="109" t="str">
        <f>IFERROR(VLOOKUP(B85,'Номенклатура'!A:N,8,0),"")</f>
        <v/>
      </c>
      <c r="M85" s="109" t="str">
        <f>IFERROR(VLOOKUP(B85,'Номенклатура'!A:N,9,0),"")</f>
        <v/>
      </c>
      <c r="N85" s="109" t="str">
        <f>IFERROR(VLOOKUP(B86,'Номенклатура'!A:N,10,0),"")</f>
        <v/>
      </c>
      <c r="O85" s="109" t="str">
        <f>IFERROR(VLOOKUP(B85,'Номенклатура'!A:N,11,0),"")</f>
        <v/>
      </c>
      <c r="P85" s="109" t="str">
        <f>IFERROR(VLOOKUP(B85,'Номенклатура'!A:N,12,0),"")</f>
        <v/>
      </c>
      <c r="Q85" s="109" t="str">
        <f>IFERROR(VLOOKUP(B85,'Номенклатура'!A:N,13,0),"")</f>
        <v/>
      </c>
      <c r="R85" s="102" t="str">
        <f>IFERROR(VLOOKUP(B85,'Номенклатура'!A:N,14,0),"")</f>
        <v/>
      </c>
    </row>
    <row r="86">
      <c r="A86" s="88">
        <v>73.0</v>
      </c>
      <c r="B86" s="205" t="str">
        <f>'План'!C74</f>
        <v/>
      </c>
      <c r="C86" s="90" t="str">
        <f>if(B86="","", VLOOKUP(B86,'Номенклатура'!A$3:B997,2,false))</f>
        <v/>
      </c>
      <c r="D86" s="207" t="str">
        <f>'План'!A74</f>
        <v/>
      </c>
      <c r="E86" s="91" t="str">
        <f>if(B86="","", VLOOKUP(B86,'Данни'!A:D,4,false))</f>
        <v/>
      </c>
      <c r="F86" s="92" t="str">
        <f>if(B86="","", VLOOKUP(B86,'Данни'!A:D,3,false))</f>
        <v/>
      </c>
      <c r="G86" s="93">
        <f t="shared" si="2"/>
        <v>0</v>
      </c>
      <c r="H86" s="94" t="str">
        <f>IFerror(VLOOKUP(B86,'Номенклатура'!A:F,4,0),"")</f>
        <v/>
      </c>
      <c r="I86" s="95" t="str">
        <f>iferror(VLOOKUP(B86,'Номенклатура'!A:F,5,0),"")</f>
        <v/>
      </c>
      <c r="J86" s="96" t="str">
        <f>iferror(VLOOKUP(B86,'Номенклатура'!A:N,6,0),"")</f>
        <v/>
      </c>
      <c r="K86" s="97" t="str">
        <f>iferror(VLOOKUP(B86,'Номенклатура'!A:N,7,0),"")</f>
        <v/>
      </c>
      <c r="L86" s="97" t="str">
        <f>IFERROR(VLOOKUP(B86,'Номенклатура'!A:N,8,0),"")</f>
        <v/>
      </c>
      <c r="M86" s="97" t="str">
        <f>IFERROR(VLOOKUP(B86,'Номенклатура'!A:N,9,0),"")</f>
        <v/>
      </c>
      <c r="N86" s="97" t="str">
        <f>IFERROR(VLOOKUP(B87,'Номенклатура'!A:N,10,0),"")</f>
        <v/>
      </c>
      <c r="O86" s="97" t="str">
        <f>IFERROR(VLOOKUP(B86,'Номенклатура'!A:N,11,0),"")</f>
        <v/>
      </c>
      <c r="P86" s="97" t="str">
        <f>IFERROR(VLOOKUP(B86,'Номенклатура'!A:N,12,0),"")</f>
        <v/>
      </c>
      <c r="Q86" s="97" t="str">
        <f>IFERROR(VLOOKUP(B86,'Номенклатура'!A:N,13,0),"")</f>
        <v/>
      </c>
      <c r="R86" s="91" t="str">
        <f>IFERROR(VLOOKUP(B86,'Номенклатура'!A:N,14,0),"")</f>
        <v/>
      </c>
    </row>
    <row r="87">
      <c r="A87" s="98">
        <v>74.0</v>
      </c>
      <c r="B87" s="204" t="str">
        <f>'План'!C75</f>
        <v/>
      </c>
      <c r="C87" s="100" t="str">
        <f>if(B87="","", VLOOKUP(B87,'Номенклатура'!A$3:B997,2,false))</f>
        <v/>
      </c>
      <c r="D87" s="206" t="str">
        <f>'План'!A75</f>
        <v/>
      </c>
      <c r="E87" s="102" t="str">
        <f>if(B87="","", VLOOKUP(B87,'Данни'!A:D,4,false))</f>
        <v/>
      </c>
      <c r="F87" s="103" t="str">
        <f>if(B87="","", VLOOKUP(B87,'Данни'!A:D,3,false))</f>
        <v/>
      </c>
      <c r="G87" s="104">
        <f t="shared" si="2"/>
        <v>0</v>
      </c>
      <c r="H87" s="105" t="str">
        <f>IFerror(VLOOKUP(B87,'Номенклатура'!A:F,4,0),"")</f>
        <v/>
      </c>
      <c r="I87" s="106" t="str">
        <f>iferror(VLOOKUP(B87,'Номенклатура'!A:F,5,0),"")</f>
        <v/>
      </c>
      <c r="J87" s="107" t="str">
        <f>iferror(VLOOKUP(B87,'Номенклатура'!A:N,6,0),"")</f>
        <v/>
      </c>
      <c r="K87" s="109" t="str">
        <f>iferror(VLOOKUP(B87,'Номенклатура'!A:N,7,0),"")</f>
        <v/>
      </c>
      <c r="L87" s="109" t="str">
        <f>IFERROR(VLOOKUP(B87,'Номенклатура'!A:N,8,0),"")</f>
        <v/>
      </c>
      <c r="M87" s="109" t="str">
        <f>IFERROR(VLOOKUP(B87,'Номенклатура'!A:N,9,0),"")</f>
        <v/>
      </c>
      <c r="N87" s="109" t="str">
        <f>IFERROR(VLOOKUP(B88,'Номенклатура'!A:N,10,0),"")</f>
        <v/>
      </c>
      <c r="O87" s="109" t="str">
        <f>IFERROR(VLOOKUP(B87,'Номенклатура'!A:N,11,0),"")</f>
        <v/>
      </c>
      <c r="P87" s="109" t="str">
        <f>IFERROR(VLOOKUP(B87,'Номенклатура'!A:N,12,0),"")</f>
        <v/>
      </c>
      <c r="Q87" s="109" t="str">
        <f>IFERROR(VLOOKUP(B87,'Номенклатура'!A:N,13,0),"")</f>
        <v/>
      </c>
      <c r="R87" s="102" t="str">
        <f>IFERROR(VLOOKUP(B87,'Номенклатура'!A:N,14,0),"")</f>
        <v/>
      </c>
    </row>
    <row r="88">
      <c r="A88" s="88">
        <v>75.0</v>
      </c>
      <c r="B88" s="205" t="str">
        <f>'План'!C76</f>
        <v/>
      </c>
      <c r="C88" s="90" t="str">
        <f>if(B88="","", VLOOKUP(B88,'Номенклатура'!A$3:B997,2,false))</f>
        <v/>
      </c>
      <c r="D88" s="207" t="str">
        <f>'План'!A76</f>
        <v/>
      </c>
      <c r="E88" s="91" t="str">
        <f>if(B88="","", VLOOKUP(B88,'Данни'!A:D,4,false))</f>
        <v/>
      </c>
      <c r="F88" s="92" t="str">
        <f>if(B88="","", VLOOKUP(B88,'Данни'!A:D,3,false))</f>
        <v/>
      </c>
      <c r="G88" s="93">
        <f t="shared" si="2"/>
        <v>0</v>
      </c>
      <c r="H88" s="94" t="str">
        <f>IFerror(VLOOKUP(B88,'Номенклатура'!A:F,4,0),"")</f>
        <v/>
      </c>
      <c r="I88" s="95" t="str">
        <f>iferror(VLOOKUP(B88,'Номенклатура'!A:F,5,0),"")</f>
        <v/>
      </c>
      <c r="J88" s="96" t="str">
        <f>iferror(VLOOKUP(B88,'Номенклатура'!A:N,6,0),"")</f>
        <v/>
      </c>
      <c r="K88" s="97" t="str">
        <f>iferror(VLOOKUP(B88,'Номенклатура'!A:N,7,0),"")</f>
        <v/>
      </c>
      <c r="L88" s="97" t="str">
        <f>IFERROR(VLOOKUP(B88,'Номенклатура'!A:N,8,0),"")</f>
        <v/>
      </c>
      <c r="M88" s="97" t="str">
        <f>IFERROR(VLOOKUP(B88,'Номенклатура'!A:N,9,0),"")</f>
        <v/>
      </c>
      <c r="N88" s="97" t="str">
        <f>IFERROR(VLOOKUP(B89,'Номенклатура'!A:N,10,0),"")</f>
        <v/>
      </c>
      <c r="O88" s="97" t="str">
        <f>IFERROR(VLOOKUP(B88,'Номенклатура'!A:N,11,0),"")</f>
        <v/>
      </c>
      <c r="P88" s="97" t="str">
        <f>IFERROR(VLOOKUP(B88,'Номенклатура'!A:N,12,0),"")</f>
        <v/>
      </c>
      <c r="Q88" s="97" t="str">
        <f>IFERROR(VLOOKUP(B88,'Номенклатура'!A:N,13,0),"")</f>
        <v/>
      </c>
      <c r="R88" s="91" t="str">
        <f>IFERROR(VLOOKUP(B88,'Номенклатура'!A:N,14,0),"")</f>
        <v/>
      </c>
    </row>
    <row r="89">
      <c r="A89" s="98">
        <v>76.0</v>
      </c>
      <c r="B89" s="204" t="str">
        <f>'План'!C77</f>
        <v/>
      </c>
      <c r="C89" s="100" t="str">
        <f>if(B89="","", VLOOKUP(B89,'Номенклатура'!A$3:B997,2,false))</f>
        <v/>
      </c>
      <c r="D89" s="206" t="str">
        <f>'План'!A77</f>
        <v/>
      </c>
      <c r="E89" s="102" t="str">
        <f>if(B89="","", VLOOKUP(B89,'Данни'!A:D,4,false))</f>
        <v/>
      </c>
      <c r="F89" s="103" t="str">
        <f>if(B89="","", VLOOKUP(B89,'Данни'!A:D,3,false))</f>
        <v/>
      </c>
      <c r="G89" s="104">
        <f t="shared" si="2"/>
        <v>0</v>
      </c>
      <c r="H89" s="105" t="str">
        <f>IFerror(VLOOKUP(B89,'Номенклатура'!A:F,4,0),"")</f>
        <v/>
      </c>
      <c r="I89" s="106" t="str">
        <f>iferror(VLOOKUP(B89,'Номенклатура'!A:F,5,0),"")</f>
        <v/>
      </c>
      <c r="J89" s="107" t="str">
        <f>iferror(VLOOKUP(B89,'Номенклатура'!A:N,6,0),"")</f>
        <v/>
      </c>
      <c r="K89" s="109" t="str">
        <f>iferror(VLOOKUP(B89,'Номенклатура'!A:N,7,0),"")</f>
        <v/>
      </c>
      <c r="L89" s="109" t="str">
        <f>IFERROR(VLOOKUP(B89,'Номенклатура'!A:N,8,0),"")</f>
        <v/>
      </c>
      <c r="M89" s="109" t="str">
        <f>IFERROR(VLOOKUP(B89,'Номенклатура'!A:N,9,0),"")</f>
        <v/>
      </c>
      <c r="N89" s="109" t="str">
        <f>IFERROR(VLOOKUP(B90,'Номенклатура'!A:N,10,0),"")</f>
        <v/>
      </c>
      <c r="O89" s="109" t="str">
        <f>IFERROR(VLOOKUP(B89,'Номенклатура'!A:N,11,0),"")</f>
        <v/>
      </c>
      <c r="P89" s="109" t="str">
        <f>IFERROR(VLOOKUP(B89,'Номенклатура'!A:N,12,0),"")</f>
        <v/>
      </c>
      <c r="Q89" s="109" t="str">
        <f>IFERROR(VLOOKUP(B89,'Номенклатура'!A:N,13,0),"")</f>
        <v/>
      </c>
      <c r="R89" s="102" t="str">
        <f>IFERROR(VLOOKUP(B89,'Номенклатура'!A:N,14,0),"")</f>
        <v/>
      </c>
    </row>
    <row r="90">
      <c r="A90" s="88">
        <v>77.0</v>
      </c>
      <c r="B90" s="205" t="str">
        <f>'План'!C78</f>
        <v/>
      </c>
      <c r="C90" s="90" t="str">
        <f>if(B90="","", VLOOKUP(B90,'Номенклатура'!A$3:B997,2,false))</f>
        <v/>
      </c>
      <c r="D90" s="207" t="str">
        <f>'План'!A78</f>
        <v/>
      </c>
      <c r="E90" s="91" t="str">
        <f>if(B90="","", VLOOKUP(B90,'Данни'!A:D,4,false))</f>
        <v/>
      </c>
      <c r="F90" s="92" t="str">
        <f>if(B90="","", VLOOKUP(B90,'Данни'!A:D,3,false))</f>
        <v/>
      </c>
      <c r="G90" s="93">
        <f t="shared" si="2"/>
        <v>0</v>
      </c>
      <c r="H90" s="94" t="str">
        <f>IFerror(VLOOKUP(B90,'Номенклатура'!A:F,4,0),"")</f>
        <v/>
      </c>
      <c r="I90" s="95" t="str">
        <f>iferror(VLOOKUP(B90,'Номенклатура'!A:F,5,0),"")</f>
        <v/>
      </c>
      <c r="J90" s="96" t="str">
        <f>iferror(VLOOKUP(B90,'Номенклатура'!A:N,6,0),"")</f>
        <v/>
      </c>
      <c r="K90" s="97" t="str">
        <f>iferror(VLOOKUP(B90,'Номенклатура'!A:N,7,0),"")</f>
        <v/>
      </c>
      <c r="L90" s="97" t="str">
        <f>IFERROR(VLOOKUP(B90,'Номенклатура'!A:N,8,0),"")</f>
        <v/>
      </c>
      <c r="M90" s="97" t="str">
        <f>IFERROR(VLOOKUP(B90,'Номенклатура'!A:N,9,0),"")</f>
        <v/>
      </c>
      <c r="N90" s="97" t="str">
        <f>IFERROR(VLOOKUP(B91,'Номенклатура'!A:N,10,0),"")</f>
        <v/>
      </c>
      <c r="O90" s="97" t="str">
        <f>IFERROR(VLOOKUP(B90,'Номенклатура'!A:N,11,0),"")</f>
        <v/>
      </c>
      <c r="P90" s="97" t="str">
        <f>IFERROR(VLOOKUP(B90,'Номенклатура'!A:N,12,0),"")</f>
        <v/>
      </c>
      <c r="Q90" s="97" t="str">
        <f>IFERROR(VLOOKUP(B90,'Номенклатура'!A:N,13,0),"")</f>
        <v/>
      </c>
      <c r="R90" s="91" t="str">
        <f>IFERROR(VLOOKUP(B90,'Номенклатура'!A:N,14,0),"")</f>
        <v/>
      </c>
    </row>
    <row r="91">
      <c r="A91" s="98">
        <v>78.0</v>
      </c>
      <c r="B91" s="204" t="str">
        <f>'План'!C79</f>
        <v/>
      </c>
      <c r="C91" s="100" t="str">
        <f>if(B91="","", VLOOKUP(B91,'Номенклатура'!A$3:B997,2,false))</f>
        <v/>
      </c>
      <c r="D91" s="206" t="str">
        <f>'План'!A79</f>
        <v/>
      </c>
      <c r="E91" s="102" t="str">
        <f>if(B91="","", VLOOKUP(B91,'Данни'!A:D,4,false))</f>
        <v/>
      </c>
      <c r="F91" s="103" t="str">
        <f>if(B91="","", VLOOKUP(B91,'Данни'!A:D,3,false))</f>
        <v/>
      </c>
      <c r="G91" s="104">
        <f t="shared" si="2"/>
        <v>0</v>
      </c>
      <c r="H91" s="105" t="str">
        <f>IFerror(VLOOKUP(B91,'Номенклатура'!A:F,4,0),"")</f>
        <v/>
      </c>
      <c r="I91" s="106" t="str">
        <f>iferror(VLOOKUP(B91,'Номенклатура'!A:F,5,0),"")</f>
        <v/>
      </c>
      <c r="J91" s="107" t="str">
        <f>iferror(VLOOKUP(B91,'Номенклатура'!A:N,6,0),"")</f>
        <v/>
      </c>
      <c r="K91" s="109" t="str">
        <f>iferror(VLOOKUP(B91,'Номенклатура'!A:N,7,0),"")</f>
        <v/>
      </c>
      <c r="L91" s="109" t="str">
        <f>IFERROR(VLOOKUP(B91,'Номенклатура'!A:N,8,0),"")</f>
        <v/>
      </c>
      <c r="M91" s="109" t="str">
        <f>IFERROR(VLOOKUP(B91,'Номенклатура'!A:N,9,0),"")</f>
        <v/>
      </c>
      <c r="N91" s="109" t="str">
        <f>IFERROR(VLOOKUP(B92,'Номенклатура'!A:N,10,0),"")</f>
        <v/>
      </c>
      <c r="O91" s="109" t="str">
        <f>IFERROR(VLOOKUP(B91,'Номенклатура'!A:N,11,0),"")</f>
        <v/>
      </c>
      <c r="P91" s="109" t="str">
        <f>IFERROR(VLOOKUP(B91,'Номенклатура'!A:N,12,0),"")</f>
        <v/>
      </c>
      <c r="Q91" s="109" t="str">
        <f>IFERROR(VLOOKUP(B91,'Номенклатура'!A:N,13,0),"")</f>
        <v/>
      </c>
      <c r="R91" s="102" t="str">
        <f>IFERROR(VLOOKUP(B91,'Номенклатура'!A:N,14,0),"")</f>
        <v/>
      </c>
    </row>
    <row r="92">
      <c r="A92" s="88">
        <v>79.0</v>
      </c>
      <c r="B92" s="205" t="str">
        <f>'План'!C80</f>
        <v/>
      </c>
      <c r="C92" s="90" t="str">
        <f>if(B92="","", VLOOKUP(B92,'Номенклатура'!A$3:B997,2,false))</f>
        <v/>
      </c>
      <c r="D92" s="207" t="str">
        <f>'План'!A80</f>
        <v/>
      </c>
      <c r="E92" s="91" t="str">
        <f>if(B92="","", VLOOKUP(B92,'Данни'!A:D,4,false))</f>
        <v/>
      </c>
      <c r="F92" s="92" t="str">
        <f>if(B92="","", VLOOKUP(B92,'Данни'!A:D,3,false))</f>
        <v/>
      </c>
      <c r="G92" s="93">
        <f t="shared" si="2"/>
        <v>0</v>
      </c>
      <c r="H92" s="94" t="str">
        <f>IFerror(VLOOKUP(B92,'Номенклатура'!A:F,4,0),"")</f>
        <v/>
      </c>
      <c r="I92" s="95" t="str">
        <f>iferror(VLOOKUP(B92,'Номенклатура'!A:F,5,0),"")</f>
        <v/>
      </c>
      <c r="J92" s="96" t="str">
        <f>iferror(VLOOKUP(B92,'Номенклатура'!A:N,6,0),"")</f>
        <v/>
      </c>
      <c r="K92" s="97" t="str">
        <f>iferror(VLOOKUP(B92,'Номенклатура'!A:N,7,0),"")</f>
        <v/>
      </c>
      <c r="L92" s="97" t="str">
        <f>IFERROR(VLOOKUP(B92,'Номенклатура'!A:N,8,0),"")</f>
        <v/>
      </c>
      <c r="M92" s="97" t="str">
        <f>IFERROR(VLOOKUP(B92,'Номенклатура'!A:N,9,0),"")</f>
        <v/>
      </c>
      <c r="N92" s="97" t="str">
        <f>IFERROR(VLOOKUP(B93,'Номенклатура'!A:N,10,0),"")</f>
        <v/>
      </c>
      <c r="O92" s="97" t="str">
        <f>IFERROR(VLOOKUP(B92,'Номенклатура'!A:N,11,0),"")</f>
        <v/>
      </c>
      <c r="P92" s="97" t="str">
        <f>IFERROR(VLOOKUP(B92,'Номенклатура'!A:N,12,0),"")</f>
        <v/>
      </c>
      <c r="Q92" s="97" t="str">
        <f>IFERROR(VLOOKUP(B92,'Номенклатура'!A:N,13,0),"")</f>
        <v/>
      </c>
      <c r="R92" s="91" t="str">
        <f>IFERROR(VLOOKUP(B92,'Номенклатура'!A:N,14,0),"")</f>
        <v/>
      </c>
    </row>
    <row r="93">
      <c r="A93" s="98">
        <v>80.0</v>
      </c>
      <c r="B93" s="204" t="str">
        <f>'План'!C81</f>
        <v/>
      </c>
      <c r="C93" s="100" t="str">
        <f>if(B93="","", VLOOKUP(B93,'Номенклатура'!A$3:B997,2,false))</f>
        <v/>
      </c>
      <c r="D93" s="206" t="str">
        <f>'План'!A81</f>
        <v/>
      </c>
      <c r="E93" s="102" t="str">
        <f>if(B93="","", VLOOKUP(B93,'Данни'!A:D,4,false))</f>
        <v/>
      </c>
      <c r="F93" s="103" t="str">
        <f>if(B93="","", VLOOKUP(B93,'Данни'!A:D,3,false))</f>
        <v/>
      </c>
      <c r="G93" s="104">
        <f t="shared" si="2"/>
        <v>0</v>
      </c>
      <c r="H93" s="105" t="str">
        <f>IFerror(VLOOKUP(B93,'Номенклатура'!A:F,4,0),"")</f>
        <v/>
      </c>
      <c r="I93" s="106" t="str">
        <f>iferror(VLOOKUP(B93,'Номенклатура'!A:F,5,0),"")</f>
        <v/>
      </c>
      <c r="J93" s="107" t="str">
        <f>iferror(VLOOKUP(B93,'Номенклатура'!A:N,6,0),"")</f>
        <v/>
      </c>
      <c r="K93" s="109" t="str">
        <f>iferror(VLOOKUP(B93,'Номенклатура'!A:N,7,0),"")</f>
        <v/>
      </c>
      <c r="L93" s="109" t="str">
        <f>IFERROR(VLOOKUP(B93,'Номенклатура'!A:N,8,0),"")</f>
        <v/>
      </c>
      <c r="M93" s="109" t="str">
        <f>IFERROR(VLOOKUP(B93,'Номенклатура'!A:N,9,0),"")</f>
        <v/>
      </c>
      <c r="N93" s="109" t="str">
        <f>IFERROR(VLOOKUP(B94,'Номенклатура'!A:N,10,0),"")</f>
        <v/>
      </c>
      <c r="O93" s="109" t="str">
        <f>IFERROR(VLOOKUP(B93,'Номенклатура'!A:N,11,0),"")</f>
        <v/>
      </c>
      <c r="P93" s="109" t="str">
        <f>IFERROR(VLOOKUP(B93,'Номенклатура'!A:N,12,0),"")</f>
        <v/>
      </c>
      <c r="Q93" s="109" t="str">
        <f>IFERROR(VLOOKUP(B93,'Номенклатура'!A:N,13,0),"")</f>
        <v/>
      </c>
      <c r="R93" s="102" t="str">
        <f>IFERROR(VLOOKUP(B93,'Номенклатура'!A:N,14,0),"")</f>
        <v/>
      </c>
    </row>
    <row r="94">
      <c r="A94" s="88">
        <v>81.0</v>
      </c>
      <c r="B94" s="205" t="str">
        <f>'План'!C82</f>
        <v/>
      </c>
      <c r="C94" s="90" t="str">
        <f>if(B94="","", VLOOKUP(B94,'Номенклатура'!A$3:B997,2,false))</f>
        <v/>
      </c>
      <c r="D94" s="207" t="str">
        <f>'План'!A82</f>
        <v/>
      </c>
      <c r="E94" s="91" t="str">
        <f>if(B94="","", VLOOKUP(B94,'Данни'!A:D,4,false))</f>
        <v/>
      </c>
      <c r="F94" s="92" t="str">
        <f>if(B94="","", VLOOKUP(B94,'Данни'!A:D,3,false))</f>
        <v/>
      </c>
      <c r="G94" s="93">
        <f t="shared" si="2"/>
        <v>0</v>
      </c>
      <c r="H94" s="94" t="str">
        <f>IFerror(VLOOKUP(B94,'Номенклатура'!A:F,4,0),"")</f>
        <v/>
      </c>
      <c r="I94" s="95" t="str">
        <f>iferror(VLOOKUP(B94,'Номенклатура'!A:F,5,0),"")</f>
        <v/>
      </c>
      <c r="J94" s="96" t="str">
        <f>iferror(VLOOKUP(B94,'Номенклатура'!A:N,6,0),"")</f>
        <v/>
      </c>
      <c r="K94" s="97" t="str">
        <f>iferror(VLOOKUP(B94,'Номенклатура'!A:N,7,0),"")</f>
        <v/>
      </c>
      <c r="L94" s="97" t="str">
        <f>IFERROR(VLOOKUP(B94,'Номенклатура'!A:N,8,0),"")</f>
        <v/>
      </c>
      <c r="M94" s="97" t="str">
        <f>IFERROR(VLOOKUP(B94,'Номенклатура'!A:N,9,0),"")</f>
        <v/>
      </c>
      <c r="N94" s="97" t="str">
        <f>IFERROR(VLOOKUP(B95,'Номенклатура'!A:N,10,0),"")</f>
        <v/>
      </c>
      <c r="O94" s="97" t="str">
        <f>IFERROR(VLOOKUP(B94,'Номенклатура'!A:N,11,0),"")</f>
        <v/>
      </c>
      <c r="P94" s="97" t="str">
        <f>IFERROR(VLOOKUP(B94,'Номенклатура'!A:N,12,0),"")</f>
        <v/>
      </c>
      <c r="Q94" s="97" t="str">
        <f>IFERROR(VLOOKUP(B94,'Номенклатура'!A:N,13,0),"")</f>
        <v/>
      </c>
      <c r="R94" s="91" t="str">
        <f>IFERROR(VLOOKUP(B94,'Номенклатура'!A:N,14,0),"")</f>
        <v/>
      </c>
    </row>
    <row r="95">
      <c r="A95" s="98">
        <v>82.0</v>
      </c>
      <c r="B95" s="204" t="str">
        <f>'План'!C83</f>
        <v/>
      </c>
      <c r="C95" s="100" t="str">
        <f>if(B95="","", VLOOKUP(B95,'Номенклатура'!A$3:B997,2,false))</f>
        <v/>
      </c>
      <c r="D95" s="206" t="str">
        <f>'План'!A83</f>
        <v/>
      </c>
      <c r="E95" s="102" t="str">
        <f>if(B95="","", VLOOKUP(B95,'Данни'!A:D,4,false))</f>
        <v/>
      </c>
      <c r="F95" s="103" t="str">
        <f>if(B95="","", VLOOKUP(B95,'Данни'!A:D,3,false))</f>
        <v/>
      </c>
      <c r="G95" s="104">
        <f t="shared" si="2"/>
        <v>0</v>
      </c>
      <c r="H95" s="105" t="str">
        <f>IFerror(VLOOKUP(B95,'Номенклатура'!A:F,4,0),"")</f>
        <v/>
      </c>
      <c r="I95" s="106" t="str">
        <f>iferror(VLOOKUP(B95,'Номенклатура'!A:F,5,0),"")</f>
        <v/>
      </c>
      <c r="J95" s="107" t="str">
        <f>iferror(VLOOKUP(B95,'Номенклатура'!A:N,6,0),"")</f>
        <v/>
      </c>
      <c r="K95" s="109" t="str">
        <f>iferror(VLOOKUP(B95,'Номенклатура'!A:N,7,0),"")</f>
        <v/>
      </c>
      <c r="L95" s="109" t="str">
        <f>IFERROR(VLOOKUP(B95,'Номенклатура'!A:N,8,0),"")</f>
        <v/>
      </c>
      <c r="M95" s="109" t="str">
        <f>IFERROR(VLOOKUP(B95,'Номенклатура'!A:N,9,0),"")</f>
        <v/>
      </c>
      <c r="N95" s="109" t="str">
        <f>IFERROR(VLOOKUP(B96,'Номенклатура'!A:N,10,0),"")</f>
        <v/>
      </c>
      <c r="O95" s="109" t="str">
        <f>IFERROR(VLOOKUP(B95,'Номенклатура'!A:N,11,0),"")</f>
        <v/>
      </c>
      <c r="P95" s="109" t="str">
        <f>IFERROR(VLOOKUP(B95,'Номенклатура'!A:N,12,0),"")</f>
        <v/>
      </c>
      <c r="Q95" s="109" t="str">
        <f>IFERROR(VLOOKUP(B95,'Номенклатура'!A:N,13,0),"")</f>
        <v/>
      </c>
      <c r="R95" s="102" t="str">
        <f>IFERROR(VLOOKUP(B95,'Номенклатура'!A:N,14,0),"")</f>
        <v/>
      </c>
    </row>
    <row r="96">
      <c r="A96" s="88">
        <v>83.0</v>
      </c>
      <c r="B96" s="205" t="str">
        <f>'План'!C84</f>
        <v/>
      </c>
      <c r="C96" s="90" t="str">
        <f>if(B96="","", VLOOKUP(B96,'Номенклатура'!A$3:B997,2,false))</f>
        <v/>
      </c>
      <c r="D96" s="207" t="str">
        <f>'План'!A84</f>
        <v/>
      </c>
      <c r="E96" s="91" t="str">
        <f>if(B96="","", VLOOKUP(B96,'Данни'!A:D,4,false))</f>
        <v/>
      </c>
      <c r="F96" s="92" t="str">
        <f>if(B96="","", VLOOKUP(B96,'Данни'!A:D,3,false))</f>
        <v/>
      </c>
      <c r="G96" s="93">
        <f t="shared" si="2"/>
        <v>0</v>
      </c>
      <c r="H96" s="94" t="str">
        <f>IFerror(VLOOKUP(B96,'Номенклатура'!A:F,4,0),"")</f>
        <v/>
      </c>
      <c r="I96" s="95" t="str">
        <f>iferror(VLOOKUP(B96,'Номенклатура'!A:F,5,0),"")</f>
        <v/>
      </c>
      <c r="J96" s="96" t="str">
        <f>iferror(VLOOKUP(B96,'Номенклатура'!A:N,6,0),"")</f>
        <v/>
      </c>
      <c r="K96" s="97" t="str">
        <f>iferror(VLOOKUP(B96,'Номенклатура'!A:N,7,0),"")</f>
        <v/>
      </c>
      <c r="L96" s="97" t="str">
        <f>IFERROR(VLOOKUP(B96,'Номенклатура'!A:N,8,0),"")</f>
        <v/>
      </c>
      <c r="M96" s="97" t="str">
        <f>IFERROR(VLOOKUP(B96,'Номенклатура'!A:N,9,0),"")</f>
        <v/>
      </c>
      <c r="N96" s="97" t="str">
        <f>IFERROR(VLOOKUP(B97,'Номенклатура'!A:N,10,0),"")</f>
        <v/>
      </c>
      <c r="O96" s="97" t="str">
        <f>IFERROR(VLOOKUP(B96,'Номенклатура'!A:N,11,0),"")</f>
        <v/>
      </c>
      <c r="P96" s="97" t="str">
        <f>IFERROR(VLOOKUP(B96,'Номенклатура'!A:N,12,0),"")</f>
        <v/>
      </c>
      <c r="Q96" s="97" t="str">
        <f>IFERROR(VLOOKUP(B96,'Номенклатура'!A:N,13,0),"")</f>
        <v/>
      </c>
      <c r="R96" s="91" t="str">
        <f>IFERROR(VLOOKUP(B96,'Номенклатура'!A:N,14,0),"")</f>
        <v/>
      </c>
    </row>
    <row r="97">
      <c r="A97" s="98">
        <v>84.0</v>
      </c>
      <c r="B97" s="204" t="str">
        <f>'План'!C85</f>
        <v/>
      </c>
      <c r="C97" s="100" t="str">
        <f>if(B97="","", VLOOKUP(B97,'Номенклатура'!A$3:B997,2,false))</f>
        <v/>
      </c>
      <c r="D97" s="206" t="str">
        <f>'План'!A85</f>
        <v/>
      </c>
      <c r="E97" s="102" t="str">
        <f>if(B97="","", VLOOKUP(B97,'Данни'!A:D,4,false))</f>
        <v/>
      </c>
      <c r="F97" s="103" t="str">
        <f>if(B97="","", VLOOKUP(B97,'Данни'!A:D,3,false))</f>
        <v/>
      </c>
      <c r="G97" s="104">
        <f t="shared" si="2"/>
        <v>0</v>
      </c>
      <c r="H97" s="105" t="str">
        <f>IFerror(VLOOKUP(B97,'Номенклатура'!A:F,4,0),"")</f>
        <v/>
      </c>
      <c r="I97" s="106" t="str">
        <f>iferror(VLOOKUP(B97,'Номенклатура'!A:F,5,0),"")</f>
        <v/>
      </c>
      <c r="J97" s="107" t="str">
        <f>iferror(VLOOKUP(B97,'Номенклатура'!A:N,6,0),"")</f>
        <v/>
      </c>
      <c r="K97" s="109" t="str">
        <f>iferror(VLOOKUP(B97,'Номенклатура'!A:N,7,0),"")</f>
        <v/>
      </c>
      <c r="L97" s="109" t="str">
        <f>IFERROR(VLOOKUP(B97,'Номенклатура'!A:N,8,0),"")</f>
        <v/>
      </c>
      <c r="M97" s="109" t="str">
        <f>IFERROR(VLOOKUP(B97,'Номенклатура'!A:N,9,0),"")</f>
        <v/>
      </c>
      <c r="N97" s="109" t="str">
        <f>IFERROR(VLOOKUP(B98,'Номенклатура'!A:N,10,0),"")</f>
        <v/>
      </c>
      <c r="O97" s="109" t="str">
        <f>IFERROR(VLOOKUP(B97,'Номенклатура'!A:N,11,0),"")</f>
        <v/>
      </c>
      <c r="P97" s="109" t="str">
        <f>IFERROR(VLOOKUP(B97,'Номенклатура'!A:N,12,0),"")</f>
        <v/>
      </c>
      <c r="Q97" s="109" t="str">
        <f>IFERROR(VLOOKUP(B97,'Номенклатура'!A:N,13,0),"")</f>
        <v/>
      </c>
      <c r="R97" s="102" t="str">
        <f>IFERROR(VLOOKUP(B97,'Номенклатура'!A:N,14,0),"")</f>
        <v/>
      </c>
    </row>
    <row r="98">
      <c r="A98" s="88">
        <v>85.0</v>
      </c>
      <c r="B98" s="205" t="str">
        <f>'План'!C86</f>
        <v/>
      </c>
      <c r="C98" s="90" t="str">
        <f>if(B98="","", VLOOKUP(B98,'Номенклатура'!A$3:B997,2,false))</f>
        <v/>
      </c>
      <c r="D98" s="207" t="str">
        <f>'План'!A86</f>
        <v/>
      </c>
      <c r="E98" s="91" t="str">
        <f>if(B98="","", VLOOKUP(B98,'Данни'!A:D,4,false))</f>
        <v/>
      </c>
      <c r="F98" s="92" t="str">
        <f>if(B98="","", VLOOKUP(B98,'Данни'!A:D,3,false))</f>
        <v/>
      </c>
      <c r="G98" s="93">
        <f t="shared" si="2"/>
        <v>0</v>
      </c>
      <c r="H98" s="94" t="str">
        <f>IFerror(VLOOKUP(B98,'Номенклатура'!A:F,4,0),"")</f>
        <v/>
      </c>
      <c r="I98" s="95" t="str">
        <f>iferror(VLOOKUP(B98,'Номенклатура'!A:F,5,0),"")</f>
        <v/>
      </c>
      <c r="J98" s="96" t="str">
        <f>iferror(VLOOKUP(B98,'Номенклатура'!A:N,6,0),"")</f>
        <v/>
      </c>
      <c r="K98" s="97" t="str">
        <f>iferror(VLOOKUP(B98,'Номенклатура'!A:N,7,0),"")</f>
        <v/>
      </c>
      <c r="L98" s="97" t="str">
        <f>IFERROR(VLOOKUP(B98,'Номенклатура'!A:N,8,0),"")</f>
        <v/>
      </c>
      <c r="M98" s="97" t="str">
        <f>IFERROR(VLOOKUP(B98,'Номенклатура'!A:N,9,0),"")</f>
        <v/>
      </c>
      <c r="N98" s="97" t="str">
        <f>IFERROR(VLOOKUP(B99,'Номенклатура'!A:N,10,0),"")</f>
        <v/>
      </c>
      <c r="O98" s="97" t="str">
        <f>IFERROR(VLOOKUP(B98,'Номенклатура'!A:N,11,0),"")</f>
        <v/>
      </c>
      <c r="P98" s="97" t="str">
        <f>IFERROR(VLOOKUP(B98,'Номенклатура'!A:N,12,0),"")</f>
        <v/>
      </c>
      <c r="Q98" s="97" t="str">
        <f>IFERROR(VLOOKUP(B98,'Номенклатура'!A:N,13,0),"")</f>
        <v/>
      </c>
      <c r="R98" s="91" t="str">
        <f>IFERROR(VLOOKUP(B98,'Номенклатура'!A:N,14,0),"")</f>
        <v/>
      </c>
    </row>
    <row r="99">
      <c r="A99" s="98">
        <v>86.0</v>
      </c>
      <c r="B99" s="204" t="str">
        <f>'План'!C87</f>
        <v/>
      </c>
      <c r="C99" s="100" t="str">
        <f>if(B99="","", VLOOKUP(B99,'Номенклатура'!A$3:B997,2,false))</f>
        <v/>
      </c>
      <c r="D99" s="206" t="str">
        <f>'План'!A87</f>
        <v/>
      </c>
      <c r="E99" s="102" t="str">
        <f>if(B99="","", VLOOKUP(B99,'Данни'!A:D,4,false))</f>
        <v/>
      </c>
      <c r="F99" s="103" t="str">
        <f>if(B99="","", VLOOKUP(B99,'Данни'!A:D,3,false))</f>
        <v/>
      </c>
      <c r="G99" s="104">
        <f t="shared" si="2"/>
        <v>0</v>
      </c>
      <c r="H99" s="105" t="str">
        <f>IFerror(VLOOKUP(B99,'Номенклатура'!A:F,4,0),"")</f>
        <v/>
      </c>
      <c r="I99" s="106" t="str">
        <f>iferror(VLOOKUP(B99,'Номенклатура'!A:F,5,0),"")</f>
        <v/>
      </c>
      <c r="J99" s="107" t="str">
        <f>iferror(VLOOKUP(B99,'Номенклатура'!A:N,6,0),"")</f>
        <v/>
      </c>
      <c r="K99" s="109" t="str">
        <f>iferror(VLOOKUP(B99,'Номенклатура'!A:N,7,0),"")</f>
        <v/>
      </c>
      <c r="L99" s="109" t="str">
        <f>IFERROR(VLOOKUP(B99,'Номенклатура'!A:N,8,0),"")</f>
        <v/>
      </c>
      <c r="M99" s="109" t="str">
        <f>IFERROR(VLOOKUP(B99,'Номенклатура'!A:N,9,0),"")</f>
        <v/>
      </c>
      <c r="N99" s="109" t="str">
        <f>IFERROR(VLOOKUP(B100,'Номенклатура'!A:N,10,0),"")</f>
        <v/>
      </c>
      <c r="O99" s="109" t="str">
        <f>IFERROR(VLOOKUP(B99,'Номенклатура'!A:N,11,0),"")</f>
        <v/>
      </c>
      <c r="P99" s="109" t="str">
        <f>IFERROR(VLOOKUP(B99,'Номенклатура'!A:N,12,0),"")</f>
        <v/>
      </c>
      <c r="Q99" s="109" t="str">
        <f>IFERROR(VLOOKUP(B99,'Номенклатура'!A:N,13,0),"")</f>
        <v/>
      </c>
      <c r="R99" s="102" t="str">
        <f>IFERROR(VLOOKUP(B99,'Номенклатура'!A:N,14,0),"")</f>
        <v/>
      </c>
    </row>
    <row r="100">
      <c r="A100" s="88">
        <v>87.0</v>
      </c>
      <c r="B100" s="205" t="str">
        <f>'План'!C88</f>
        <v/>
      </c>
      <c r="C100" s="90" t="str">
        <f>if(B100="","", VLOOKUP(B100,'Номенклатура'!A$3:B997,2,false))</f>
        <v/>
      </c>
      <c r="D100" s="207" t="str">
        <f>'План'!A88</f>
        <v/>
      </c>
      <c r="E100" s="91" t="str">
        <f>if(B100="","", VLOOKUP(B100,'Данни'!A:D,4,false))</f>
        <v/>
      </c>
      <c r="F100" s="92" t="str">
        <f>if(B100="","", VLOOKUP(B100,'Данни'!A:D,3,false))</f>
        <v/>
      </c>
      <c r="G100" s="93">
        <f t="shared" si="2"/>
        <v>0</v>
      </c>
      <c r="H100" s="94" t="str">
        <f>IFerror(VLOOKUP(B100,'Номенклатура'!A:F,4,0),"")</f>
        <v/>
      </c>
      <c r="I100" s="95" t="str">
        <f>iferror(VLOOKUP(B100,'Номенклатура'!A:F,5,0),"")</f>
        <v/>
      </c>
      <c r="J100" s="96" t="str">
        <f>iferror(VLOOKUP(B100,'Номенклатура'!A:N,6,0),"")</f>
        <v/>
      </c>
      <c r="K100" s="97" t="str">
        <f>iferror(VLOOKUP(B100,'Номенклатура'!A:N,7,0),"")</f>
        <v/>
      </c>
      <c r="L100" s="97" t="str">
        <f>IFERROR(VLOOKUP(B100,'Номенклатура'!A:N,8,0),"")</f>
        <v/>
      </c>
      <c r="M100" s="97" t="str">
        <f>IFERROR(VLOOKUP(B100,'Номенклатура'!A:N,9,0),"")</f>
        <v/>
      </c>
      <c r="N100" s="97" t="str">
        <f>IFERROR(VLOOKUP(B101,'Номенклатура'!A:N,10,0),"")</f>
        <v/>
      </c>
      <c r="O100" s="97" t="str">
        <f>IFERROR(VLOOKUP(B100,'Номенклатура'!A:N,11,0),"")</f>
        <v/>
      </c>
      <c r="P100" s="97" t="str">
        <f>IFERROR(VLOOKUP(B100,'Номенклатура'!A:N,12,0),"")</f>
        <v/>
      </c>
      <c r="Q100" s="97" t="str">
        <f>IFERROR(VLOOKUP(B100,'Номенклатура'!A:N,13,0),"")</f>
        <v/>
      </c>
      <c r="R100" s="91" t="str">
        <f>IFERROR(VLOOKUP(B100,'Номенклатура'!A:N,14,0),"")</f>
        <v/>
      </c>
    </row>
    <row r="101">
      <c r="A101" s="98">
        <v>88.0</v>
      </c>
      <c r="B101" s="204" t="str">
        <f>'План'!C89</f>
        <v/>
      </c>
      <c r="C101" s="100" t="str">
        <f>if(B101="","", VLOOKUP(B101,'Номенклатура'!A$3:B997,2,false))</f>
        <v/>
      </c>
      <c r="D101" s="206" t="str">
        <f>'План'!A89</f>
        <v/>
      </c>
      <c r="E101" s="102" t="str">
        <f>if(B101="","", VLOOKUP(B101,'Данни'!A:D,4,false))</f>
        <v/>
      </c>
      <c r="F101" s="103" t="str">
        <f>if(B101="","", VLOOKUP(B101,'Данни'!A:D,3,false))</f>
        <v/>
      </c>
      <c r="G101" s="104">
        <f t="shared" si="2"/>
        <v>0</v>
      </c>
      <c r="H101" s="105" t="str">
        <f>IFerror(VLOOKUP(B101,'Номенклатура'!A:F,4,0),"")</f>
        <v/>
      </c>
      <c r="I101" s="106" t="str">
        <f>iferror(VLOOKUP(B101,'Номенклатура'!A:F,5,0),"")</f>
        <v/>
      </c>
      <c r="J101" s="107" t="str">
        <f>iferror(VLOOKUP(B101,'Номенклатура'!A:N,6,0),"")</f>
        <v/>
      </c>
      <c r="K101" s="109" t="str">
        <f>iferror(VLOOKUP(B101,'Номенклатура'!A:N,7,0),"")</f>
        <v/>
      </c>
      <c r="L101" s="109" t="str">
        <f>IFERROR(VLOOKUP(B101,'Номенклатура'!A:N,8,0),"")</f>
        <v/>
      </c>
      <c r="M101" s="109" t="str">
        <f>IFERROR(VLOOKUP(B101,'Номенклатура'!A:N,9,0),"")</f>
        <v/>
      </c>
      <c r="N101" s="109" t="str">
        <f>IFERROR(VLOOKUP(B102,'Номенклатура'!A:N,10,0),"")</f>
        <v/>
      </c>
      <c r="O101" s="109" t="str">
        <f>IFERROR(VLOOKUP(B101,'Номенклатура'!A:N,11,0),"")</f>
        <v/>
      </c>
      <c r="P101" s="109" t="str">
        <f>IFERROR(VLOOKUP(B101,'Номенклатура'!A:N,12,0),"")</f>
        <v/>
      </c>
      <c r="Q101" s="109" t="str">
        <f>IFERROR(VLOOKUP(B101,'Номенклатура'!A:N,13,0),"")</f>
        <v/>
      </c>
      <c r="R101" s="102" t="str">
        <f>IFERROR(VLOOKUP(B101,'Номенклатура'!A:N,14,0),"")</f>
        <v/>
      </c>
    </row>
    <row r="102">
      <c r="A102" s="88">
        <v>89.0</v>
      </c>
      <c r="B102" s="205" t="str">
        <f>'План'!C90</f>
        <v/>
      </c>
      <c r="C102" s="90" t="str">
        <f>if(B102="","", VLOOKUP(B102,'Номенклатура'!A$3:B997,2,false))</f>
        <v/>
      </c>
      <c r="D102" s="207" t="str">
        <f>'План'!A90</f>
        <v/>
      </c>
      <c r="E102" s="91" t="str">
        <f>if(B102="","", VLOOKUP(B102,'Данни'!A:D,4,false))</f>
        <v/>
      </c>
      <c r="F102" s="92" t="str">
        <f>if(B102="","", VLOOKUP(B102,'Данни'!A:D,3,false))</f>
        <v/>
      </c>
      <c r="G102" s="93">
        <f t="shared" si="2"/>
        <v>0</v>
      </c>
      <c r="H102" s="94" t="str">
        <f>IFerror(VLOOKUP(B102,'Номенклатура'!A:F,4,0),"")</f>
        <v/>
      </c>
      <c r="I102" s="95" t="str">
        <f>iferror(VLOOKUP(B102,'Номенклатура'!A:F,5,0),"")</f>
        <v/>
      </c>
      <c r="J102" s="96" t="str">
        <f>iferror(VLOOKUP(B102,'Номенклатура'!A:N,6,0),"")</f>
        <v/>
      </c>
      <c r="K102" s="97" t="str">
        <f>iferror(VLOOKUP(B102,'Номенклатура'!A:N,7,0),"")</f>
        <v/>
      </c>
      <c r="L102" s="97" t="str">
        <f>IFERROR(VLOOKUP(B102,'Номенклатура'!A:N,8,0),"")</f>
        <v/>
      </c>
      <c r="M102" s="97" t="str">
        <f>IFERROR(VLOOKUP(B102,'Номенклатура'!A:N,9,0),"")</f>
        <v/>
      </c>
      <c r="N102" s="97" t="str">
        <f>IFERROR(VLOOKUP(B103,'Номенклатура'!A:N,10,0),"")</f>
        <v/>
      </c>
      <c r="O102" s="97" t="str">
        <f>IFERROR(VLOOKUP(B102,'Номенклатура'!A:N,11,0),"")</f>
        <v/>
      </c>
      <c r="P102" s="97" t="str">
        <f>IFERROR(VLOOKUP(B102,'Номенклатура'!A:N,12,0),"")</f>
        <v/>
      </c>
      <c r="Q102" s="97" t="str">
        <f>IFERROR(VLOOKUP(B102,'Номенклатура'!A:N,13,0),"")</f>
        <v/>
      </c>
      <c r="R102" s="91" t="str">
        <f>IFERROR(VLOOKUP(B102,'Номенклатура'!A:N,14,0),"")</f>
        <v/>
      </c>
    </row>
    <row r="103">
      <c r="A103" s="98">
        <v>90.0</v>
      </c>
      <c r="B103" s="204" t="str">
        <f>'План'!C91</f>
        <v/>
      </c>
      <c r="C103" s="100" t="str">
        <f>if(B103="","", VLOOKUP(B103,'Номенклатура'!A$3:B997,2,false))</f>
        <v/>
      </c>
      <c r="D103" s="206" t="str">
        <f>'План'!A91</f>
        <v/>
      </c>
      <c r="E103" s="102" t="str">
        <f>if(B103="","", VLOOKUP(B103,'Данни'!A:D,4,false))</f>
        <v/>
      </c>
      <c r="F103" s="103" t="str">
        <f>if(B103="","", VLOOKUP(B103,'Данни'!A:D,3,false))</f>
        <v/>
      </c>
      <c r="G103" s="104">
        <f t="shared" si="2"/>
        <v>0</v>
      </c>
      <c r="H103" s="105" t="str">
        <f>IFerror(VLOOKUP(B103,'Номенклатура'!A:F,4,0),"")</f>
        <v/>
      </c>
      <c r="I103" s="106" t="str">
        <f>iferror(VLOOKUP(B103,'Номенклатура'!A:F,5,0),"")</f>
        <v/>
      </c>
      <c r="J103" s="107" t="str">
        <f>iferror(VLOOKUP(B103,'Номенклатура'!A:N,6,0),"")</f>
        <v/>
      </c>
      <c r="K103" s="109" t="str">
        <f>iferror(VLOOKUP(B103,'Номенклатура'!A:N,7,0),"")</f>
        <v/>
      </c>
      <c r="L103" s="109" t="str">
        <f>IFERROR(VLOOKUP(B103,'Номенклатура'!A:N,8,0),"")</f>
        <v/>
      </c>
      <c r="M103" s="109" t="str">
        <f>IFERROR(VLOOKUP(B103,'Номенклатура'!A:N,9,0),"")</f>
        <v/>
      </c>
      <c r="N103" s="109" t="str">
        <f>IFERROR(VLOOKUP(B104,'Номенклатура'!A:N,10,0),"")</f>
        <v/>
      </c>
      <c r="O103" s="109" t="str">
        <f>IFERROR(VLOOKUP(B103,'Номенклатура'!A:N,11,0),"")</f>
        <v/>
      </c>
      <c r="P103" s="109" t="str">
        <f>IFERROR(VLOOKUP(B103,'Номенклатура'!A:N,12,0),"")</f>
        <v/>
      </c>
      <c r="Q103" s="109" t="str">
        <f>IFERROR(VLOOKUP(B103,'Номенклатура'!A:N,13,0),"")</f>
        <v/>
      </c>
      <c r="R103" s="102" t="str">
        <f>IFERROR(VLOOKUP(B103,'Номенклатура'!A:N,14,0),"")</f>
        <v/>
      </c>
    </row>
    <row r="104">
      <c r="A104" s="88">
        <v>91.0</v>
      </c>
      <c r="B104" s="205" t="str">
        <f>'План'!C92</f>
        <v/>
      </c>
      <c r="C104" s="90" t="str">
        <f>if(B104="","", VLOOKUP(B104,'Номенклатура'!A$3:B997,2,false))</f>
        <v/>
      </c>
      <c r="D104" s="207" t="str">
        <f>'План'!A92</f>
        <v/>
      </c>
      <c r="E104" s="91" t="str">
        <f>if(B104="","", VLOOKUP(B104,'Данни'!A:D,4,false))</f>
        <v/>
      </c>
      <c r="F104" s="92" t="str">
        <f>if(B104="","", VLOOKUP(B104,'Данни'!A:D,3,false))</f>
        <v/>
      </c>
      <c r="G104" s="93">
        <f t="shared" si="2"/>
        <v>0</v>
      </c>
      <c r="H104" s="94" t="str">
        <f>IFerror(VLOOKUP(B104,'Номенклатура'!A:F,4,0),"")</f>
        <v/>
      </c>
      <c r="I104" s="95" t="str">
        <f>iferror(VLOOKUP(B104,'Номенклатура'!A:F,5,0),"")</f>
        <v/>
      </c>
      <c r="J104" s="96" t="str">
        <f>iferror(VLOOKUP(B104,'Номенклатура'!A:N,6,0),"")</f>
        <v/>
      </c>
      <c r="K104" s="97" t="str">
        <f>iferror(VLOOKUP(B104,'Номенклатура'!A:N,7,0),"")</f>
        <v/>
      </c>
      <c r="L104" s="97" t="str">
        <f>IFERROR(VLOOKUP(B104,'Номенклатура'!A:N,8,0),"")</f>
        <v/>
      </c>
      <c r="M104" s="97" t="str">
        <f>IFERROR(VLOOKUP(B104,'Номенклатура'!A:N,9,0),"")</f>
        <v/>
      </c>
      <c r="N104" s="97" t="str">
        <f>IFERROR(VLOOKUP(B105,'Номенклатура'!A:N,10,0),"")</f>
        <v/>
      </c>
      <c r="O104" s="97" t="str">
        <f>IFERROR(VLOOKUP(B104,'Номенклатура'!A:N,11,0),"")</f>
        <v/>
      </c>
      <c r="P104" s="97" t="str">
        <f>IFERROR(VLOOKUP(B104,'Номенклатура'!A:N,12,0),"")</f>
        <v/>
      </c>
      <c r="Q104" s="97" t="str">
        <f>IFERROR(VLOOKUP(B104,'Номенклатура'!A:N,13,0),"")</f>
        <v/>
      </c>
      <c r="R104" s="91" t="str">
        <f>IFERROR(VLOOKUP(B104,'Номенклатура'!A:N,14,0),"")</f>
        <v/>
      </c>
    </row>
    <row r="105">
      <c r="A105" s="98">
        <v>92.0</v>
      </c>
      <c r="B105" s="204" t="str">
        <f>'План'!C93</f>
        <v/>
      </c>
      <c r="C105" s="100" t="str">
        <f>if(B105="","", VLOOKUP(B105,'Номенклатура'!A$3:B997,2,false))</f>
        <v/>
      </c>
      <c r="D105" s="206" t="str">
        <f>'План'!A93</f>
        <v/>
      </c>
      <c r="E105" s="102" t="str">
        <f>if(B105="","", VLOOKUP(B105,'Данни'!A:D,4,false))</f>
        <v/>
      </c>
      <c r="F105" s="103" t="str">
        <f>if(B105="","", VLOOKUP(B105,'Данни'!A:D,3,false))</f>
        <v/>
      </c>
      <c r="G105" s="104">
        <f t="shared" si="2"/>
        <v>0</v>
      </c>
      <c r="H105" s="105" t="str">
        <f>IFerror(VLOOKUP(B105,'Номенклатура'!A:F,4,0),"")</f>
        <v/>
      </c>
      <c r="I105" s="106" t="str">
        <f>iferror(VLOOKUP(B105,'Номенклатура'!A:F,5,0),"")</f>
        <v/>
      </c>
      <c r="J105" s="107" t="str">
        <f>iferror(VLOOKUP(B105,'Номенклатура'!A:N,6,0),"")</f>
        <v/>
      </c>
      <c r="K105" s="109" t="str">
        <f>iferror(VLOOKUP(B105,'Номенклатура'!A:N,7,0),"")</f>
        <v/>
      </c>
      <c r="L105" s="109" t="str">
        <f>IFERROR(VLOOKUP(B105,'Номенклатура'!A:N,8,0),"")</f>
        <v/>
      </c>
      <c r="M105" s="109" t="str">
        <f>IFERROR(VLOOKUP(B105,'Номенклатура'!A:N,9,0),"")</f>
        <v/>
      </c>
      <c r="N105" s="109" t="str">
        <f>IFERROR(VLOOKUP(B106,'Номенклатура'!A:N,10,0),"")</f>
        <v/>
      </c>
      <c r="O105" s="109" t="str">
        <f>IFERROR(VLOOKUP(B105,'Номенклатура'!A:N,11,0),"")</f>
        <v/>
      </c>
      <c r="P105" s="109" t="str">
        <f>IFERROR(VLOOKUP(B105,'Номенклатура'!A:N,12,0),"")</f>
        <v/>
      </c>
      <c r="Q105" s="109" t="str">
        <f>IFERROR(VLOOKUP(B105,'Номенклатура'!A:N,13,0),"")</f>
        <v/>
      </c>
      <c r="R105" s="102" t="str">
        <f>IFERROR(VLOOKUP(B105,'Номенклатура'!A:N,14,0),"")</f>
        <v/>
      </c>
    </row>
    <row r="106">
      <c r="A106" s="88">
        <v>93.0</v>
      </c>
      <c r="B106" s="205" t="str">
        <f>'План'!C94</f>
        <v/>
      </c>
      <c r="C106" s="90" t="str">
        <f>if(B106="","", VLOOKUP(B106,'Номенклатура'!A$3:B997,2,false))</f>
        <v/>
      </c>
      <c r="D106" s="207" t="str">
        <f>'План'!A94</f>
        <v/>
      </c>
      <c r="E106" s="91" t="str">
        <f>if(B106="","", VLOOKUP(B106,'Данни'!A:D,4,false))</f>
        <v/>
      </c>
      <c r="F106" s="92" t="str">
        <f>if(B106="","", VLOOKUP(B106,'Данни'!A:D,3,false))</f>
        <v/>
      </c>
      <c r="G106" s="93">
        <f t="shared" si="2"/>
        <v>0</v>
      </c>
      <c r="H106" s="94" t="str">
        <f>IFerror(VLOOKUP(B106,'Номенклатура'!A:F,4,0),"")</f>
        <v/>
      </c>
      <c r="I106" s="95" t="str">
        <f>iferror(VLOOKUP(B106,'Номенклатура'!A:F,5,0),"")</f>
        <v/>
      </c>
      <c r="J106" s="96" t="str">
        <f>iferror(VLOOKUP(B106,'Номенклатура'!A:N,6,0),"")</f>
        <v/>
      </c>
      <c r="K106" s="97" t="str">
        <f>iferror(VLOOKUP(B106,'Номенклатура'!A:N,7,0),"")</f>
        <v/>
      </c>
      <c r="L106" s="97" t="str">
        <f>IFERROR(VLOOKUP(B106,'Номенклатура'!A:N,8,0),"")</f>
        <v/>
      </c>
      <c r="M106" s="97" t="str">
        <f>IFERROR(VLOOKUP(B106,'Номенклатура'!A:N,9,0),"")</f>
        <v/>
      </c>
      <c r="N106" s="97" t="str">
        <f>IFERROR(VLOOKUP(B107,'Номенклатура'!A:N,10,0),"")</f>
        <v/>
      </c>
      <c r="O106" s="97" t="str">
        <f>IFERROR(VLOOKUP(B106,'Номенклатура'!A:N,11,0),"")</f>
        <v/>
      </c>
      <c r="P106" s="97" t="str">
        <f>IFERROR(VLOOKUP(B106,'Номенклатура'!A:N,12,0),"")</f>
        <v/>
      </c>
      <c r="Q106" s="97" t="str">
        <f>IFERROR(VLOOKUP(B106,'Номенклатура'!A:N,13,0),"")</f>
        <v/>
      </c>
      <c r="R106" s="91" t="str">
        <f>IFERROR(VLOOKUP(B106,'Номенклатура'!A:N,14,0),"")</f>
        <v/>
      </c>
    </row>
    <row r="107">
      <c r="A107" s="98">
        <v>94.0</v>
      </c>
      <c r="B107" s="204" t="str">
        <f>'План'!C95</f>
        <v/>
      </c>
      <c r="C107" s="100" t="str">
        <f>if(B107="","", VLOOKUP(B107,'Номенклатура'!A$3:B997,2,false))</f>
        <v/>
      </c>
      <c r="D107" s="206" t="str">
        <f>'План'!A95</f>
        <v/>
      </c>
      <c r="E107" s="102" t="str">
        <f>if(B107="","", VLOOKUP(B107,'Данни'!A:D,4,false))</f>
        <v/>
      </c>
      <c r="F107" s="103" t="str">
        <f>if(B107="","", VLOOKUP(B107,'Данни'!A:D,3,false))</f>
        <v/>
      </c>
      <c r="G107" s="104">
        <f t="shared" si="2"/>
        <v>0</v>
      </c>
      <c r="H107" s="105" t="str">
        <f>IFerror(VLOOKUP(B107,'Номенклатура'!A:F,4,0),"")</f>
        <v/>
      </c>
      <c r="I107" s="106" t="str">
        <f>iferror(VLOOKUP(B107,'Номенклатура'!A:F,5,0),"")</f>
        <v/>
      </c>
      <c r="J107" s="107" t="str">
        <f>iferror(VLOOKUP(B107,'Номенклатура'!A:N,6,0),"")</f>
        <v/>
      </c>
      <c r="K107" s="109" t="str">
        <f>iferror(VLOOKUP(B107,'Номенклатура'!A:N,7,0),"")</f>
        <v/>
      </c>
      <c r="L107" s="109" t="str">
        <f>IFERROR(VLOOKUP(B107,'Номенклатура'!A:N,8,0),"")</f>
        <v/>
      </c>
      <c r="M107" s="109" t="str">
        <f>IFERROR(VLOOKUP(B107,'Номенклатура'!A:N,9,0),"")</f>
        <v/>
      </c>
      <c r="N107" s="109" t="str">
        <f>IFERROR(VLOOKUP(B108,'Номенклатура'!A:N,10,0),"")</f>
        <v/>
      </c>
      <c r="O107" s="109" t="str">
        <f>IFERROR(VLOOKUP(B107,'Номенклатура'!A:N,11,0),"")</f>
        <v/>
      </c>
      <c r="P107" s="109" t="str">
        <f>IFERROR(VLOOKUP(B107,'Номенклатура'!A:N,12,0),"")</f>
        <v/>
      </c>
      <c r="Q107" s="109" t="str">
        <f>IFERROR(VLOOKUP(B107,'Номенклатура'!A:N,13,0),"")</f>
        <v/>
      </c>
      <c r="R107" s="102" t="str">
        <f>IFERROR(VLOOKUP(B107,'Номенклатура'!A:N,14,0),"")</f>
        <v/>
      </c>
    </row>
    <row r="108">
      <c r="A108" s="88">
        <v>95.0</v>
      </c>
      <c r="B108" s="205" t="str">
        <f>'План'!C96</f>
        <v/>
      </c>
      <c r="C108" s="90" t="str">
        <f>if(B108="","", VLOOKUP(B108,'Номенклатура'!A$3:B997,2,false))</f>
        <v/>
      </c>
      <c r="D108" s="207" t="str">
        <f>'План'!A96</f>
        <v/>
      </c>
      <c r="E108" s="91" t="str">
        <f>if(B108="","", VLOOKUP(B108,'Данни'!A:D,4,false))</f>
        <v/>
      </c>
      <c r="F108" s="92" t="str">
        <f>if(B108="","", VLOOKUP(B108,'Данни'!A:D,3,false))</f>
        <v/>
      </c>
      <c r="G108" s="93">
        <f t="shared" si="2"/>
        <v>0</v>
      </c>
      <c r="H108" s="94" t="str">
        <f>IFerror(VLOOKUP(B108,'Номенклатура'!A:F,4,0),"")</f>
        <v/>
      </c>
      <c r="I108" s="95" t="str">
        <f>iferror(VLOOKUP(B108,'Номенклатура'!A:F,5,0),"")</f>
        <v/>
      </c>
      <c r="J108" s="96" t="str">
        <f>iferror(VLOOKUP(B108,'Номенклатура'!A:N,6,0),"")</f>
        <v/>
      </c>
      <c r="K108" s="97" t="str">
        <f>iferror(VLOOKUP(B108,'Номенклатура'!A:N,7,0),"")</f>
        <v/>
      </c>
      <c r="L108" s="97" t="str">
        <f>IFERROR(VLOOKUP(B108,'Номенклатура'!A:N,8,0),"")</f>
        <v/>
      </c>
      <c r="M108" s="97" t="str">
        <f>IFERROR(VLOOKUP(B108,'Номенклатура'!A:N,9,0),"")</f>
        <v/>
      </c>
      <c r="N108" s="97" t="str">
        <f>IFERROR(VLOOKUP(B109,'Номенклатура'!A:N,10,0),"")</f>
        <v/>
      </c>
      <c r="O108" s="97" t="str">
        <f>IFERROR(VLOOKUP(B108,'Номенклатура'!A:N,11,0),"")</f>
        <v/>
      </c>
      <c r="P108" s="97" t="str">
        <f>IFERROR(VLOOKUP(B108,'Номенклатура'!A:N,12,0),"")</f>
        <v/>
      </c>
      <c r="Q108" s="97" t="str">
        <f>IFERROR(VLOOKUP(B108,'Номенклатура'!A:N,13,0),"")</f>
        <v/>
      </c>
      <c r="R108" s="91" t="str">
        <f>IFERROR(VLOOKUP(B108,'Номенклатура'!A:N,14,0),"")</f>
        <v/>
      </c>
    </row>
    <row r="109">
      <c r="A109" s="98">
        <v>96.0</v>
      </c>
      <c r="B109" s="204" t="str">
        <f>'План'!C97</f>
        <v/>
      </c>
      <c r="C109" s="100" t="str">
        <f>if(B109="","", VLOOKUP(B109,'Номенклатура'!A$3:B997,2,false))</f>
        <v/>
      </c>
      <c r="D109" s="206" t="str">
        <f>'План'!A97</f>
        <v/>
      </c>
      <c r="E109" s="102" t="str">
        <f>if(B109="","", VLOOKUP(B109,'Данни'!A:D,4,false))</f>
        <v/>
      </c>
      <c r="F109" s="103" t="str">
        <f>if(B109="","", VLOOKUP(B109,'Данни'!A:D,3,false))</f>
        <v/>
      </c>
      <c r="G109" s="104">
        <f t="shared" si="2"/>
        <v>0</v>
      </c>
      <c r="H109" s="105" t="str">
        <f>IFerror(VLOOKUP(B109,'Номенклатура'!A:F,4,0),"")</f>
        <v/>
      </c>
      <c r="I109" s="106" t="str">
        <f>iferror(VLOOKUP(B109,'Номенклатура'!A:F,5,0),"")</f>
        <v/>
      </c>
      <c r="J109" s="107" t="str">
        <f>iferror(VLOOKUP(B109,'Номенклатура'!A:N,6,0),"")</f>
        <v/>
      </c>
      <c r="K109" s="109" t="str">
        <f>iferror(VLOOKUP(B109,'Номенклатура'!A:N,7,0),"")</f>
        <v/>
      </c>
      <c r="L109" s="109" t="str">
        <f>IFERROR(VLOOKUP(B109,'Номенклатура'!A:N,8,0),"")</f>
        <v/>
      </c>
      <c r="M109" s="109" t="str">
        <f>IFERROR(VLOOKUP(B109,'Номенклатура'!A:N,9,0),"")</f>
        <v/>
      </c>
      <c r="N109" s="109" t="str">
        <f>IFERROR(VLOOKUP(B110,'Номенклатура'!A:N,10,0),"")</f>
        <v/>
      </c>
      <c r="O109" s="109" t="str">
        <f>IFERROR(VLOOKUP(B109,'Номенклатура'!A:N,11,0),"")</f>
        <v/>
      </c>
      <c r="P109" s="109" t="str">
        <f>IFERROR(VLOOKUP(B109,'Номенклатура'!A:N,12,0),"")</f>
        <v/>
      </c>
      <c r="Q109" s="109" t="str">
        <f>IFERROR(VLOOKUP(B109,'Номенклатура'!A:N,13,0),"")</f>
        <v/>
      </c>
      <c r="R109" s="102" t="str">
        <f>IFERROR(VLOOKUP(B109,'Номенклатура'!A:N,14,0),"")</f>
        <v/>
      </c>
    </row>
    <row r="110">
      <c r="A110" s="88">
        <v>97.0</v>
      </c>
      <c r="B110" s="205" t="str">
        <f>'План'!C98</f>
        <v/>
      </c>
      <c r="C110" s="90" t="str">
        <f>if(B110="","", VLOOKUP(B110,'Номенклатура'!A$3:B997,2,false))</f>
        <v/>
      </c>
      <c r="D110" s="207" t="str">
        <f>'План'!A98</f>
        <v/>
      </c>
      <c r="E110" s="91" t="str">
        <f>if(B110="","", VLOOKUP(B110,'Данни'!A:D,4,false))</f>
        <v/>
      </c>
      <c r="F110" s="92" t="str">
        <f>if(B110="","", VLOOKUP(B110,'Данни'!A:D,3,false))</f>
        <v/>
      </c>
      <c r="G110" s="93">
        <f t="shared" si="2"/>
        <v>0</v>
      </c>
      <c r="H110" s="94" t="str">
        <f>IFerror(VLOOKUP(B110,'Номенклатура'!A:F,4,0),"")</f>
        <v/>
      </c>
      <c r="I110" s="95" t="str">
        <f>iferror(VLOOKUP(B110,'Номенклатура'!A:F,5,0),"")</f>
        <v/>
      </c>
      <c r="J110" s="96" t="str">
        <f>iferror(VLOOKUP(B110,'Номенклатура'!A:N,6,0),"")</f>
        <v/>
      </c>
      <c r="K110" s="97" t="str">
        <f>iferror(VLOOKUP(B110,'Номенклатура'!A:N,7,0),"")</f>
        <v/>
      </c>
      <c r="L110" s="97" t="str">
        <f>IFERROR(VLOOKUP(B110,'Номенклатура'!A:N,8,0),"")</f>
        <v/>
      </c>
      <c r="M110" s="97" t="str">
        <f>IFERROR(VLOOKUP(B110,'Номенклатура'!A:N,9,0),"")</f>
        <v/>
      </c>
      <c r="N110" s="97" t="str">
        <f>IFERROR(VLOOKUP(B111,'Номенклатура'!A:N,10,0),"")</f>
        <v/>
      </c>
      <c r="O110" s="97" t="str">
        <f>IFERROR(VLOOKUP(B110,'Номенклатура'!A:N,11,0),"")</f>
        <v/>
      </c>
      <c r="P110" s="97" t="str">
        <f>IFERROR(VLOOKUP(B110,'Номенклатура'!A:N,12,0),"")</f>
        <v/>
      </c>
      <c r="Q110" s="97" t="str">
        <f>IFERROR(VLOOKUP(B110,'Номенклатура'!A:N,13,0),"")</f>
        <v/>
      </c>
      <c r="R110" s="91" t="str">
        <f>IFERROR(VLOOKUP(B110,'Номенклатура'!A:N,14,0),"")</f>
        <v/>
      </c>
    </row>
    <row r="111">
      <c r="A111" s="98">
        <v>98.0</v>
      </c>
      <c r="B111" s="204" t="str">
        <f>'План'!C99</f>
        <v/>
      </c>
      <c r="C111" s="100" t="str">
        <f>if(B111="","", VLOOKUP(B111,'Номенклатура'!A$3:B997,2,false))</f>
        <v/>
      </c>
      <c r="D111" s="206" t="str">
        <f>'План'!A99</f>
        <v/>
      </c>
      <c r="E111" s="102" t="str">
        <f>if(B111="","", VLOOKUP(B111,'Данни'!A:D,4,false))</f>
        <v/>
      </c>
      <c r="F111" s="103" t="str">
        <f>if(B111="","", VLOOKUP(B111,'Данни'!A:D,3,false))</f>
        <v/>
      </c>
      <c r="G111" s="104">
        <f t="shared" si="2"/>
        <v>0</v>
      </c>
      <c r="H111" s="105" t="str">
        <f>IFerror(VLOOKUP(B111,'Номенклатура'!A:F,4,0),"")</f>
        <v/>
      </c>
      <c r="I111" s="106" t="str">
        <f>iferror(VLOOKUP(B111,'Номенклатура'!A:F,5,0),"")</f>
        <v/>
      </c>
      <c r="J111" s="107" t="str">
        <f>iferror(VLOOKUP(B111,'Номенклатура'!A:N,6,0),"")</f>
        <v/>
      </c>
      <c r="K111" s="109" t="str">
        <f>iferror(VLOOKUP(B111,'Номенклатура'!A:N,7,0),"")</f>
        <v/>
      </c>
      <c r="L111" s="109" t="str">
        <f>IFERROR(VLOOKUP(B111,'Номенклатура'!A:N,8,0),"")</f>
        <v/>
      </c>
      <c r="M111" s="109" t="str">
        <f>IFERROR(VLOOKUP(B111,'Номенклатура'!A:N,9,0),"")</f>
        <v/>
      </c>
      <c r="N111" s="109" t="str">
        <f>IFERROR(VLOOKUP(B112,'Номенклатура'!A:N,10,0),"")</f>
        <v/>
      </c>
      <c r="O111" s="109" t="str">
        <f>IFERROR(VLOOKUP(B111,'Номенклатура'!A:N,11,0),"")</f>
        <v/>
      </c>
      <c r="P111" s="109" t="str">
        <f>IFERROR(VLOOKUP(B111,'Номенклатура'!A:N,12,0),"")</f>
        <v/>
      </c>
      <c r="Q111" s="109" t="str">
        <f>IFERROR(VLOOKUP(B111,'Номенклатура'!A:N,13,0),"")</f>
        <v/>
      </c>
      <c r="R111" s="102" t="str">
        <f>IFERROR(VLOOKUP(B111,'Номенклатура'!A:N,14,0),"")</f>
        <v/>
      </c>
    </row>
    <row r="112">
      <c r="A112" s="88">
        <v>99.0</v>
      </c>
      <c r="B112" s="205" t="str">
        <f>'План'!C100</f>
        <v/>
      </c>
      <c r="C112" s="90" t="str">
        <f>if(B112="","", VLOOKUP(B112,'Номенклатура'!A$3:B997,2,false))</f>
        <v/>
      </c>
      <c r="D112" s="207" t="str">
        <f>'План'!A100</f>
        <v/>
      </c>
      <c r="E112" s="91" t="str">
        <f>if(B112="","", VLOOKUP(B112,'Данни'!A:D,4,false))</f>
        <v/>
      </c>
      <c r="F112" s="92" t="str">
        <f>if(B112="","", VLOOKUP(B112,'Данни'!A:D,3,false))</f>
        <v/>
      </c>
      <c r="G112" s="93">
        <f t="shared" si="2"/>
        <v>0</v>
      </c>
      <c r="H112" s="94" t="str">
        <f>IFerror(VLOOKUP(B112,'Номенклатура'!A:F,4,0),"")</f>
        <v/>
      </c>
      <c r="I112" s="95" t="str">
        <f>iferror(VLOOKUP(B112,'Номенклатура'!A:F,5,0),"")</f>
        <v/>
      </c>
      <c r="J112" s="96" t="str">
        <f>iferror(VLOOKUP(B112,'Номенклатура'!A:N,6,0),"")</f>
        <v/>
      </c>
      <c r="K112" s="97" t="str">
        <f>iferror(VLOOKUP(B112,'Номенклатура'!A:N,7,0),"")</f>
        <v/>
      </c>
      <c r="L112" s="97" t="str">
        <f>IFERROR(VLOOKUP(B112,'Номенклатура'!A:N,8,0),"")</f>
        <v/>
      </c>
      <c r="M112" s="97" t="str">
        <f>IFERROR(VLOOKUP(B112,'Номенклатура'!A:N,9,0),"")</f>
        <v/>
      </c>
      <c r="N112" s="97" t="str">
        <f>IFERROR(VLOOKUP(B113,'Номенклатура'!A:N,10,0),"")</f>
        <v/>
      </c>
      <c r="O112" s="97" t="str">
        <f>IFERROR(VLOOKUP(B112,'Номенклатура'!A:N,11,0),"")</f>
        <v/>
      </c>
      <c r="P112" s="97" t="str">
        <f>IFERROR(VLOOKUP(B112,'Номенклатура'!A:N,12,0),"")</f>
        <v/>
      </c>
      <c r="Q112" s="97" t="str">
        <f>IFERROR(VLOOKUP(B112,'Номенклатура'!A:N,13,0),"")</f>
        <v/>
      </c>
      <c r="R112" s="91" t="str">
        <f>IFERROR(VLOOKUP(B112,'Номенклатура'!A:N,14,0),"")</f>
        <v/>
      </c>
    </row>
    <row r="113">
      <c r="A113" s="98">
        <v>100.0</v>
      </c>
      <c r="B113" s="204" t="str">
        <f>'План'!C101</f>
        <v/>
      </c>
      <c r="C113" s="100" t="str">
        <f>if(B113="","", VLOOKUP(B113,'Номенклатура'!A$3:B997,2,false))</f>
        <v/>
      </c>
      <c r="D113" s="206" t="str">
        <f>'План'!A101</f>
        <v/>
      </c>
      <c r="E113" s="102" t="str">
        <f>if(B113="","", VLOOKUP(B113,'Данни'!A:D,4,false))</f>
        <v/>
      </c>
      <c r="F113" s="103" t="str">
        <f>if(B113="","", VLOOKUP(B113,'Данни'!A:D,3,false))</f>
        <v/>
      </c>
      <c r="G113" s="104">
        <f t="shared" si="2"/>
        <v>0</v>
      </c>
      <c r="H113" s="105" t="str">
        <f>IFerror(VLOOKUP(B113,'Номенклатура'!A:F,4,0),"")</f>
        <v/>
      </c>
      <c r="I113" s="106" t="str">
        <f>iferror(VLOOKUP(B113,'Номенклатура'!A:F,5,0),"")</f>
        <v/>
      </c>
      <c r="J113" s="107" t="str">
        <f>iferror(VLOOKUP(B113,'Номенклатура'!A:N,6,0),"")</f>
        <v/>
      </c>
      <c r="K113" s="109" t="str">
        <f>iferror(VLOOKUP(B113,'Номенклатура'!A:N,7,0),"")</f>
        <v/>
      </c>
      <c r="L113" s="109" t="str">
        <f>IFERROR(VLOOKUP(B113,'Номенклатура'!A:N,8,0),"")</f>
        <v/>
      </c>
      <c r="M113" s="109" t="str">
        <f>IFERROR(VLOOKUP(B113,'Номенклатура'!A:N,9,0),"")</f>
        <v/>
      </c>
      <c r="N113" s="109" t="str">
        <f>IFERROR(VLOOKUP(B114,'Номенклатура'!A:N,10,0),"")</f>
        <v/>
      </c>
      <c r="O113" s="109" t="str">
        <f>IFERROR(VLOOKUP(B113,'Номенклатура'!A:N,11,0),"")</f>
        <v/>
      </c>
      <c r="P113" s="109" t="str">
        <f>IFERROR(VLOOKUP(B113,'Номенклатура'!A:N,12,0),"")</f>
        <v/>
      </c>
      <c r="Q113" s="109" t="str">
        <f>IFERROR(VLOOKUP(B113,'Номенклатура'!A:N,13,0),"")</f>
        <v/>
      </c>
      <c r="R113" s="102" t="str">
        <f>IFERROR(VLOOKUP(B113,'Номенклатура'!A:N,14,0),"")</f>
        <v/>
      </c>
    </row>
    <row r="114">
      <c r="A114" s="283"/>
      <c r="B114" s="284"/>
      <c r="C114" s="285"/>
      <c r="D114" s="286"/>
      <c r="E114" s="286"/>
      <c r="F114" s="287" t="s">
        <v>96</v>
      </c>
      <c r="G114" s="288" t="str">
        <f>SUM(G1:G113)</f>
        <v>#N/A</v>
      </c>
      <c r="H114" s="289"/>
      <c r="I114" s="290"/>
      <c r="J114" s="286"/>
      <c r="K114" s="286"/>
      <c r="L114" s="286"/>
      <c r="M114" s="286"/>
      <c r="N114" s="286"/>
      <c r="O114" s="286"/>
      <c r="P114" s="286"/>
      <c r="Q114" s="286"/>
      <c r="R114" s="286"/>
    </row>
    <row r="115">
      <c r="A115" s="242" t="s">
        <v>97</v>
      </c>
      <c r="B115" s="243"/>
      <c r="C115" s="291"/>
      <c r="D115" s="236"/>
      <c r="E115" s="236"/>
      <c r="F115" s="236"/>
      <c r="G115" s="292"/>
      <c r="H115" s="293"/>
      <c r="I115" s="239"/>
      <c r="J115" s="240"/>
      <c r="K115" s="240"/>
      <c r="L115" s="240"/>
      <c r="M115" s="240"/>
      <c r="N115" s="240"/>
      <c r="O115" s="240"/>
      <c r="P115" s="240"/>
      <c r="Q115" s="240"/>
      <c r="R115" s="240"/>
    </row>
    <row r="116">
      <c r="A116" s="233" t="s">
        <v>99</v>
      </c>
      <c r="B116" s="234"/>
      <c r="C116" s="294"/>
      <c r="D116" s="236"/>
      <c r="E116" s="236"/>
      <c r="F116" s="236"/>
      <c r="G116" s="292"/>
      <c r="H116" s="293"/>
      <c r="I116" s="239"/>
      <c r="J116" s="240"/>
      <c r="K116" s="240"/>
      <c r="L116" s="240"/>
      <c r="M116" s="240"/>
      <c r="N116" s="240"/>
      <c r="O116" s="240"/>
      <c r="P116" s="240"/>
      <c r="Q116" s="240"/>
      <c r="R116" s="240"/>
    </row>
    <row r="117">
      <c r="A117" s="295" t="s">
        <v>100</v>
      </c>
      <c r="C117" s="296"/>
      <c r="D117" s="236"/>
      <c r="E117" s="236"/>
      <c r="F117" s="236"/>
      <c r="G117" s="292"/>
      <c r="H117" s="293"/>
      <c r="I117" s="239"/>
      <c r="J117" s="240"/>
      <c r="K117" s="240"/>
      <c r="L117" s="240"/>
      <c r="M117" s="240"/>
      <c r="N117" s="240"/>
      <c r="O117" s="240"/>
      <c r="P117" s="240"/>
      <c r="Q117" s="240"/>
      <c r="R117" s="240"/>
    </row>
    <row r="118">
      <c r="A118" s="245" t="s">
        <v>101</v>
      </c>
      <c r="B118" s="234"/>
      <c r="C118" s="297"/>
      <c r="D118" s="247"/>
      <c r="E118" s="247"/>
      <c r="F118" s="247"/>
      <c r="G118" s="298"/>
      <c r="H118" s="299"/>
      <c r="I118" s="250"/>
      <c r="J118" s="251"/>
      <c r="K118" s="251"/>
      <c r="L118" s="251"/>
      <c r="M118" s="251"/>
      <c r="N118" s="251"/>
      <c r="O118" s="251"/>
      <c r="P118" s="251"/>
      <c r="Q118" s="251"/>
      <c r="R118" s="251"/>
    </row>
    <row r="119">
      <c r="A119" s="246" t="s">
        <v>104</v>
      </c>
      <c r="B119" s="243"/>
      <c r="C119" s="300"/>
      <c r="D119" s="247"/>
      <c r="E119" s="247"/>
      <c r="F119" s="247"/>
      <c r="G119" s="298"/>
      <c r="H119" s="299"/>
      <c r="I119" s="250"/>
      <c r="J119" s="251"/>
      <c r="K119" s="251"/>
      <c r="L119" s="251"/>
      <c r="M119" s="251"/>
      <c r="N119" s="251"/>
      <c r="O119" s="251"/>
      <c r="P119" s="251"/>
      <c r="Q119" s="251"/>
      <c r="R119" s="251"/>
    </row>
    <row r="120">
      <c r="A120" s="301" t="s">
        <v>105</v>
      </c>
      <c r="B120" s="302"/>
      <c r="C120" s="300"/>
      <c r="D120" s="247"/>
      <c r="E120" s="247"/>
      <c r="F120" s="247"/>
      <c r="G120" s="298"/>
      <c r="H120" s="299"/>
      <c r="I120" s="250"/>
      <c r="J120" s="251"/>
      <c r="K120" s="251"/>
      <c r="L120" s="251"/>
      <c r="M120" s="251"/>
      <c r="N120" s="251"/>
      <c r="O120" s="251"/>
      <c r="P120" s="251"/>
      <c r="Q120" s="251"/>
      <c r="R120" s="251"/>
    </row>
    <row r="121">
      <c r="A121" s="255"/>
      <c r="B121" s="258"/>
      <c r="C121" s="259"/>
      <c r="D121" s="247"/>
      <c r="E121" s="247"/>
      <c r="F121" s="247"/>
      <c r="G121" s="298"/>
      <c r="H121" s="299"/>
      <c r="I121" s="250"/>
      <c r="J121" s="251"/>
      <c r="K121" s="251"/>
      <c r="L121" s="251"/>
      <c r="M121" s="251"/>
      <c r="N121" s="251"/>
      <c r="O121" s="251"/>
      <c r="P121" s="251"/>
      <c r="Q121" s="251"/>
      <c r="R121" s="251"/>
    </row>
    <row r="122">
      <c r="A122" s="255"/>
      <c r="B122" s="256"/>
      <c r="C122" s="257"/>
      <c r="D122" s="247"/>
      <c r="E122" s="247"/>
      <c r="F122" s="247"/>
      <c r="G122" s="298"/>
      <c r="H122" s="299"/>
      <c r="I122" s="250"/>
      <c r="J122" s="251"/>
      <c r="K122" s="251"/>
      <c r="L122" s="251"/>
      <c r="M122" s="251"/>
      <c r="N122" s="251"/>
      <c r="O122" s="251"/>
      <c r="P122" s="251"/>
      <c r="Q122" s="251"/>
      <c r="R122" s="251"/>
    </row>
    <row r="123">
      <c r="A123" s="255"/>
      <c r="B123" s="258"/>
      <c r="C123" s="259"/>
      <c r="D123" s="247"/>
      <c r="E123" s="247"/>
      <c r="F123" s="247"/>
      <c r="G123" s="298"/>
      <c r="H123" s="299"/>
      <c r="I123" s="250"/>
      <c r="J123" s="251"/>
      <c r="K123" s="251"/>
      <c r="L123" s="251"/>
      <c r="M123" s="251"/>
      <c r="N123" s="251"/>
      <c r="O123" s="251"/>
      <c r="P123" s="251"/>
      <c r="Q123" s="251"/>
      <c r="R123" s="251"/>
    </row>
    <row r="124">
      <c r="A124" s="255"/>
      <c r="B124" s="256"/>
      <c r="C124" s="257"/>
      <c r="D124" s="247"/>
      <c r="E124" s="247"/>
      <c r="F124" s="247"/>
      <c r="G124" s="298"/>
      <c r="H124" s="299"/>
      <c r="I124" s="250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>
      <c r="A125" s="260"/>
      <c r="B125" s="303"/>
      <c r="C125" s="262"/>
      <c r="D125" s="260"/>
      <c r="E125" s="260"/>
      <c r="F125" s="260"/>
      <c r="G125" s="304"/>
      <c r="H125" s="305"/>
      <c r="I125" s="266"/>
      <c r="J125" s="260"/>
      <c r="K125" s="260"/>
      <c r="L125" s="260"/>
      <c r="M125" s="260"/>
      <c r="N125" s="260"/>
      <c r="O125" s="260"/>
      <c r="P125" s="260"/>
      <c r="Q125" s="260"/>
      <c r="R125" s="260"/>
    </row>
    <row r="126">
      <c r="A126" s="269"/>
      <c r="B126" s="306"/>
      <c r="C126" s="271"/>
      <c r="D126" s="269"/>
      <c r="E126" s="269"/>
      <c r="F126" s="269"/>
      <c r="G126" s="307"/>
      <c r="H126" s="308"/>
      <c r="I126" s="275"/>
      <c r="J126" s="269"/>
      <c r="K126" s="269"/>
      <c r="L126" s="269"/>
      <c r="M126" s="269"/>
      <c r="N126" s="269"/>
      <c r="O126" s="269"/>
      <c r="P126" s="269"/>
      <c r="Q126" s="269"/>
      <c r="R126" s="269"/>
    </row>
    <row r="127">
      <c r="A127" s="269"/>
      <c r="B127" s="306"/>
      <c r="C127" s="271"/>
      <c r="D127" s="269"/>
      <c r="E127" s="269"/>
      <c r="F127" s="269"/>
      <c r="G127" s="307"/>
      <c r="H127" s="308"/>
      <c r="I127" s="275"/>
      <c r="J127" s="269"/>
      <c r="K127" s="269"/>
      <c r="L127" s="269"/>
      <c r="M127" s="269"/>
      <c r="N127" s="269"/>
      <c r="O127" s="269"/>
      <c r="P127" s="269"/>
      <c r="Q127" s="269"/>
      <c r="R127" s="269"/>
    </row>
    <row r="128">
      <c r="A128" s="269"/>
      <c r="B128" s="306"/>
      <c r="C128" s="271"/>
      <c r="D128" s="269"/>
      <c r="E128" s="269"/>
      <c r="F128" s="269"/>
      <c r="G128" s="307"/>
      <c r="H128" s="308"/>
      <c r="I128" s="275"/>
      <c r="J128" s="269"/>
      <c r="K128" s="269"/>
      <c r="L128" s="269"/>
      <c r="M128" s="269"/>
      <c r="N128" s="269"/>
      <c r="O128" s="269"/>
      <c r="P128" s="269"/>
      <c r="Q128" s="269"/>
      <c r="R128" s="269"/>
    </row>
    <row r="129">
      <c r="A129" s="269"/>
      <c r="B129" s="306"/>
      <c r="C129" s="271"/>
      <c r="D129" s="269"/>
      <c r="E129" s="269"/>
      <c r="F129" s="269"/>
      <c r="G129" s="307"/>
      <c r="H129" s="308"/>
      <c r="I129" s="275"/>
      <c r="J129" s="269"/>
      <c r="K129" s="269"/>
      <c r="L129" s="269"/>
      <c r="M129" s="269"/>
      <c r="N129" s="269"/>
      <c r="O129" s="269"/>
      <c r="P129" s="269"/>
      <c r="Q129" s="269"/>
      <c r="R129" s="269"/>
    </row>
    <row r="130">
      <c r="A130" s="269"/>
      <c r="B130" s="306"/>
      <c r="C130" s="271"/>
      <c r="D130" s="269"/>
      <c r="E130" s="269"/>
      <c r="F130" s="269"/>
      <c r="G130" s="307"/>
      <c r="H130" s="308"/>
      <c r="I130" s="275"/>
      <c r="J130" s="269"/>
      <c r="K130" s="269"/>
      <c r="L130" s="269"/>
      <c r="M130" s="269"/>
      <c r="N130" s="269"/>
      <c r="O130" s="269"/>
      <c r="P130" s="269"/>
      <c r="Q130" s="269"/>
      <c r="R130" s="269"/>
    </row>
    <row r="131">
      <c r="A131" s="269"/>
      <c r="B131" s="306"/>
      <c r="C131" s="271"/>
      <c r="D131" s="269"/>
      <c r="E131" s="269"/>
      <c r="F131" s="269"/>
      <c r="G131" s="307"/>
      <c r="H131" s="308"/>
      <c r="I131" s="275"/>
      <c r="J131" s="269"/>
      <c r="K131" s="269"/>
      <c r="L131" s="269"/>
      <c r="M131" s="269"/>
      <c r="N131" s="269"/>
      <c r="O131" s="269"/>
      <c r="P131" s="269"/>
      <c r="Q131" s="269"/>
      <c r="R131" s="269"/>
    </row>
    <row r="132">
      <c r="A132" s="269"/>
      <c r="B132" s="306"/>
      <c r="C132" s="271"/>
      <c r="D132" s="269"/>
      <c r="E132" s="269"/>
      <c r="F132" s="269"/>
      <c r="G132" s="307"/>
      <c r="H132" s="308"/>
      <c r="I132" s="275"/>
      <c r="J132" s="269"/>
      <c r="K132" s="269"/>
      <c r="L132" s="269"/>
      <c r="M132" s="269"/>
      <c r="N132" s="269"/>
      <c r="O132" s="269"/>
      <c r="P132" s="269"/>
      <c r="Q132" s="269"/>
      <c r="R132" s="269"/>
    </row>
    <row r="133">
      <c r="A133" s="269"/>
      <c r="B133" s="306"/>
      <c r="C133" s="271"/>
      <c r="D133" s="269"/>
      <c r="E133" s="269"/>
      <c r="F133" s="269"/>
      <c r="G133" s="307"/>
      <c r="H133" s="308"/>
      <c r="I133" s="275"/>
      <c r="J133" s="269"/>
      <c r="K133" s="269"/>
      <c r="L133" s="269"/>
      <c r="M133" s="269"/>
      <c r="N133" s="269"/>
      <c r="O133" s="269"/>
      <c r="P133" s="269"/>
      <c r="Q133" s="269"/>
      <c r="R133" s="269"/>
    </row>
    <row r="134">
      <c r="A134" s="269"/>
      <c r="B134" s="306"/>
      <c r="C134" s="271"/>
      <c r="D134" s="269"/>
      <c r="E134" s="269"/>
      <c r="F134" s="269"/>
      <c r="G134" s="307"/>
      <c r="H134" s="308"/>
      <c r="I134" s="275"/>
      <c r="J134" s="269"/>
      <c r="K134" s="269"/>
      <c r="L134" s="269"/>
      <c r="M134" s="269"/>
      <c r="N134" s="269"/>
      <c r="O134" s="269"/>
      <c r="P134" s="269"/>
      <c r="Q134" s="269"/>
      <c r="R134" s="269"/>
    </row>
    <row r="135">
      <c r="A135" s="269"/>
      <c r="B135" s="306"/>
      <c r="C135" s="271"/>
      <c r="D135" s="269"/>
      <c r="E135" s="269"/>
      <c r="F135" s="269"/>
      <c r="G135" s="307"/>
      <c r="H135" s="308"/>
      <c r="I135" s="275"/>
      <c r="J135" s="269"/>
      <c r="K135" s="269"/>
      <c r="L135" s="269"/>
      <c r="M135" s="269"/>
      <c r="N135" s="269"/>
      <c r="O135" s="269"/>
      <c r="P135" s="269"/>
      <c r="Q135" s="269"/>
      <c r="R135" s="269"/>
    </row>
    <row r="136">
      <c r="A136" s="269"/>
      <c r="B136" s="306"/>
      <c r="C136" s="271"/>
      <c r="D136" s="269"/>
      <c r="E136" s="269"/>
      <c r="F136" s="269"/>
      <c r="G136" s="307"/>
      <c r="H136" s="308"/>
      <c r="I136" s="275"/>
      <c r="J136" s="269"/>
      <c r="K136" s="269"/>
      <c r="L136" s="269"/>
      <c r="M136" s="269"/>
      <c r="N136" s="269"/>
      <c r="O136" s="269"/>
      <c r="P136" s="269"/>
      <c r="Q136" s="269"/>
      <c r="R136" s="269"/>
    </row>
    <row r="137">
      <c r="A137" s="269"/>
      <c r="B137" s="306"/>
      <c r="C137" s="271"/>
      <c r="D137" s="269"/>
      <c r="E137" s="269"/>
      <c r="F137" s="269"/>
      <c r="G137" s="307"/>
      <c r="H137" s="308"/>
      <c r="I137" s="275"/>
      <c r="J137" s="269"/>
      <c r="K137" s="269"/>
      <c r="L137" s="269"/>
      <c r="M137" s="269"/>
      <c r="N137" s="269"/>
      <c r="O137" s="269"/>
      <c r="P137" s="269"/>
      <c r="Q137" s="269"/>
      <c r="R137" s="269"/>
    </row>
    <row r="138">
      <c r="A138" s="269"/>
      <c r="B138" s="306"/>
      <c r="C138" s="271"/>
      <c r="D138" s="269"/>
      <c r="E138" s="269"/>
      <c r="F138" s="269"/>
      <c r="G138" s="307"/>
      <c r="H138" s="308"/>
      <c r="I138" s="275"/>
      <c r="J138" s="269"/>
      <c r="K138" s="269"/>
      <c r="L138" s="269"/>
      <c r="M138" s="269"/>
      <c r="N138" s="269"/>
      <c r="O138" s="269"/>
      <c r="P138" s="269"/>
      <c r="Q138" s="269"/>
      <c r="R138" s="269"/>
    </row>
    <row r="139">
      <c r="A139" s="269"/>
      <c r="B139" s="306"/>
      <c r="C139" s="271"/>
      <c r="D139" s="269"/>
      <c r="E139" s="269"/>
      <c r="F139" s="269"/>
      <c r="G139" s="307"/>
      <c r="H139" s="308"/>
      <c r="I139" s="275"/>
      <c r="J139" s="269"/>
      <c r="K139" s="269"/>
      <c r="L139" s="269"/>
      <c r="M139" s="269"/>
      <c r="N139" s="269"/>
      <c r="O139" s="269"/>
      <c r="P139" s="269"/>
      <c r="Q139" s="269"/>
      <c r="R139" s="269"/>
    </row>
    <row r="140">
      <c r="A140" s="269"/>
      <c r="B140" s="306"/>
      <c r="C140" s="271"/>
      <c r="D140" s="269"/>
      <c r="E140" s="269"/>
      <c r="F140" s="269"/>
      <c r="G140" s="307"/>
      <c r="H140" s="308"/>
      <c r="I140" s="275"/>
      <c r="J140" s="269"/>
      <c r="K140" s="269"/>
      <c r="L140" s="269"/>
      <c r="M140" s="269"/>
      <c r="N140" s="269"/>
      <c r="O140" s="269"/>
      <c r="P140" s="269"/>
      <c r="Q140" s="269"/>
      <c r="R140" s="269"/>
    </row>
    <row r="141">
      <c r="A141" s="269"/>
      <c r="B141" s="306"/>
      <c r="C141" s="271"/>
      <c r="D141" s="269"/>
      <c r="E141" s="269"/>
      <c r="F141" s="269"/>
      <c r="G141" s="307"/>
      <c r="H141" s="308"/>
      <c r="I141" s="275"/>
      <c r="J141" s="269"/>
      <c r="K141" s="269"/>
      <c r="L141" s="269"/>
      <c r="M141" s="269"/>
      <c r="N141" s="269"/>
      <c r="O141" s="269"/>
      <c r="P141" s="269"/>
      <c r="Q141" s="269"/>
      <c r="R141" s="269"/>
    </row>
    <row r="142">
      <c r="A142" s="269"/>
      <c r="B142" s="306"/>
      <c r="C142" s="271"/>
      <c r="D142" s="269"/>
      <c r="E142" s="269"/>
      <c r="F142" s="269"/>
      <c r="G142" s="307"/>
      <c r="H142" s="308"/>
      <c r="I142" s="275"/>
      <c r="J142" s="269"/>
      <c r="K142" s="269"/>
      <c r="L142" s="269"/>
      <c r="M142" s="269"/>
      <c r="N142" s="269"/>
      <c r="O142" s="269"/>
      <c r="P142" s="269"/>
      <c r="Q142" s="269"/>
      <c r="R142" s="269"/>
    </row>
    <row r="143">
      <c r="A143" s="269"/>
      <c r="B143" s="306"/>
      <c r="C143" s="271"/>
      <c r="D143" s="269"/>
      <c r="E143" s="269"/>
      <c r="F143" s="269"/>
      <c r="G143" s="307"/>
      <c r="H143" s="308"/>
      <c r="I143" s="275"/>
      <c r="J143" s="269"/>
      <c r="K143" s="269"/>
      <c r="L143" s="269"/>
      <c r="M143" s="269"/>
      <c r="N143" s="269"/>
      <c r="O143" s="269"/>
      <c r="P143" s="269"/>
      <c r="Q143" s="269"/>
      <c r="R143" s="269"/>
    </row>
    <row r="144">
      <c r="A144" s="269"/>
      <c r="B144" s="306"/>
      <c r="C144" s="271"/>
      <c r="D144" s="269"/>
      <c r="E144" s="269"/>
      <c r="F144" s="269"/>
      <c r="G144" s="307"/>
      <c r="H144" s="308"/>
      <c r="I144" s="275"/>
      <c r="J144" s="269"/>
      <c r="K144" s="269"/>
      <c r="L144" s="269"/>
      <c r="M144" s="269"/>
      <c r="N144" s="269"/>
      <c r="O144" s="269"/>
      <c r="P144" s="269"/>
      <c r="Q144" s="269"/>
      <c r="R144" s="269"/>
    </row>
    <row r="145">
      <c r="A145" s="269"/>
      <c r="B145" s="306"/>
      <c r="C145" s="271"/>
      <c r="D145" s="269"/>
      <c r="E145" s="269"/>
      <c r="F145" s="269"/>
      <c r="G145" s="307"/>
      <c r="H145" s="308"/>
      <c r="I145" s="275"/>
      <c r="J145" s="269"/>
      <c r="K145" s="269"/>
      <c r="L145" s="269"/>
      <c r="M145" s="269"/>
      <c r="N145" s="269"/>
      <c r="O145" s="269"/>
      <c r="P145" s="269"/>
      <c r="Q145" s="269"/>
      <c r="R145" s="269"/>
    </row>
    <row r="146">
      <c r="A146" s="269"/>
      <c r="B146" s="306"/>
      <c r="C146" s="271"/>
      <c r="D146" s="269"/>
      <c r="E146" s="269"/>
      <c r="F146" s="269"/>
      <c r="G146" s="307"/>
      <c r="H146" s="308"/>
      <c r="I146" s="275"/>
      <c r="J146" s="269"/>
      <c r="K146" s="269"/>
      <c r="L146" s="269"/>
      <c r="M146" s="269"/>
      <c r="N146" s="269"/>
      <c r="O146" s="269"/>
      <c r="P146" s="269"/>
      <c r="Q146" s="269"/>
      <c r="R146" s="269"/>
    </row>
    <row r="147">
      <c r="A147" s="269"/>
      <c r="B147" s="306"/>
      <c r="C147" s="271"/>
      <c r="D147" s="269"/>
      <c r="E147" s="269"/>
      <c r="F147" s="269"/>
      <c r="G147" s="307"/>
      <c r="H147" s="308"/>
      <c r="I147" s="275"/>
      <c r="J147" s="269"/>
      <c r="K147" s="269"/>
      <c r="L147" s="269"/>
      <c r="M147" s="269"/>
      <c r="N147" s="269"/>
      <c r="O147" s="269"/>
      <c r="P147" s="269"/>
      <c r="Q147" s="269"/>
      <c r="R147" s="269"/>
    </row>
    <row r="148">
      <c r="A148" s="269"/>
      <c r="B148" s="306"/>
      <c r="C148" s="271"/>
      <c r="D148" s="269"/>
      <c r="E148" s="269"/>
      <c r="F148" s="269"/>
      <c r="G148" s="307"/>
      <c r="H148" s="308"/>
      <c r="I148" s="275"/>
      <c r="J148" s="269"/>
      <c r="K148" s="269"/>
      <c r="L148" s="269"/>
      <c r="M148" s="269"/>
      <c r="N148" s="269"/>
      <c r="O148" s="269"/>
      <c r="P148" s="269"/>
      <c r="Q148" s="269"/>
      <c r="R148" s="269"/>
    </row>
    <row r="149">
      <c r="A149" s="269"/>
      <c r="B149" s="306"/>
      <c r="C149" s="271"/>
      <c r="D149" s="269"/>
      <c r="E149" s="269"/>
      <c r="F149" s="269"/>
      <c r="G149" s="307"/>
      <c r="H149" s="308"/>
      <c r="I149" s="275"/>
      <c r="J149" s="269"/>
      <c r="K149" s="269"/>
      <c r="L149" s="269"/>
      <c r="M149" s="269"/>
      <c r="N149" s="269"/>
      <c r="O149" s="269"/>
      <c r="P149" s="269"/>
      <c r="Q149" s="269"/>
      <c r="R149" s="269"/>
    </row>
    <row r="150">
      <c r="A150" s="269"/>
      <c r="B150" s="306"/>
      <c r="C150" s="271"/>
      <c r="D150" s="269"/>
      <c r="E150" s="269"/>
      <c r="F150" s="269"/>
      <c r="G150" s="307"/>
      <c r="H150" s="308"/>
      <c r="I150" s="275"/>
      <c r="J150" s="269"/>
      <c r="K150" s="269"/>
      <c r="L150" s="269"/>
      <c r="M150" s="269"/>
      <c r="N150" s="269"/>
      <c r="O150" s="269"/>
      <c r="P150" s="269"/>
      <c r="Q150" s="269"/>
      <c r="R150" s="269"/>
    </row>
    <row r="151">
      <c r="A151" s="269"/>
      <c r="B151" s="306"/>
      <c r="C151" s="271"/>
      <c r="D151" s="269"/>
      <c r="E151" s="269"/>
      <c r="F151" s="269"/>
      <c r="G151" s="307"/>
      <c r="H151" s="308"/>
      <c r="I151" s="275"/>
      <c r="J151" s="269"/>
      <c r="K151" s="269"/>
      <c r="L151" s="269"/>
      <c r="M151" s="269"/>
      <c r="N151" s="269"/>
      <c r="O151" s="269"/>
      <c r="P151" s="269"/>
      <c r="Q151" s="269"/>
      <c r="R151" s="269"/>
    </row>
    <row r="152">
      <c r="A152" s="269"/>
      <c r="B152" s="306"/>
      <c r="C152" s="271"/>
      <c r="D152" s="269"/>
      <c r="E152" s="269"/>
      <c r="F152" s="269"/>
      <c r="G152" s="307"/>
      <c r="H152" s="308"/>
      <c r="I152" s="275"/>
      <c r="J152" s="269"/>
      <c r="K152" s="269"/>
      <c r="L152" s="269"/>
      <c r="M152" s="269"/>
      <c r="N152" s="269"/>
      <c r="O152" s="269"/>
      <c r="P152" s="269"/>
      <c r="Q152" s="269"/>
      <c r="R152" s="269"/>
    </row>
    <row r="153">
      <c r="A153" s="269"/>
      <c r="B153" s="306"/>
      <c r="C153" s="271"/>
      <c r="D153" s="269"/>
      <c r="E153" s="269"/>
      <c r="F153" s="269"/>
      <c r="G153" s="307"/>
      <c r="H153" s="308"/>
      <c r="I153" s="275"/>
      <c r="J153" s="269"/>
      <c r="K153" s="269"/>
      <c r="L153" s="269"/>
      <c r="M153" s="269"/>
      <c r="N153" s="269"/>
      <c r="O153" s="269"/>
      <c r="P153" s="269"/>
      <c r="Q153" s="269"/>
      <c r="R153" s="269"/>
    </row>
    <row r="154">
      <c r="A154" s="269"/>
      <c r="B154" s="306"/>
      <c r="C154" s="271"/>
      <c r="D154" s="269"/>
      <c r="E154" s="269"/>
      <c r="F154" s="269"/>
      <c r="G154" s="307"/>
      <c r="H154" s="308"/>
      <c r="I154" s="275"/>
      <c r="J154" s="269"/>
      <c r="K154" s="269"/>
      <c r="L154" s="269"/>
      <c r="M154" s="269"/>
      <c r="N154" s="269"/>
      <c r="O154" s="269"/>
      <c r="P154" s="269"/>
      <c r="Q154" s="269"/>
      <c r="R154" s="269"/>
    </row>
    <row r="155">
      <c r="A155" s="269"/>
      <c r="B155" s="306"/>
      <c r="C155" s="271"/>
      <c r="D155" s="269"/>
      <c r="E155" s="269"/>
      <c r="F155" s="269"/>
      <c r="G155" s="307"/>
      <c r="H155" s="308"/>
      <c r="I155" s="275"/>
      <c r="J155" s="269"/>
      <c r="K155" s="269"/>
      <c r="L155" s="269"/>
      <c r="M155" s="269"/>
      <c r="N155" s="269"/>
      <c r="O155" s="269"/>
      <c r="P155" s="269"/>
      <c r="Q155" s="269"/>
      <c r="R155" s="269"/>
    </row>
    <row r="156">
      <c r="A156" s="269"/>
      <c r="B156" s="306"/>
      <c r="C156" s="271"/>
      <c r="D156" s="269"/>
      <c r="E156" s="269"/>
      <c r="F156" s="269"/>
      <c r="G156" s="307"/>
      <c r="H156" s="308"/>
      <c r="I156" s="275"/>
      <c r="J156" s="269"/>
      <c r="K156" s="269"/>
      <c r="L156" s="269"/>
      <c r="M156" s="269"/>
      <c r="N156" s="269"/>
      <c r="O156" s="269"/>
      <c r="P156" s="269"/>
      <c r="Q156" s="269"/>
      <c r="R156" s="269"/>
    </row>
    <row r="157">
      <c r="A157" s="269"/>
      <c r="B157" s="306"/>
      <c r="C157" s="271"/>
      <c r="D157" s="269"/>
      <c r="E157" s="269"/>
      <c r="F157" s="269"/>
      <c r="G157" s="307"/>
      <c r="H157" s="308"/>
      <c r="I157" s="275"/>
      <c r="J157" s="269"/>
      <c r="K157" s="269"/>
      <c r="L157" s="269"/>
      <c r="M157" s="269"/>
      <c r="N157" s="269"/>
      <c r="O157" s="269"/>
      <c r="P157" s="269"/>
      <c r="Q157" s="269"/>
      <c r="R157" s="269"/>
    </row>
    <row r="158">
      <c r="A158" s="269"/>
      <c r="B158" s="306"/>
      <c r="C158" s="271"/>
      <c r="D158" s="269"/>
      <c r="E158" s="269"/>
      <c r="F158" s="269"/>
      <c r="G158" s="307"/>
      <c r="H158" s="308"/>
      <c r="I158" s="275"/>
      <c r="J158" s="269"/>
      <c r="K158" s="269"/>
      <c r="L158" s="269"/>
      <c r="M158" s="269"/>
      <c r="N158" s="269"/>
      <c r="O158" s="269"/>
      <c r="P158" s="269"/>
      <c r="Q158" s="269"/>
      <c r="R158" s="269"/>
    </row>
    <row r="159">
      <c r="A159" s="269"/>
      <c r="B159" s="306"/>
      <c r="C159" s="271"/>
      <c r="D159" s="269"/>
      <c r="E159" s="269"/>
      <c r="F159" s="269"/>
      <c r="G159" s="307"/>
      <c r="H159" s="308"/>
      <c r="I159" s="275"/>
      <c r="J159" s="269"/>
      <c r="K159" s="269"/>
      <c r="L159" s="269"/>
      <c r="M159" s="269"/>
      <c r="N159" s="269"/>
      <c r="O159" s="269"/>
      <c r="P159" s="269"/>
      <c r="Q159" s="269"/>
      <c r="R159" s="269"/>
    </row>
    <row r="160">
      <c r="A160" s="269"/>
      <c r="B160" s="306"/>
      <c r="C160" s="271"/>
      <c r="D160" s="269"/>
      <c r="E160" s="269"/>
      <c r="F160" s="269"/>
      <c r="G160" s="307"/>
      <c r="H160" s="308"/>
      <c r="I160" s="275"/>
      <c r="J160" s="269"/>
      <c r="K160" s="269"/>
      <c r="L160" s="269"/>
      <c r="M160" s="269"/>
      <c r="N160" s="269"/>
      <c r="O160" s="269"/>
      <c r="P160" s="269"/>
      <c r="Q160" s="269"/>
      <c r="R160" s="269"/>
    </row>
    <row r="161">
      <c r="A161" s="269"/>
      <c r="B161" s="306"/>
      <c r="C161" s="271"/>
      <c r="D161" s="269"/>
      <c r="E161" s="269"/>
      <c r="F161" s="269"/>
      <c r="G161" s="307"/>
      <c r="H161" s="308"/>
      <c r="I161" s="275"/>
      <c r="J161" s="269"/>
      <c r="K161" s="269"/>
      <c r="L161" s="269"/>
      <c r="M161" s="269"/>
      <c r="N161" s="269"/>
      <c r="O161" s="269"/>
      <c r="P161" s="269"/>
      <c r="Q161" s="269"/>
      <c r="R161" s="269"/>
    </row>
    <row r="162">
      <c r="A162" s="269"/>
      <c r="B162" s="306"/>
      <c r="C162" s="271"/>
      <c r="D162" s="269"/>
      <c r="E162" s="269"/>
      <c r="F162" s="269"/>
      <c r="G162" s="307"/>
      <c r="H162" s="308"/>
      <c r="I162" s="275"/>
      <c r="J162" s="269"/>
      <c r="K162" s="269"/>
      <c r="L162" s="269"/>
      <c r="M162" s="269"/>
      <c r="N162" s="269"/>
      <c r="O162" s="269"/>
      <c r="P162" s="269"/>
      <c r="Q162" s="269"/>
      <c r="R162" s="269"/>
    </row>
    <row r="163">
      <c r="A163" s="269"/>
      <c r="B163" s="306"/>
      <c r="C163" s="271"/>
      <c r="D163" s="269"/>
      <c r="E163" s="269"/>
      <c r="F163" s="269"/>
      <c r="G163" s="307"/>
      <c r="H163" s="308"/>
      <c r="I163" s="275"/>
      <c r="J163" s="269"/>
      <c r="K163" s="269"/>
      <c r="L163" s="269"/>
      <c r="M163" s="269"/>
      <c r="N163" s="269"/>
      <c r="O163" s="269"/>
      <c r="P163" s="269"/>
      <c r="Q163" s="269"/>
      <c r="R163" s="269"/>
    </row>
    <row r="164">
      <c r="A164" s="269"/>
      <c r="B164" s="306"/>
      <c r="C164" s="271"/>
      <c r="D164" s="269"/>
      <c r="E164" s="269"/>
      <c r="F164" s="269"/>
      <c r="G164" s="307"/>
      <c r="H164" s="308"/>
      <c r="I164" s="275"/>
      <c r="J164" s="269"/>
      <c r="K164" s="269"/>
      <c r="L164" s="269"/>
      <c r="M164" s="269"/>
      <c r="N164" s="269"/>
      <c r="O164" s="269"/>
      <c r="P164" s="269"/>
      <c r="Q164" s="269"/>
      <c r="R164" s="269"/>
    </row>
    <row r="165">
      <c r="A165" s="269"/>
      <c r="B165" s="306"/>
      <c r="C165" s="271"/>
      <c r="D165" s="269"/>
      <c r="E165" s="269"/>
      <c r="F165" s="269"/>
      <c r="G165" s="307"/>
      <c r="H165" s="308"/>
      <c r="I165" s="275"/>
      <c r="J165" s="269"/>
      <c r="K165" s="269"/>
      <c r="L165" s="269"/>
      <c r="M165" s="269"/>
      <c r="N165" s="269"/>
      <c r="O165" s="269"/>
      <c r="P165" s="269"/>
      <c r="Q165" s="269"/>
      <c r="R165" s="269"/>
    </row>
    <row r="166">
      <c r="A166" s="269"/>
      <c r="B166" s="306"/>
      <c r="C166" s="271"/>
      <c r="D166" s="269"/>
      <c r="E166" s="269"/>
      <c r="F166" s="269"/>
      <c r="G166" s="307"/>
      <c r="H166" s="308"/>
      <c r="I166" s="275"/>
      <c r="J166" s="269"/>
      <c r="K166" s="269"/>
      <c r="L166" s="269"/>
      <c r="M166" s="269"/>
      <c r="N166" s="269"/>
      <c r="O166" s="269"/>
      <c r="P166" s="269"/>
      <c r="Q166" s="269"/>
      <c r="R166" s="269"/>
    </row>
    <row r="167">
      <c r="A167" s="269"/>
      <c r="B167" s="306"/>
      <c r="C167" s="271"/>
      <c r="D167" s="269"/>
      <c r="E167" s="269"/>
      <c r="F167" s="269"/>
      <c r="G167" s="307"/>
      <c r="H167" s="308"/>
      <c r="I167" s="275"/>
      <c r="J167" s="269"/>
      <c r="K167" s="269"/>
      <c r="L167" s="269"/>
      <c r="M167" s="269"/>
      <c r="N167" s="269"/>
      <c r="O167" s="269"/>
      <c r="P167" s="269"/>
      <c r="Q167" s="269"/>
      <c r="R167" s="269"/>
    </row>
    <row r="168">
      <c r="A168" s="269"/>
      <c r="B168" s="306"/>
      <c r="C168" s="271"/>
      <c r="D168" s="269"/>
      <c r="E168" s="269"/>
      <c r="F168" s="269"/>
      <c r="G168" s="307"/>
      <c r="H168" s="308"/>
      <c r="I168" s="275"/>
      <c r="J168" s="269"/>
      <c r="K168" s="269"/>
      <c r="L168" s="269"/>
      <c r="M168" s="269"/>
      <c r="N168" s="269"/>
      <c r="O168" s="269"/>
      <c r="P168" s="269"/>
      <c r="Q168" s="269"/>
      <c r="R168" s="269"/>
    </row>
    <row r="169">
      <c r="A169" s="269"/>
      <c r="B169" s="306"/>
      <c r="C169" s="271"/>
      <c r="D169" s="269"/>
      <c r="E169" s="269"/>
      <c r="F169" s="269"/>
      <c r="G169" s="307"/>
      <c r="H169" s="308"/>
      <c r="I169" s="275"/>
      <c r="J169" s="269"/>
      <c r="K169" s="269"/>
      <c r="L169" s="269"/>
      <c r="M169" s="269"/>
      <c r="N169" s="269"/>
      <c r="O169" s="269"/>
      <c r="P169" s="269"/>
      <c r="Q169" s="269"/>
      <c r="R169" s="269"/>
    </row>
    <row r="170">
      <c r="A170" s="269"/>
      <c r="B170" s="306"/>
      <c r="C170" s="271"/>
      <c r="D170" s="269"/>
      <c r="E170" s="269"/>
      <c r="F170" s="269"/>
      <c r="G170" s="307"/>
      <c r="H170" s="308"/>
      <c r="I170" s="275"/>
      <c r="J170" s="269"/>
      <c r="K170" s="269"/>
      <c r="L170" s="269"/>
      <c r="M170" s="269"/>
      <c r="N170" s="269"/>
      <c r="O170" s="269"/>
      <c r="P170" s="269"/>
      <c r="Q170" s="269"/>
      <c r="R170" s="269"/>
    </row>
    <row r="171">
      <c r="A171" s="269"/>
      <c r="B171" s="306"/>
      <c r="C171" s="271"/>
      <c r="D171" s="269"/>
      <c r="E171" s="269"/>
      <c r="F171" s="269"/>
      <c r="G171" s="307"/>
      <c r="H171" s="308"/>
      <c r="I171" s="275"/>
      <c r="J171" s="269"/>
      <c r="K171" s="269"/>
      <c r="L171" s="269"/>
      <c r="M171" s="269"/>
      <c r="N171" s="269"/>
      <c r="O171" s="269"/>
      <c r="P171" s="269"/>
      <c r="Q171" s="269"/>
      <c r="R171" s="269"/>
    </row>
    <row r="172">
      <c r="A172" s="269"/>
      <c r="B172" s="306"/>
      <c r="C172" s="271"/>
      <c r="D172" s="269"/>
      <c r="E172" s="269"/>
      <c r="F172" s="269"/>
      <c r="G172" s="307"/>
      <c r="H172" s="308"/>
      <c r="I172" s="275"/>
      <c r="J172" s="269"/>
      <c r="K172" s="269"/>
      <c r="L172" s="269"/>
      <c r="M172" s="269"/>
      <c r="N172" s="269"/>
      <c r="O172" s="269"/>
      <c r="P172" s="269"/>
      <c r="Q172" s="269"/>
      <c r="R172" s="269"/>
    </row>
    <row r="173">
      <c r="A173" s="269"/>
      <c r="B173" s="306"/>
      <c r="C173" s="271"/>
      <c r="D173" s="269"/>
      <c r="E173" s="269"/>
      <c r="F173" s="269"/>
      <c r="G173" s="307"/>
      <c r="H173" s="308"/>
      <c r="I173" s="275"/>
      <c r="J173" s="269"/>
      <c r="K173" s="269"/>
      <c r="L173" s="269"/>
      <c r="M173" s="269"/>
      <c r="N173" s="269"/>
      <c r="O173" s="269"/>
      <c r="P173" s="269"/>
      <c r="Q173" s="269"/>
      <c r="R173" s="269"/>
    </row>
    <row r="174">
      <c r="A174" s="269"/>
      <c r="B174" s="306"/>
      <c r="C174" s="271"/>
      <c r="D174" s="269"/>
      <c r="E174" s="269"/>
      <c r="F174" s="269"/>
      <c r="G174" s="307"/>
      <c r="H174" s="308"/>
      <c r="I174" s="275"/>
      <c r="J174" s="269"/>
      <c r="K174" s="269"/>
      <c r="L174" s="269"/>
      <c r="M174" s="269"/>
      <c r="N174" s="269"/>
      <c r="O174" s="269"/>
      <c r="P174" s="269"/>
      <c r="Q174" s="269"/>
      <c r="R174" s="269"/>
    </row>
    <row r="175">
      <c r="A175" s="269"/>
      <c r="B175" s="306"/>
      <c r="C175" s="271"/>
      <c r="D175" s="269"/>
      <c r="E175" s="269"/>
      <c r="F175" s="269"/>
      <c r="G175" s="307"/>
      <c r="H175" s="308"/>
      <c r="I175" s="275"/>
      <c r="J175" s="269"/>
      <c r="K175" s="269"/>
      <c r="L175" s="269"/>
      <c r="M175" s="269"/>
      <c r="N175" s="269"/>
      <c r="O175" s="269"/>
      <c r="P175" s="269"/>
      <c r="Q175" s="269"/>
      <c r="R175" s="269"/>
    </row>
    <row r="176">
      <c r="A176" s="269"/>
      <c r="B176" s="306"/>
      <c r="C176" s="271"/>
      <c r="D176" s="269"/>
      <c r="E176" s="269"/>
      <c r="F176" s="269"/>
      <c r="G176" s="307"/>
      <c r="H176" s="308"/>
      <c r="I176" s="275"/>
      <c r="J176" s="269"/>
      <c r="K176" s="269"/>
      <c r="L176" s="269"/>
      <c r="M176" s="269"/>
      <c r="N176" s="269"/>
      <c r="O176" s="269"/>
      <c r="P176" s="269"/>
      <c r="Q176" s="269"/>
      <c r="R176" s="269"/>
    </row>
    <row r="177">
      <c r="A177" s="269"/>
      <c r="B177" s="306"/>
      <c r="C177" s="271"/>
      <c r="D177" s="269"/>
      <c r="E177" s="269"/>
      <c r="F177" s="269"/>
      <c r="G177" s="307"/>
      <c r="H177" s="308"/>
      <c r="I177" s="275"/>
      <c r="J177" s="269"/>
      <c r="K177" s="269"/>
      <c r="L177" s="269"/>
      <c r="M177" s="269"/>
      <c r="N177" s="269"/>
      <c r="O177" s="269"/>
      <c r="P177" s="269"/>
      <c r="Q177" s="269"/>
      <c r="R177" s="269"/>
    </row>
    <row r="178">
      <c r="A178" s="269"/>
      <c r="B178" s="306"/>
      <c r="C178" s="271"/>
      <c r="D178" s="269"/>
      <c r="E178" s="269"/>
      <c r="F178" s="269"/>
      <c r="G178" s="307"/>
      <c r="H178" s="308"/>
      <c r="I178" s="275"/>
      <c r="J178" s="269"/>
      <c r="K178" s="269"/>
      <c r="L178" s="269"/>
      <c r="M178" s="269"/>
      <c r="N178" s="269"/>
      <c r="O178" s="269"/>
      <c r="P178" s="269"/>
      <c r="Q178" s="269"/>
      <c r="R178" s="269"/>
    </row>
    <row r="179">
      <c r="A179" s="269"/>
      <c r="B179" s="306"/>
      <c r="C179" s="271"/>
      <c r="D179" s="269"/>
      <c r="E179" s="269"/>
      <c r="F179" s="269"/>
      <c r="G179" s="307"/>
      <c r="H179" s="308"/>
      <c r="I179" s="275"/>
      <c r="J179" s="269"/>
      <c r="K179" s="269"/>
      <c r="L179" s="269"/>
      <c r="M179" s="269"/>
      <c r="N179" s="269"/>
      <c r="O179" s="269"/>
      <c r="P179" s="269"/>
      <c r="Q179" s="269"/>
      <c r="R179" s="269"/>
    </row>
    <row r="180">
      <c r="A180" s="269"/>
      <c r="B180" s="306"/>
      <c r="C180" s="271"/>
      <c r="D180" s="269"/>
      <c r="E180" s="269"/>
      <c r="F180" s="269"/>
      <c r="G180" s="307"/>
      <c r="H180" s="308"/>
      <c r="I180" s="275"/>
      <c r="J180" s="269"/>
      <c r="K180" s="269"/>
      <c r="L180" s="269"/>
      <c r="M180" s="269"/>
      <c r="N180" s="269"/>
      <c r="O180" s="269"/>
      <c r="P180" s="269"/>
      <c r="Q180" s="269"/>
      <c r="R180" s="269"/>
    </row>
    <row r="181">
      <c r="A181" s="269"/>
      <c r="B181" s="306"/>
      <c r="C181" s="271"/>
      <c r="D181" s="269"/>
      <c r="E181" s="269"/>
      <c r="F181" s="269"/>
      <c r="G181" s="307"/>
      <c r="H181" s="308"/>
      <c r="I181" s="275"/>
      <c r="J181" s="269"/>
      <c r="K181" s="269"/>
      <c r="L181" s="269"/>
      <c r="M181" s="269"/>
      <c r="N181" s="269"/>
      <c r="O181" s="269"/>
      <c r="P181" s="269"/>
      <c r="Q181" s="269"/>
      <c r="R181" s="269"/>
    </row>
    <row r="182">
      <c r="A182" s="269"/>
      <c r="B182" s="306"/>
      <c r="C182" s="271"/>
      <c r="D182" s="269"/>
      <c r="E182" s="269"/>
      <c r="F182" s="269"/>
      <c r="G182" s="307"/>
      <c r="H182" s="308"/>
      <c r="I182" s="275"/>
      <c r="J182" s="269"/>
      <c r="K182" s="269"/>
      <c r="L182" s="269"/>
      <c r="M182" s="269"/>
      <c r="N182" s="269"/>
      <c r="O182" s="269"/>
      <c r="P182" s="269"/>
      <c r="Q182" s="269"/>
      <c r="R182" s="269"/>
    </row>
    <row r="183">
      <c r="A183" s="269"/>
      <c r="B183" s="306"/>
      <c r="C183" s="271"/>
      <c r="D183" s="269"/>
      <c r="E183" s="269"/>
      <c r="F183" s="269"/>
      <c r="G183" s="307"/>
      <c r="H183" s="308"/>
      <c r="I183" s="275"/>
      <c r="J183" s="269"/>
      <c r="K183" s="269"/>
      <c r="L183" s="269"/>
      <c r="M183" s="269"/>
      <c r="N183" s="269"/>
      <c r="O183" s="269"/>
      <c r="P183" s="269"/>
      <c r="Q183" s="269"/>
      <c r="R183" s="269"/>
    </row>
    <row r="184">
      <c r="A184" s="269"/>
      <c r="B184" s="306"/>
      <c r="C184" s="271"/>
      <c r="D184" s="269"/>
      <c r="E184" s="269"/>
      <c r="F184" s="269"/>
      <c r="G184" s="307"/>
      <c r="H184" s="308"/>
      <c r="I184" s="275"/>
      <c r="J184" s="269"/>
      <c r="K184" s="269"/>
      <c r="L184" s="269"/>
      <c r="M184" s="269"/>
      <c r="N184" s="269"/>
      <c r="O184" s="269"/>
      <c r="P184" s="269"/>
      <c r="Q184" s="269"/>
      <c r="R184" s="269"/>
    </row>
    <row r="185">
      <c r="A185" s="269"/>
      <c r="B185" s="306"/>
      <c r="C185" s="271"/>
      <c r="D185" s="269"/>
      <c r="E185" s="269"/>
      <c r="F185" s="269"/>
      <c r="G185" s="307"/>
      <c r="H185" s="308"/>
      <c r="I185" s="275"/>
      <c r="J185" s="269"/>
      <c r="K185" s="269"/>
      <c r="L185" s="269"/>
      <c r="M185" s="269"/>
      <c r="N185" s="269"/>
      <c r="O185" s="269"/>
      <c r="P185" s="269"/>
      <c r="Q185" s="269"/>
      <c r="R185" s="269"/>
    </row>
    <row r="186">
      <c r="A186" s="269"/>
      <c r="B186" s="306"/>
      <c r="C186" s="271"/>
      <c r="D186" s="269"/>
      <c r="E186" s="269"/>
      <c r="F186" s="269"/>
      <c r="G186" s="307"/>
      <c r="H186" s="308"/>
      <c r="I186" s="275"/>
      <c r="J186" s="269"/>
      <c r="K186" s="269"/>
      <c r="L186" s="269"/>
      <c r="M186" s="269"/>
      <c r="N186" s="269"/>
      <c r="O186" s="269"/>
      <c r="P186" s="269"/>
      <c r="Q186" s="269"/>
      <c r="R186" s="269"/>
    </row>
    <row r="187">
      <c r="A187" s="269"/>
      <c r="B187" s="306"/>
      <c r="C187" s="271"/>
      <c r="D187" s="269"/>
      <c r="E187" s="269"/>
      <c r="F187" s="269"/>
      <c r="G187" s="307"/>
      <c r="H187" s="308"/>
      <c r="I187" s="275"/>
      <c r="J187" s="269"/>
      <c r="K187" s="269"/>
      <c r="L187" s="269"/>
      <c r="M187" s="269"/>
      <c r="N187" s="269"/>
      <c r="O187" s="269"/>
      <c r="P187" s="269"/>
      <c r="Q187" s="269"/>
      <c r="R187" s="269"/>
    </row>
    <row r="188">
      <c r="A188" s="269"/>
      <c r="B188" s="306"/>
      <c r="C188" s="271"/>
      <c r="D188" s="269"/>
      <c r="E188" s="269"/>
      <c r="F188" s="269"/>
      <c r="G188" s="307"/>
      <c r="H188" s="308"/>
      <c r="I188" s="275"/>
      <c r="J188" s="269"/>
      <c r="K188" s="269"/>
      <c r="L188" s="269"/>
      <c r="M188" s="269"/>
      <c r="N188" s="269"/>
      <c r="O188" s="269"/>
      <c r="P188" s="269"/>
      <c r="Q188" s="269"/>
      <c r="R188" s="269"/>
    </row>
    <row r="189">
      <c r="A189" s="269"/>
      <c r="B189" s="306"/>
      <c r="C189" s="271"/>
      <c r="D189" s="269"/>
      <c r="E189" s="269"/>
      <c r="F189" s="269"/>
      <c r="G189" s="307"/>
      <c r="H189" s="308"/>
      <c r="I189" s="275"/>
      <c r="J189" s="269"/>
      <c r="K189" s="269"/>
      <c r="L189" s="269"/>
      <c r="M189" s="269"/>
      <c r="N189" s="269"/>
      <c r="O189" s="269"/>
      <c r="P189" s="269"/>
      <c r="Q189" s="269"/>
      <c r="R189" s="269"/>
    </row>
    <row r="190">
      <c r="A190" s="269"/>
      <c r="B190" s="306"/>
      <c r="C190" s="271"/>
      <c r="D190" s="269"/>
      <c r="E190" s="269"/>
      <c r="F190" s="269"/>
      <c r="G190" s="307"/>
      <c r="H190" s="308"/>
      <c r="I190" s="275"/>
      <c r="J190" s="269"/>
      <c r="K190" s="269"/>
      <c r="L190" s="269"/>
      <c r="M190" s="269"/>
      <c r="N190" s="269"/>
      <c r="O190" s="269"/>
      <c r="P190" s="269"/>
      <c r="Q190" s="269"/>
      <c r="R190" s="269"/>
    </row>
    <row r="191">
      <c r="A191" s="269"/>
      <c r="B191" s="306"/>
      <c r="C191" s="271"/>
      <c r="D191" s="269"/>
      <c r="E191" s="269"/>
      <c r="F191" s="269"/>
      <c r="G191" s="307"/>
      <c r="H191" s="308"/>
      <c r="I191" s="275"/>
      <c r="J191" s="269"/>
      <c r="K191" s="269"/>
      <c r="L191" s="269"/>
      <c r="M191" s="269"/>
      <c r="N191" s="269"/>
      <c r="O191" s="269"/>
      <c r="P191" s="269"/>
      <c r="Q191" s="269"/>
      <c r="R191" s="269"/>
    </row>
    <row r="192">
      <c r="A192" s="269"/>
      <c r="B192" s="306"/>
      <c r="C192" s="271"/>
      <c r="D192" s="269"/>
      <c r="E192" s="269"/>
      <c r="F192" s="269"/>
      <c r="G192" s="307"/>
      <c r="H192" s="308"/>
      <c r="I192" s="275"/>
      <c r="J192" s="269"/>
      <c r="K192" s="269"/>
      <c r="L192" s="269"/>
      <c r="M192" s="269"/>
      <c r="N192" s="269"/>
      <c r="O192" s="269"/>
      <c r="P192" s="269"/>
      <c r="Q192" s="269"/>
      <c r="R192" s="269"/>
    </row>
    <row r="193">
      <c r="A193" s="269"/>
      <c r="B193" s="306"/>
      <c r="C193" s="271"/>
      <c r="D193" s="269"/>
      <c r="E193" s="269"/>
      <c r="F193" s="269"/>
      <c r="G193" s="307"/>
      <c r="H193" s="308"/>
      <c r="I193" s="275"/>
      <c r="J193" s="269"/>
      <c r="K193" s="269"/>
      <c r="L193" s="269"/>
      <c r="M193" s="269"/>
      <c r="N193" s="269"/>
      <c r="O193" s="269"/>
      <c r="P193" s="269"/>
      <c r="Q193" s="269"/>
      <c r="R193" s="269"/>
    </row>
    <row r="194">
      <c r="A194" s="269"/>
      <c r="B194" s="306"/>
      <c r="C194" s="271"/>
      <c r="D194" s="269"/>
      <c r="E194" s="269"/>
      <c r="F194" s="269"/>
      <c r="G194" s="307"/>
      <c r="H194" s="308"/>
      <c r="I194" s="275"/>
      <c r="J194" s="269"/>
      <c r="K194" s="269"/>
      <c r="L194" s="269"/>
      <c r="M194" s="269"/>
      <c r="N194" s="269"/>
      <c r="O194" s="269"/>
      <c r="P194" s="269"/>
      <c r="Q194" s="269"/>
      <c r="R194" s="269"/>
    </row>
    <row r="195">
      <c r="A195" s="269"/>
      <c r="B195" s="306"/>
      <c r="C195" s="271"/>
      <c r="D195" s="269"/>
      <c r="E195" s="269"/>
      <c r="F195" s="269"/>
      <c r="G195" s="307"/>
      <c r="H195" s="308"/>
      <c r="I195" s="275"/>
      <c r="J195" s="269"/>
      <c r="K195" s="269"/>
      <c r="L195" s="269"/>
      <c r="M195" s="269"/>
      <c r="N195" s="269"/>
      <c r="O195" s="269"/>
      <c r="P195" s="269"/>
      <c r="Q195" s="269"/>
      <c r="R195" s="269"/>
    </row>
    <row r="196">
      <c r="A196" s="269"/>
      <c r="B196" s="306"/>
      <c r="C196" s="271"/>
      <c r="D196" s="269"/>
      <c r="E196" s="269"/>
      <c r="F196" s="269"/>
      <c r="G196" s="307"/>
      <c r="H196" s="308"/>
      <c r="I196" s="275"/>
      <c r="J196" s="269"/>
      <c r="K196" s="269"/>
      <c r="L196" s="269"/>
      <c r="M196" s="269"/>
      <c r="N196" s="269"/>
      <c r="O196" s="269"/>
      <c r="P196" s="269"/>
      <c r="Q196" s="269"/>
      <c r="R196" s="269"/>
    </row>
    <row r="197">
      <c r="A197" s="269"/>
      <c r="B197" s="306"/>
      <c r="C197" s="271"/>
      <c r="D197" s="269"/>
      <c r="E197" s="269"/>
      <c r="F197" s="269"/>
      <c r="G197" s="307"/>
      <c r="H197" s="308"/>
      <c r="I197" s="275"/>
      <c r="J197" s="269"/>
      <c r="K197" s="269"/>
      <c r="L197" s="269"/>
      <c r="M197" s="269"/>
      <c r="N197" s="269"/>
      <c r="O197" s="269"/>
      <c r="P197" s="269"/>
      <c r="Q197" s="269"/>
      <c r="R197" s="269"/>
    </row>
    <row r="198">
      <c r="A198" s="269"/>
      <c r="B198" s="306"/>
      <c r="C198" s="271"/>
      <c r="D198" s="269"/>
      <c r="E198" s="269"/>
      <c r="F198" s="269"/>
      <c r="G198" s="307"/>
      <c r="H198" s="308"/>
      <c r="I198" s="275"/>
      <c r="J198" s="269"/>
      <c r="K198" s="269"/>
      <c r="L198" s="269"/>
      <c r="M198" s="269"/>
      <c r="N198" s="269"/>
      <c r="O198" s="269"/>
      <c r="P198" s="269"/>
      <c r="Q198" s="269"/>
      <c r="R198" s="269"/>
    </row>
    <row r="199">
      <c r="A199" s="269"/>
      <c r="B199" s="306"/>
      <c r="C199" s="271"/>
      <c r="D199" s="269"/>
      <c r="E199" s="269"/>
      <c r="F199" s="269"/>
      <c r="G199" s="307"/>
      <c r="H199" s="308"/>
      <c r="I199" s="275"/>
      <c r="J199" s="269"/>
      <c r="K199" s="269"/>
      <c r="L199" s="269"/>
      <c r="M199" s="269"/>
      <c r="N199" s="269"/>
      <c r="O199" s="269"/>
      <c r="P199" s="269"/>
      <c r="Q199" s="269"/>
      <c r="R199" s="269"/>
    </row>
    <row r="200">
      <c r="A200" s="269"/>
      <c r="B200" s="306"/>
      <c r="C200" s="271"/>
      <c r="D200" s="269"/>
      <c r="E200" s="269"/>
      <c r="F200" s="269"/>
      <c r="G200" s="307"/>
      <c r="H200" s="308"/>
      <c r="I200" s="275"/>
      <c r="J200" s="269"/>
      <c r="K200" s="269"/>
      <c r="L200" s="269"/>
      <c r="M200" s="269"/>
      <c r="N200" s="269"/>
      <c r="O200" s="269"/>
      <c r="P200" s="269"/>
      <c r="Q200" s="269"/>
      <c r="R200" s="269"/>
    </row>
    <row r="201">
      <c r="A201" s="269"/>
      <c r="B201" s="306"/>
      <c r="C201" s="271"/>
      <c r="D201" s="269"/>
      <c r="E201" s="269"/>
      <c r="F201" s="269"/>
      <c r="G201" s="307"/>
      <c r="H201" s="308"/>
      <c r="I201" s="275"/>
      <c r="J201" s="269"/>
      <c r="K201" s="269"/>
      <c r="L201" s="269"/>
      <c r="M201" s="269"/>
      <c r="N201" s="269"/>
      <c r="O201" s="269"/>
      <c r="P201" s="269"/>
      <c r="Q201" s="269"/>
      <c r="R201" s="269"/>
    </row>
    <row r="202">
      <c r="A202" s="269"/>
      <c r="B202" s="306"/>
      <c r="C202" s="271"/>
      <c r="D202" s="269"/>
      <c r="E202" s="269"/>
      <c r="F202" s="269"/>
      <c r="G202" s="307"/>
      <c r="H202" s="308"/>
      <c r="I202" s="275"/>
      <c r="J202" s="269"/>
      <c r="K202" s="269"/>
      <c r="L202" s="269"/>
      <c r="M202" s="269"/>
      <c r="N202" s="269"/>
      <c r="O202" s="269"/>
      <c r="P202" s="269"/>
      <c r="Q202" s="269"/>
      <c r="R202" s="269"/>
    </row>
    <row r="203">
      <c r="A203" s="269"/>
      <c r="B203" s="306"/>
      <c r="C203" s="271"/>
      <c r="D203" s="269"/>
      <c r="E203" s="269"/>
      <c r="F203" s="269"/>
      <c r="G203" s="307"/>
      <c r="H203" s="308"/>
      <c r="I203" s="275"/>
      <c r="J203" s="269"/>
      <c r="K203" s="269"/>
      <c r="L203" s="269"/>
      <c r="M203" s="269"/>
      <c r="N203" s="269"/>
      <c r="O203" s="269"/>
      <c r="P203" s="269"/>
      <c r="Q203" s="269"/>
      <c r="R203" s="269"/>
    </row>
    <row r="204">
      <c r="A204" s="269"/>
      <c r="B204" s="306"/>
      <c r="C204" s="271"/>
      <c r="D204" s="269"/>
      <c r="E204" s="269"/>
      <c r="F204" s="269"/>
      <c r="G204" s="307"/>
      <c r="H204" s="308"/>
      <c r="I204" s="275"/>
      <c r="J204" s="269"/>
      <c r="K204" s="269"/>
      <c r="L204" s="269"/>
      <c r="M204" s="269"/>
      <c r="N204" s="269"/>
      <c r="O204" s="269"/>
      <c r="P204" s="269"/>
      <c r="Q204" s="269"/>
      <c r="R204" s="269"/>
    </row>
    <row r="205">
      <c r="A205" s="269"/>
      <c r="B205" s="306"/>
      <c r="C205" s="271"/>
      <c r="D205" s="269"/>
      <c r="E205" s="269"/>
      <c r="F205" s="269"/>
      <c r="G205" s="307"/>
      <c r="H205" s="308"/>
      <c r="I205" s="275"/>
      <c r="J205" s="269"/>
      <c r="K205" s="269"/>
      <c r="L205" s="269"/>
      <c r="M205" s="269"/>
      <c r="N205" s="269"/>
      <c r="O205" s="269"/>
      <c r="P205" s="269"/>
      <c r="Q205" s="269"/>
      <c r="R205" s="269"/>
    </row>
    <row r="206">
      <c r="A206" s="269"/>
      <c r="B206" s="306"/>
      <c r="C206" s="271"/>
      <c r="D206" s="269"/>
      <c r="E206" s="269"/>
      <c r="F206" s="269"/>
      <c r="G206" s="307"/>
      <c r="H206" s="308"/>
      <c r="I206" s="275"/>
      <c r="J206" s="269"/>
      <c r="K206" s="269"/>
      <c r="L206" s="269"/>
      <c r="M206" s="269"/>
      <c r="N206" s="269"/>
      <c r="O206" s="269"/>
      <c r="P206" s="269"/>
      <c r="Q206" s="269"/>
      <c r="R206" s="269"/>
    </row>
    <row r="207">
      <c r="A207" s="269"/>
      <c r="B207" s="306"/>
      <c r="C207" s="271"/>
      <c r="D207" s="269"/>
      <c r="E207" s="269"/>
      <c r="F207" s="269"/>
      <c r="G207" s="307"/>
      <c r="H207" s="308"/>
      <c r="I207" s="275"/>
      <c r="J207" s="269"/>
      <c r="K207" s="269"/>
      <c r="L207" s="269"/>
      <c r="M207" s="269"/>
      <c r="N207" s="269"/>
      <c r="O207" s="269"/>
      <c r="P207" s="269"/>
      <c r="Q207" s="269"/>
      <c r="R207" s="269"/>
    </row>
    <row r="208">
      <c r="A208" s="269"/>
      <c r="B208" s="306"/>
      <c r="C208" s="271"/>
      <c r="D208" s="269"/>
      <c r="E208" s="269"/>
      <c r="F208" s="269"/>
      <c r="G208" s="307"/>
      <c r="H208" s="308"/>
      <c r="I208" s="275"/>
      <c r="J208" s="269"/>
      <c r="K208" s="269"/>
      <c r="L208" s="269"/>
      <c r="M208" s="269"/>
      <c r="N208" s="269"/>
      <c r="O208" s="269"/>
      <c r="P208" s="269"/>
      <c r="Q208" s="269"/>
      <c r="R208" s="269"/>
    </row>
    <row r="209">
      <c r="A209" s="269"/>
      <c r="B209" s="306"/>
      <c r="C209" s="271"/>
      <c r="D209" s="269"/>
      <c r="E209" s="269"/>
      <c r="F209" s="269"/>
      <c r="G209" s="307"/>
      <c r="H209" s="308"/>
      <c r="I209" s="275"/>
      <c r="J209" s="269"/>
      <c r="K209" s="269"/>
      <c r="L209" s="269"/>
      <c r="M209" s="269"/>
      <c r="N209" s="269"/>
      <c r="O209" s="269"/>
      <c r="P209" s="269"/>
      <c r="Q209" s="269"/>
      <c r="R209" s="269"/>
    </row>
    <row r="210">
      <c r="A210" s="269"/>
      <c r="B210" s="306"/>
      <c r="C210" s="271"/>
      <c r="D210" s="269"/>
      <c r="E210" s="269"/>
      <c r="F210" s="269"/>
      <c r="G210" s="307"/>
      <c r="H210" s="308"/>
      <c r="I210" s="275"/>
      <c r="J210" s="269"/>
      <c r="K210" s="269"/>
      <c r="L210" s="269"/>
      <c r="M210" s="269"/>
      <c r="N210" s="269"/>
      <c r="O210" s="269"/>
      <c r="P210" s="269"/>
      <c r="Q210" s="269"/>
      <c r="R210" s="269"/>
    </row>
    <row r="211">
      <c r="A211" s="269"/>
      <c r="B211" s="306"/>
      <c r="C211" s="271"/>
      <c r="D211" s="269"/>
      <c r="E211" s="269"/>
      <c r="F211" s="269"/>
      <c r="G211" s="307"/>
      <c r="H211" s="308"/>
      <c r="I211" s="275"/>
      <c r="J211" s="269"/>
      <c r="K211" s="269"/>
      <c r="L211" s="269"/>
      <c r="M211" s="269"/>
      <c r="N211" s="269"/>
      <c r="O211" s="269"/>
      <c r="P211" s="269"/>
      <c r="Q211" s="269"/>
      <c r="R211" s="269"/>
    </row>
    <row r="212">
      <c r="A212" s="269"/>
      <c r="B212" s="306"/>
      <c r="C212" s="271"/>
      <c r="D212" s="269"/>
      <c r="E212" s="269"/>
      <c r="F212" s="269"/>
      <c r="G212" s="307"/>
      <c r="H212" s="308"/>
      <c r="I212" s="275"/>
      <c r="J212" s="269"/>
      <c r="K212" s="269"/>
      <c r="L212" s="269"/>
      <c r="M212" s="269"/>
      <c r="N212" s="269"/>
      <c r="O212" s="269"/>
      <c r="P212" s="269"/>
      <c r="Q212" s="269"/>
      <c r="R212" s="269"/>
    </row>
    <row r="213">
      <c r="A213" s="269"/>
      <c r="B213" s="306"/>
      <c r="C213" s="271"/>
      <c r="D213" s="269"/>
      <c r="E213" s="269"/>
      <c r="F213" s="269"/>
      <c r="G213" s="307"/>
      <c r="H213" s="308"/>
      <c r="I213" s="275"/>
      <c r="J213" s="269"/>
      <c r="K213" s="269"/>
      <c r="L213" s="269"/>
      <c r="M213" s="269"/>
      <c r="N213" s="269"/>
      <c r="O213" s="269"/>
      <c r="P213" s="269"/>
      <c r="Q213" s="269"/>
      <c r="R213" s="269"/>
    </row>
    <row r="214">
      <c r="A214" s="269"/>
      <c r="B214" s="306"/>
      <c r="C214" s="271"/>
      <c r="D214" s="269"/>
      <c r="E214" s="269"/>
      <c r="F214" s="269"/>
      <c r="G214" s="307"/>
      <c r="H214" s="308"/>
      <c r="I214" s="275"/>
      <c r="J214" s="269"/>
      <c r="K214" s="269"/>
      <c r="L214" s="269"/>
      <c r="M214" s="269"/>
      <c r="N214" s="269"/>
      <c r="O214" s="269"/>
      <c r="P214" s="269"/>
      <c r="Q214" s="269"/>
      <c r="R214" s="269"/>
    </row>
    <row r="215">
      <c r="A215" s="269"/>
      <c r="B215" s="306"/>
      <c r="C215" s="271"/>
      <c r="D215" s="269"/>
      <c r="E215" s="269"/>
      <c r="F215" s="269"/>
      <c r="G215" s="307"/>
      <c r="H215" s="308"/>
      <c r="I215" s="275"/>
      <c r="J215" s="269"/>
      <c r="K215" s="269"/>
      <c r="L215" s="269"/>
      <c r="M215" s="269"/>
      <c r="N215" s="269"/>
      <c r="O215" s="269"/>
      <c r="P215" s="269"/>
      <c r="Q215" s="269"/>
      <c r="R215" s="269"/>
    </row>
    <row r="216">
      <c r="A216" s="269"/>
      <c r="B216" s="306"/>
      <c r="C216" s="271"/>
      <c r="D216" s="269"/>
      <c r="E216" s="269"/>
      <c r="F216" s="269"/>
      <c r="G216" s="307"/>
      <c r="H216" s="308"/>
      <c r="I216" s="275"/>
      <c r="J216" s="269"/>
      <c r="K216" s="269"/>
      <c r="L216" s="269"/>
      <c r="M216" s="269"/>
      <c r="N216" s="269"/>
      <c r="O216" s="269"/>
      <c r="P216" s="269"/>
      <c r="Q216" s="269"/>
      <c r="R216" s="269"/>
    </row>
    <row r="217">
      <c r="A217" s="269"/>
      <c r="B217" s="306"/>
      <c r="C217" s="271"/>
      <c r="D217" s="269"/>
      <c r="E217" s="269"/>
      <c r="F217" s="269"/>
      <c r="G217" s="307"/>
      <c r="H217" s="308"/>
      <c r="I217" s="275"/>
      <c r="J217" s="269"/>
      <c r="K217" s="269"/>
      <c r="L217" s="269"/>
      <c r="M217" s="269"/>
      <c r="N217" s="269"/>
      <c r="O217" s="269"/>
      <c r="P217" s="269"/>
      <c r="Q217" s="269"/>
      <c r="R217" s="269"/>
    </row>
    <row r="218">
      <c r="A218" s="269"/>
      <c r="B218" s="306"/>
      <c r="C218" s="271"/>
      <c r="D218" s="269"/>
      <c r="E218" s="269"/>
      <c r="F218" s="269"/>
      <c r="G218" s="307"/>
      <c r="H218" s="308"/>
      <c r="I218" s="275"/>
      <c r="J218" s="269"/>
      <c r="K218" s="269"/>
      <c r="L218" s="269"/>
      <c r="M218" s="269"/>
      <c r="N218" s="269"/>
      <c r="O218" s="269"/>
      <c r="P218" s="269"/>
      <c r="Q218" s="269"/>
      <c r="R218" s="269"/>
    </row>
    <row r="219">
      <c r="A219" s="269"/>
      <c r="B219" s="306"/>
      <c r="C219" s="271"/>
      <c r="D219" s="269"/>
      <c r="E219" s="269"/>
      <c r="F219" s="269"/>
      <c r="G219" s="307"/>
      <c r="H219" s="308"/>
      <c r="I219" s="275"/>
      <c r="J219" s="269"/>
      <c r="K219" s="269"/>
      <c r="L219" s="269"/>
      <c r="M219" s="269"/>
      <c r="N219" s="269"/>
      <c r="O219" s="269"/>
      <c r="P219" s="269"/>
      <c r="Q219" s="269"/>
      <c r="R219" s="269"/>
    </row>
    <row r="220">
      <c r="A220" s="269"/>
      <c r="B220" s="306"/>
      <c r="C220" s="271"/>
      <c r="D220" s="269"/>
      <c r="E220" s="269"/>
      <c r="F220" s="269"/>
      <c r="G220" s="307"/>
      <c r="H220" s="308"/>
      <c r="I220" s="275"/>
      <c r="J220" s="269"/>
      <c r="K220" s="269"/>
      <c r="L220" s="269"/>
      <c r="M220" s="269"/>
      <c r="N220" s="269"/>
      <c r="O220" s="269"/>
      <c r="P220" s="269"/>
      <c r="Q220" s="269"/>
      <c r="R220" s="269"/>
    </row>
    <row r="221">
      <c r="A221" s="269"/>
      <c r="B221" s="306"/>
      <c r="C221" s="271"/>
      <c r="D221" s="269"/>
      <c r="E221" s="269"/>
      <c r="F221" s="269"/>
      <c r="G221" s="307"/>
      <c r="H221" s="308"/>
      <c r="I221" s="275"/>
      <c r="J221" s="269"/>
      <c r="K221" s="269"/>
      <c r="L221" s="269"/>
      <c r="M221" s="269"/>
      <c r="N221" s="269"/>
      <c r="O221" s="269"/>
      <c r="P221" s="269"/>
      <c r="Q221" s="269"/>
      <c r="R221" s="269"/>
    </row>
    <row r="222">
      <c r="A222" s="269"/>
      <c r="B222" s="306"/>
      <c r="C222" s="271"/>
      <c r="D222" s="269"/>
      <c r="E222" s="269"/>
      <c r="F222" s="269"/>
      <c r="G222" s="307"/>
      <c r="H222" s="308"/>
      <c r="I222" s="275"/>
      <c r="J222" s="269"/>
      <c r="K222" s="269"/>
      <c r="L222" s="269"/>
      <c r="M222" s="269"/>
      <c r="N222" s="269"/>
      <c r="O222" s="269"/>
      <c r="P222" s="269"/>
      <c r="Q222" s="269"/>
      <c r="R222" s="269"/>
    </row>
    <row r="223">
      <c r="A223" s="269"/>
      <c r="B223" s="306"/>
      <c r="C223" s="271"/>
      <c r="D223" s="269"/>
      <c r="E223" s="269"/>
      <c r="F223" s="269"/>
      <c r="G223" s="307"/>
      <c r="H223" s="308"/>
      <c r="I223" s="275"/>
      <c r="J223" s="269"/>
      <c r="K223" s="269"/>
      <c r="L223" s="269"/>
      <c r="M223" s="269"/>
      <c r="N223" s="269"/>
      <c r="O223" s="269"/>
      <c r="P223" s="269"/>
      <c r="Q223" s="269"/>
      <c r="R223" s="269"/>
    </row>
    <row r="224">
      <c r="A224" s="269"/>
      <c r="B224" s="306"/>
      <c r="C224" s="271"/>
      <c r="D224" s="269"/>
      <c r="E224" s="269"/>
      <c r="F224" s="269"/>
      <c r="G224" s="307"/>
      <c r="H224" s="308"/>
      <c r="I224" s="275"/>
      <c r="J224" s="269"/>
      <c r="K224" s="269"/>
      <c r="L224" s="269"/>
      <c r="M224" s="269"/>
      <c r="N224" s="269"/>
      <c r="O224" s="269"/>
      <c r="P224" s="269"/>
      <c r="Q224" s="269"/>
      <c r="R224" s="269"/>
    </row>
    <row r="225">
      <c r="A225" s="269"/>
      <c r="B225" s="306"/>
      <c r="C225" s="271"/>
      <c r="D225" s="269"/>
      <c r="E225" s="269"/>
      <c r="F225" s="269"/>
      <c r="G225" s="307"/>
      <c r="H225" s="308"/>
      <c r="I225" s="275"/>
      <c r="J225" s="269"/>
      <c r="K225" s="269"/>
      <c r="L225" s="269"/>
      <c r="M225" s="269"/>
      <c r="N225" s="269"/>
      <c r="O225" s="269"/>
      <c r="P225" s="269"/>
      <c r="Q225" s="269"/>
      <c r="R225" s="269"/>
    </row>
    <row r="226">
      <c r="A226" s="269"/>
      <c r="B226" s="306"/>
      <c r="C226" s="271"/>
      <c r="D226" s="269"/>
      <c r="E226" s="269"/>
      <c r="F226" s="269"/>
      <c r="G226" s="307"/>
      <c r="H226" s="308"/>
      <c r="I226" s="275"/>
      <c r="J226" s="269"/>
      <c r="K226" s="269"/>
      <c r="L226" s="269"/>
      <c r="M226" s="269"/>
      <c r="N226" s="269"/>
      <c r="O226" s="269"/>
      <c r="P226" s="269"/>
      <c r="Q226" s="269"/>
      <c r="R226" s="269"/>
    </row>
    <row r="227">
      <c r="A227" s="269"/>
      <c r="B227" s="306"/>
      <c r="C227" s="271"/>
      <c r="D227" s="269"/>
      <c r="E227" s="269"/>
      <c r="F227" s="269"/>
      <c r="G227" s="307"/>
      <c r="H227" s="308"/>
      <c r="I227" s="275"/>
      <c r="J227" s="269"/>
      <c r="K227" s="269"/>
      <c r="L227" s="269"/>
      <c r="M227" s="269"/>
      <c r="N227" s="269"/>
      <c r="O227" s="269"/>
      <c r="P227" s="269"/>
      <c r="Q227" s="269"/>
      <c r="R227" s="269"/>
    </row>
    <row r="228">
      <c r="A228" s="269"/>
      <c r="B228" s="306"/>
      <c r="C228" s="271"/>
      <c r="D228" s="269"/>
      <c r="E228" s="269"/>
      <c r="F228" s="269"/>
      <c r="G228" s="307"/>
      <c r="H228" s="308"/>
      <c r="I228" s="275"/>
      <c r="J228" s="269"/>
      <c r="K228" s="269"/>
      <c r="L228" s="269"/>
      <c r="M228" s="269"/>
      <c r="N228" s="269"/>
      <c r="O228" s="269"/>
      <c r="P228" s="269"/>
      <c r="Q228" s="269"/>
      <c r="R228" s="269"/>
    </row>
    <row r="229">
      <c r="A229" s="269"/>
      <c r="B229" s="306"/>
      <c r="C229" s="271"/>
      <c r="D229" s="269"/>
      <c r="E229" s="269"/>
      <c r="F229" s="269"/>
      <c r="G229" s="307"/>
      <c r="H229" s="308"/>
      <c r="I229" s="275"/>
      <c r="J229" s="269"/>
      <c r="K229" s="269"/>
      <c r="L229" s="269"/>
      <c r="M229" s="269"/>
      <c r="N229" s="269"/>
      <c r="O229" s="269"/>
      <c r="P229" s="269"/>
      <c r="Q229" s="269"/>
      <c r="R229" s="269"/>
    </row>
    <row r="230">
      <c r="A230" s="269"/>
      <c r="B230" s="306"/>
      <c r="C230" s="271"/>
      <c r="D230" s="269"/>
      <c r="E230" s="269"/>
      <c r="F230" s="269"/>
      <c r="G230" s="307"/>
      <c r="H230" s="308"/>
      <c r="I230" s="275"/>
      <c r="J230" s="269"/>
      <c r="K230" s="269"/>
      <c r="L230" s="269"/>
      <c r="M230" s="269"/>
      <c r="N230" s="269"/>
      <c r="O230" s="269"/>
      <c r="P230" s="269"/>
      <c r="Q230" s="269"/>
      <c r="R230" s="269"/>
    </row>
    <row r="231">
      <c r="A231" s="269"/>
      <c r="B231" s="306"/>
      <c r="C231" s="271"/>
      <c r="D231" s="269"/>
      <c r="E231" s="269"/>
      <c r="F231" s="269"/>
      <c r="G231" s="307"/>
      <c r="H231" s="308"/>
      <c r="I231" s="275"/>
      <c r="J231" s="269"/>
      <c r="K231" s="269"/>
      <c r="L231" s="269"/>
      <c r="M231" s="269"/>
      <c r="N231" s="269"/>
      <c r="O231" s="269"/>
      <c r="P231" s="269"/>
      <c r="Q231" s="269"/>
      <c r="R231" s="269"/>
    </row>
    <row r="232">
      <c r="A232" s="269"/>
      <c r="B232" s="306"/>
      <c r="C232" s="271"/>
      <c r="D232" s="269"/>
      <c r="E232" s="269"/>
      <c r="F232" s="269"/>
      <c r="G232" s="307"/>
      <c r="H232" s="308"/>
      <c r="I232" s="275"/>
      <c r="J232" s="269"/>
      <c r="K232" s="269"/>
      <c r="L232" s="269"/>
      <c r="M232" s="269"/>
      <c r="N232" s="269"/>
      <c r="O232" s="269"/>
      <c r="P232" s="269"/>
      <c r="Q232" s="269"/>
      <c r="R232" s="269"/>
    </row>
    <row r="233">
      <c r="A233" s="269"/>
      <c r="B233" s="306"/>
      <c r="C233" s="271"/>
      <c r="D233" s="269"/>
      <c r="E233" s="269"/>
      <c r="F233" s="269"/>
      <c r="G233" s="307"/>
      <c r="H233" s="308"/>
      <c r="I233" s="275"/>
      <c r="J233" s="269"/>
      <c r="K233" s="269"/>
      <c r="L233" s="269"/>
      <c r="M233" s="269"/>
      <c r="N233" s="269"/>
      <c r="O233" s="269"/>
      <c r="P233" s="269"/>
      <c r="Q233" s="269"/>
      <c r="R233" s="269"/>
    </row>
    <row r="234">
      <c r="A234" s="269"/>
      <c r="B234" s="306"/>
      <c r="C234" s="271"/>
      <c r="D234" s="269"/>
      <c r="E234" s="269"/>
      <c r="F234" s="269"/>
      <c r="G234" s="307"/>
      <c r="H234" s="308"/>
      <c r="I234" s="275"/>
      <c r="J234" s="269"/>
      <c r="K234" s="269"/>
      <c r="L234" s="269"/>
      <c r="M234" s="269"/>
      <c r="N234" s="269"/>
      <c r="O234" s="269"/>
      <c r="P234" s="269"/>
      <c r="Q234" s="269"/>
      <c r="R234" s="269"/>
    </row>
    <row r="235">
      <c r="A235" s="269"/>
      <c r="B235" s="306"/>
      <c r="C235" s="271"/>
      <c r="D235" s="269"/>
      <c r="E235" s="269"/>
      <c r="F235" s="269"/>
      <c r="G235" s="307"/>
      <c r="H235" s="308"/>
      <c r="I235" s="275"/>
      <c r="J235" s="269"/>
      <c r="K235" s="269"/>
      <c r="L235" s="269"/>
      <c r="M235" s="269"/>
      <c r="N235" s="269"/>
      <c r="O235" s="269"/>
      <c r="P235" s="269"/>
      <c r="Q235" s="269"/>
      <c r="R235" s="269"/>
    </row>
    <row r="236">
      <c r="A236" s="269"/>
      <c r="B236" s="306"/>
      <c r="C236" s="271"/>
      <c r="D236" s="269"/>
      <c r="E236" s="269"/>
      <c r="F236" s="269"/>
      <c r="G236" s="307"/>
      <c r="H236" s="308"/>
      <c r="I236" s="275"/>
      <c r="J236" s="269"/>
      <c r="K236" s="269"/>
      <c r="L236" s="269"/>
      <c r="M236" s="269"/>
      <c r="N236" s="269"/>
      <c r="O236" s="269"/>
      <c r="P236" s="269"/>
      <c r="Q236" s="269"/>
      <c r="R236" s="269"/>
    </row>
    <row r="237">
      <c r="A237" s="269"/>
      <c r="B237" s="306"/>
      <c r="C237" s="271"/>
      <c r="D237" s="269"/>
      <c r="E237" s="269"/>
      <c r="F237" s="269"/>
      <c r="G237" s="307"/>
      <c r="H237" s="308"/>
      <c r="I237" s="275"/>
      <c r="J237" s="269"/>
      <c r="K237" s="269"/>
      <c r="L237" s="269"/>
      <c r="M237" s="269"/>
      <c r="N237" s="269"/>
      <c r="O237" s="269"/>
      <c r="P237" s="269"/>
      <c r="Q237" s="269"/>
      <c r="R237" s="269"/>
    </row>
    <row r="238">
      <c r="A238" s="269"/>
      <c r="B238" s="306"/>
      <c r="C238" s="271"/>
      <c r="D238" s="269"/>
      <c r="E238" s="269"/>
      <c r="F238" s="269"/>
      <c r="G238" s="307"/>
      <c r="H238" s="308"/>
      <c r="I238" s="275"/>
      <c r="J238" s="269"/>
      <c r="K238" s="269"/>
      <c r="L238" s="269"/>
      <c r="M238" s="269"/>
      <c r="N238" s="269"/>
      <c r="O238" s="269"/>
      <c r="P238" s="269"/>
      <c r="Q238" s="269"/>
      <c r="R238" s="269"/>
    </row>
    <row r="239">
      <c r="A239" s="269"/>
      <c r="B239" s="306"/>
      <c r="C239" s="271"/>
      <c r="D239" s="269"/>
      <c r="E239" s="269"/>
      <c r="F239" s="269"/>
      <c r="G239" s="307"/>
      <c r="H239" s="308"/>
      <c r="I239" s="275"/>
      <c r="J239" s="269"/>
      <c r="K239" s="269"/>
      <c r="L239" s="269"/>
      <c r="M239" s="269"/>
      <c r="N239" s="269"/>
      <c r="O239" s="269"/>
      <c r="P239" s="269"/>
      <c r="Q239" s="269"/>
      <c r="R239" s="269"/>
    </row>
    <row r="240">
      <c r="A240" s="269"/>
      <c r="B240" s="306"/>
      <c r="C240" s="271"/>
      <c r="D240" s="269"/>
      <c r="E240" s="269"/>
      <c r="F240" s="269"/>
      <c r="G240" s="307"/>
      <c r="H240" s="308"/>
      <c r="I240" s="275"/>
      <c r="J240" s="269"/>
      <c r="K240" s="269"/>
      <c r="L240" s="269"/>
      <c r="M240" s="269"/>
      <c r="N240" s="269"/>
      <c r="O240" s="269"/>
      <c r="P240" s="269"/>
      <c r="Q240" s="269"/>
      <c r="R240" s="269"/>
    </row>
    <row r="241">
      <c r="A241" s="269"/>
      <c r="B241" s="306"/>
      <c r="C241" s="271"/>
      <c r="D241" s="269"/>
      <c r="E241" s="269"/>
      <c r="F241" s="269"/>
      <c r="G241" s="307"/>
      <c r="H241" s="308"/>
      <c r="I241" s="275"/>
      <c r="J241" s="269"/>
      <c r="K241" s="269"/>
      <c r="L241" s="269"/>
      <c r="M241" s="269"/>
      <c r="N241" s="269"/>
      <c r="O241" s="269"/>
      <c r="P241" s="269"/>
      <c r="Q241" s="269"/>
      <c r="R241" s="269"/>
    </row>
    <row r="242">
      <c r="A242" s="269"/>
      <c r="B242" s="306"/>
      <c r="C242" s="271"/>
      <c r="D242" s="269"/>
      <c r="E242" s="269"/>
      <c r="F242" s="269"/>
      <c r="G242" s="307"/>
      <c r="H242" s="308"/>
      <c r="I242" s="275"/>
      <c r="J242" s="269"/>
      <c r="K242" s="269"/>
      <c r="L242" s="269"/>
      <c r="M242" s="269"/>
      <c r="N242" s="269"/>
      <c r="O242" s="269"/>
      <c r="P242" s="269"/>
      <c r="Q242" s="269"/>
      <c r="R242" s="269"/>
    </row>
    <row r="243">
      <c r="A243" s="269"/>
      <c r="B243" s="306"/>
      <c r="C243" s="271"/>
      <c r="D243" s="269"/>
      <c r="E243" s="269"/>
      <c r="F243" s="269"/>
      <c r="G243" s="307"/>
      <c r="H243" s="308"/>
      <c r="I243" s="275"/>
      <c r="J243" s="269"/>
      <c r="K243" s="269"/>
      <c r="L243" s="269"/>
      <c r="M243" s="269"/>
      <c r="N243" s="269"/>
      <c r="O243" s="269"/>
      <c r="P243" s="269"/>
      <c r="Q243" s="269"/>
      <c r="R243" s="269"/>
    </row>
    <row r="244">
      <c r="A244" s="269"/>
      <c r="B244" s="306"/>
      <c r="C244" s="271"/>
      <c r="D244" s="269"/>
      <c r="E244" s="269"/>
      <c r="F244" s="269"/>
      <c r="G244" s="307"/>
      <c r="H244" s="308"/>
      <c r="I244" s="275"/>
      <c r="J244" s="269"/>
      <c r="K244" s="269"/>
      <c r="L244" s="269"/>
      <c r="M244" s="269"/>
      <c r="N244" s="269"/>
      <c r="O244" s="269"/>
      <c r="P244" s="269"/>
      <c r="Q244" s="269"/>
      <c r="R244" s="269"/>
    </row>
    <row r="245">
      <c r="A245" s="269"/>
      <c r="B245" s="306"/>
      <c r="C245" s="271"/>
      <c r="D245" s="269"/>
      <c r="E245" s="269"/>
      <c r="F245" s="269"/>
      <c r="G245" s="307"/>
      <c r="H245" s="308"/>
      <c r="I245" s="275"/>
      <c r="J245" s="269"/>
      <c r="K245" s="269"/>
      <c r="L245" s="269"/>
      <c r="M245" s="269"/>
      <c r="N245" s="269"/>
      <c r="O245" s="269"/>
      <c r="P245" s="269"/>
      <c r="Q245" s="269"/>
      <c r="R245" s="269"/>
    </row>
    <row r="246">
      <c r="A246" s="269"/>
      <c r="B246" s="306"/>
      <c r="C246" s="271"/>
      <c r="D246" s="269"/>
      <c r="E246" s="269"/>
      <c r="F246" s="269"/>
      <c r="G246" s="307"/>
      <c r="H246" s="308"/>
      <c r="I246" s="275"/>
      <c r="J246" s="269"/>
      <c r="K246" s="269"/>
      <c r="L246" s="269"/>
      <c r="M246" s="269"/>
      <c r="N246" s="269"/>
      <c r="O246" s="269"/>
      <c r="P246" s="269"/>
      <c r="Q246" s="269"/>
      <c r="R246" s="269"/>
    </row>
    <row r="247">
      <c r="A247" s="269"/>
      <c r="B247" s="306"/>
      <c r="C247" s="271"/>
      <c r="D247" s="269"/>
      <c r="E247" s="269"/>
      <c r="F247" s="269"/>
      <c r="G247" s="307"/>
      <c r="H247" s="308"/>
      <c r="I247" s="275"/>
      <c r="J247" s="269"/>
      <c r="K247" s="269"/>
      <c r="L247" s="269"/>
      <c r="M247" s="269"/>
      <c r="N247" s="269"/>
      <c r="O247" s="269"/>
      <c r="P247" s="269"/>
      <c r="Q247" s="269"/>
      <c r="R247" s="269"/>
    </row>
    <row r="248">
      <c r="A248" s="269"/>
      <c r="B248" s="306"/>
      <c r="C248" s="271"/>
      <c r="D248" s="269"/>
      <c r="E248" s="269"/>
      <c r="F248" s="269"/>
      <c r="G248" s="307"/>
      <c r="H248" s="308"/>
      <c r="I248" s="275"/>
      <c r="J248" s="269"/>
      <c r="K248" s="269"/>
      <c r="L248" s="269"/>
      <c r="M248" s="269"/>
      <c r="N248" s="269"/>
      <c r="O248" s="269"/>
      <c r="P248" s="269"/>
      <c r="Q248" s="269"/>
      <c r="R248" s="269"/>
    </row>
    <row r="249">
      <c r="A249" s="269"/>
      <c r="B249" s="306"/>
      <c r="C249" s="271"/>
      <c r="D249" s="269"/>
      <c r="E249" s="269"/>
      <c r="F249" s="269"/>
      <c r="G249" s="307"/>
      <c r="H249" s="308"/>
      <c r="I249" s="275"/>
      <c r="J249" s="269"/>
      <c r="K249" s="269"/>
      <c r="L249" s="269"/>
      <c r="M249" s="269"/>
      <c r="N249" s="269"/>
      <c r="O249" s="269"/>
      <c r="P249" s="269"/>
      <c r="Q249" s="269"/>
      <c r="R249" s="269"/>
    </row>
    <row r="250">
      <c r="A250" s="269"/>
      <c r="B250" s="306"/>
      <c r="C250" s="271"/>
      <c r="D250" s="269"/>
      <c r="E250" s="269"/>
      <c r="F250" s="269"/>
      <c r="G250" s="307"/>
      <c r="H250" s="308"/>
      <c r="I250" s="275"/>
      <c r="J250" s="269"/>
      <c r="K250" s="269"/>
      <c r="L250" s="269"/>
      <c r="M250" s="269"/>
      <c r="N250" s="269"/>
      <c r="O250" s="269"/>
      <c r="P250" s="269"/>
      <c r="Q250" s="269"/>
      <c r="R250" s="269"/>
    </row>
    <row r="251">
      <c r="A251" s="269"/>
      <c r="B251" s="306"/>
      <c r="C251" s="271"/>
      <c r="D251" s="269"/>
      <c r="E251" s="269"/>
      <c r="F251" s="269"/>
      <c r="G251" s="307"/>
      <c r="H251" s="308"/>
      <c r="I251" s="275"/>
      <c r="J251" s="269"/>
      <c r="K251" s="269"/>
      <c r="L251" s="269"/>
      <c r="M251" s="269"/>
      <c r="N251" s="269"/>
      <c r="O251" s="269"/>
      <c r="P251" s="269"/>
      <c r="Q251" s="269"/>
      <c r="R251" s="269"/>
    </row>
    <row r="252">
      <c r="A252" s="269"/>
      <c r="B252" s="306"/>
      <c r="C252" s="271"/>
      <c r="D252" s="269"/>
      <c r="E252" s="269"/>
      <c r="F252" s="269"/>
      <c r="G252" s="307"/>
      <c r="H252" s="308"/>
      <c r="I252" s="275"/>
      <c r="J252" s="269"/>
      <c r="K252" s="269"/>
      <c r="L252" s="269"/>
      <c r="M252" s="269"/>
      <c r="N252" s="269"/>
      <c r="O252" s="269"/>
      <c r="P252" s="269"/>
      <c r="Q252" s="269"/>
      <c r="R252" s="269"/>
    </row>
    <row r="253">
      <c r="A253" s="269"/>
      <c r="B253" s="306"/>
      <c r="C253" s="271"/>
      <c r="D253" s="269"/>
      <c r="E253" s="269"/>
      <c r="F253" s="269"/>
      <c r="G253" s="307"/>
      <c r="H253" s="308"/>
      <c r="I253" s="275"/>
      <c r="J253" s="269"/>
      <c r="K253" s="269"/>
      <c r="L253" s="269"/>
      <c r="M253" s="269"/>
      <c r="N253" s="269"/>
      <c r="O253" s="269"/>
      <c r="P253" s="269"/>
      <c r="Q253" s="269"/>
      <c r="R253" s="269"/>
    </row>
    <row r="254">
      <c r="A254" s="269"/>
      <c r="B254" s="306"/>
      <c r="C254" s="271"/>
      <c r="D254" s="269"/>
      <c r="E254" s="269"/>
      <c r="F254" s="269"/>
      <c r="G254" s="307"/>
      <c r="H254" s="308"/>
      <c r="I254" s="275"/>
      <c r="J254" s="269"/>
      <c r="K254" s="269"/>
      <c r="L254" s="269"/>
      <c r="M254" s="269"/>
      <c r="N254" s="269"/>
      <c r="O254" s="269"/>
      <c r="P254" s="269"/>
      <c r="Q254" s="269"/>
      <c r="R254" s="269"/>
    </row>
    <row r="255">
      <c r="A255" s="269"/>
      <c r="B255" s="306"/>
      <c r="C255" s="271"/>
      <c r="D255" s="269"/>
      <c r="E255" s="269"/>
      <c r="F255" s="269"/>
      <c r="G255" s="307"/>
      <c r="H255" s="308"/>
      <c r="I255" s="275"/>
      <c r="J255" s="269"/>
      <c r="K255" s="269"/>
      <c r="L255" s="269"/>
      <c r="M255" s="269"/>
      <c r="N255" s="269"/>
      <c r="O255" s="269"/>
      <c r="P255" s="269"/>
      <c r="Q255" s="269"/>
      <c r="R255" s="269"/>
    </row>
    <row r="256">
      <c r="A256" s="269"/>
      <c r="B256" s="306"/>
      <c r="C256" s="271"/>
      <c r="D256" s="269"/>
      <c r="E256" s="269"/>
      <c r="F256" s="269"/>
      <c r="G256" s="307"/>
      <c r="H256" s="308"/>
      <c r="I256" s="275"/>
      <c r="J256" s="269"/>
      <c r="K256" s="269"/>
      <c r="L256" s="269"/>
      <c r="M256" s="269"/>
      <c r="N256" s="269"/>
      <c r="O256" s="269"/>
      <c r="P256" s="269"/>
      <c r="Q256" s="269"/>
      <c r="R256" s="269"/>
    </row>
    <row r="257">
      <c r="A257" s="269"/>
      <c r="B257" s="306"/>
      <c r="C257" s="271"/>
      <c r="D257" s="269"/>
      <c r="E257" s="269"/>
      <c r="F257" s="269"/>
      <c r="G257" s="307"/>
      <c r="H257" s="308"/>
      <c r="I257" s="275"/>
      <c r="J257" s="269"/>
      <c r="K257" s="269"/>
      <c r="L257" s="269"/>
      <c r="M257" s="269"/>
      <c r="N257" s="269"/>
      <c r="O257" s="269"/>
      <c r="P257" s="269"/>
      <c r="Q257" s="269"/>
      <c r="R257" s="269"/>
    </row>
    <row r="258">
      <c r="A258" s="269"/>
      <c r="B258" s="306"/>
      <c r="C258" s="271"/>
      <c r="D258" s="269"/>
      <c r="E258" s="269"/>
      <c r="F258" s="269"/>
      <c r="G258" s="307"/>
      <c r="H258" s="308"/>
      <c r="I258" s="275"/>
      <c r="J258" s="269"/>
      <c r="K258" s="269"/>
      <c r="L258" s="269"/>
      <c r="M258" s="269"/>
      <c r="N258" s="269"/>
      <c r="O258" s="269"/>
      <c r="P258" s="269"/>
      <c r="Q258" s="269"/>
      <c r="R258" s="269"/>
    </row>
    <row r="259">
      <c r="A259" s="269"/>
      <c r="B259" s="306"/>
      <c r="C259" s="271"/>
      <c r="D259" s="269"/>
      <c r="E259" s="269"/>
      <c r="F259" s="269"/>
      <c r="G259" s="307"/>
      <c r="H259" s="308"/>
      <c r="I259" s="275"/>
      <c r="J259" s="269"/>
      <c r="K259" s="269"/>
      <c r="L259" s="269"/>
      <c r="M259" s="269"/>
      <c r="N259" s="269"/>
      <c r="O259" s="269"/>
      <c r="P259" s="269"/>
      <c r="Q259" s="269"/>
      <c r="R259" s="269"/>
    </row>
    <row r="260">
      <c r="A260" s="269"/>
      <c r="B260" s="306"/>
      <c r="C260" s="271"/>
      <c r="D260" s="269"/>
      <c r="E260" s="269"/>
      <c r="F260" s="269"/>
      <c r="G260" s="307"/>
      <c r="H260" s="308"/>
      <c r="I260" s="275"/>
      <c r="J260" s="269"/>
      <c r="K260" s="269"/>
      <c r="L260" s="269"/>
      <c r="M260" s="269"/>
      <c r="N260" s="269"/>
      <c r="O260" s="269"/>
      <c r="P260" s="269"/>
      <c r="Q260" s="269"/>
      <c r="R260" s="269"/>
    </row>
    <row r="261">
      <c r="A261" s="269"/>
      <c r="B261" s="306"/>
      <c r="C261" s="271"/>
      <c r="D261" s="269"/>
      <c r="E261" s="269"/>
      <c r="F261" s="269"/>
      <c r="G261" s="307"/>
      <c r="H261" s="308"/>
      <c r="I261" s="275"/>
      <c r="J261" s="269"/>
      <c r="K261" s="269"/>
      <c r="L261" s="269"/>
      <c r="M261" s="269"/>
      <c r="N261" s="269"/>
      <c r="O261" s="269"/>
      <c r="P261" s="269"/>
      <c r="Q261" s="269"/>
      <c r="R261" s="269"/>
    </row>
    <row r="262">
      <c r="A262" s="269"/>
      <c r="B262" s="306"/>
      <c r="C262" s="271"/>
      <c r="D262" s="269"/>
      <c r="E262" s="269"/>
      <c r="F262" s="269"/>
      <c r="G262" s="307"/>
      <c r="H262" s="308"/>
      <c r="I262" s="275"/>
      <c r="J262" s="269"/>
      <c r="K262" s="269"/>
      <c r="L262" s="269"/>
      <c r="M262" s="269"/>
      <c r="N262" s="269"/>
      <c r="O262" s="269"/>
      <c r="P262" s="269"/>
      <c r="Q262" s="269"/>
      <c r="R262" s="269"/>
    </row>
    <row r="263">
      <c r="A263" s="269"/>
      <c r="B263" s="306"/>
      <c r="C263" s="271"/>
      <c r="D263" s="269"/>
      <c r="E263" s="269"/>
      <c r="F263" s="269"/>
      <c r="G263" s="307"/>
      <c r="H263" s="308"/>
      <c r="I263" s="275"/>
      <c r="J263" s="269"/>
      <c r="K263" s="269"/>
      <c r="L263" s="269"/>
      <c r="M263" s="269"/>
      <c r="N263" s="269"/>
      <c r="O263" s="269"/>
      <c r="P263" s="269"/>
      <c r="Q263" s="269"/>
      <c r="R263" s="269"/>
    </row>
    <row r="264">
      <c r="A264" s="269"/>
      <c r="B264" s="306"/>
      <c r="C264" s="271"/>
      <c r="D264" s="269"/>
      <c r="E264" s="269"/>
      <c r="F264" s="269"/>
      <c r="G264" s="307"/>
      <c r="H264" s="308"/>
      <c r="I264" s="275"/>
      <c r="J264" s="269"/>
      <c r="K264" s="269"/>
      <c r="L264" s="269"/>
      <c r="M264" s="269"/>
      <c r="N264" s="269"/>
      <c r="O264" s="269"/>
      <c r="P264" s="269"/>
      <c r="Q264" s="269"/>
      <c r="R264" s="269"/>
    </row>
    <row r="265">
      <c r="A265" s="269"/>
      <c r="B265" s="306"/>
      <c r="C265" s="271"/>
      <c r="D265" s="269"/>
      <c r="E265" s="269"/>
      <c r="F265" s="269"/>
      <c r="G265" s="307"/>
      <c r="H265" s="308"/>
      <c r="I265" s="275"/>
      <c r="J265" s="269"/>
      <c r="K265" s="269"/>
      <c r="L265" s="269"/>
      <c r="M265" s="269"/>
      <c r="N265" s="269"/>
      <c r="O265" s="269"/>
      <c r="P265" s="269"/>
      <c r="Q265" s="269"/>
      <c r="R265" s="269"/>
    </row>
    <row r="266">
      <c r="A266" s="269"/>
      <c r="B266" s="306"/>
      <c r="C266" s="271"/>
      <c r="D266" s="269"/>
      <c r="E266" s="269"/>
      <c r="F266" s="269"/>
      <c r="G266" s="307"/>
      <c r="H266" s="308"/>
      <c r="I266" s="275"/>
      <c r="J266" s="269"/>
      <c r="K266" s="269"/>
      <c r="L266" s="269"/>
      <c r="M266" s="269"/>
      <c r="N266" s="269"/>
      <c r="O266" s="269"/>
      <c r="P266" s="269"/>
      <c r="Q266" s="269"/>
      <c r="R266" s="269"/>
    </row>
    <row r="267">
      <c r="A267" s="269"/>
      <c r="B267" s="306"/>
      <c r="C267" s="271"/>
      <c r="D267" s="269"/>
      <c r="E267" s="269"/>
      <c r="F267" s="269"/>
      <c r="G267" s="307"/>
      <c r="H267" s="308"/>
      <c r="I267" s="275"/>
      <c r="J267" s="269"/>
      <c r="K267" s="269"/>
      <c r="L267" s="269"/>
      <c r="M267" s="269"/>
      <c r="N267" s="269"/>
      <c r="O267" s="269"/>
      <c r="P267" s="269"/>
      <c r="Q267" s="269"/>
      <c r="R267" s="269"/>
    </row>
    <row r="268">
      <c r="A268" s="269"/>
      <c r="B268" s="306"/>
      <c r="C268" s="271"/>
      <c r="D268" s="269"/>
      <c r="E268" s="269"/>
      <c r="F268" s="269"/>
      <c r="G268" s="307"/>
      <c r="H268" s="308"/>
      <c r="I268" s="275"/>
      <c r="J268" s="269"/>
      <c r="K268" s="269"/>
      <c r="L268" s="269"/>
      <c r="M268" s="269"/>
      <c r="N268" s="269"/>
      <c r="O268" s="269"/>
      <c r="P268" s="269"/>
      <c r="Q268" s="269"/>
      <c r="R268" s="269"/>
    </row>
    <row r="269">
      <c r="A269" s="269"/>
      <c r="B269" s="306"/>
      <c r="C269" s="271"/>
      <c r="D269" s="269"/>
      <c r="E269" s="269"/>
      <c r="F269" s="269"/>
      <c r="G269" s="307"/>
      <c r="H269" s="308"/>
      <c r="I269" s="275"/>
      <c r="J269" s="269"/>
      <c r="K269" s="269"/>
      <c r="L269" s="269"/>
      <c r="M269" s="269"/>
      <c r="N269" s="269"/>
      <c r="O269" s="269"/>
      <c r="P269" s="269"/>
      <c r="Q269" s="269"/>
      <c r="R269" s="269"/>
    </row>
    <row r="270">
      <c r="A270" s="269"/>
      <c r="B270" s="306"/>
      <c r="C270" s="271"/>
      <c r="D270" s="269"/>
      <c r="E270" s="269"/>
      <c r="F270" s="269"/>
      <c r="G270" s="307"/>
      <c r="H270" s="308"/>
      <c r="I270" s="275"/>
      <c r="J270" s="269"/>
      <c r="K270" s="269"/>
      <c r="L270" s="269"/>
      <c r="M270" s="269"/>
      <c r="N270" s="269"/>
      <c r="O270" s="269"/>
      <c r="P270" s="269"/>
      <c r="Q270" s="269"/>
      <c r="R270" s="269"/>
    </row>
    <row r="271">
      <c r="A271" s="269"/>
      <c r="B271" s="306"/>
      <c r="C271" s="271"/>
      <c r="D271" s="269"/>
      <c r="E271" s="269"/>
      <c r="F271" s="269"/>
      <c r="G271" s="307"/>
      <c r="H271" s="308"/>
      <c r="I271" s="275"/>
      <c r="J271" s="269"/>
      <c r="K271" s="269"/>
      <c r="L271" s="269"/>
      <c r="M271" s="269"/>
      <c r="N271" s="269"/>
      <c r="O271" s="269"/>
      <c r="P271" s="269"/>
      <c r="Q271" s="269"/>
      <c r="R271" s="269"/>
    </row>
    <row r="272">
      <c r="A272" s="269"/>
      <c r="B272" s="306"/>
      <c r="C272" s="271"/>
      <c r="D272" s="269"/>
      <c r="E272" s="269"/>
      <c r="F272" s="269"/>
      <c r="G272" s="307"/>
      <c r="H272" s="308"/>
      <c r="I272" s="275"/>
      <c r="J272" s="269"/>
      <c r="K272" s="269"/>
      <c r="L272" s="269"/>
      <c r="M272" s="269"/>
      <c r="N272" s="269"/>
      <c r="O272" s="269"/>
      <c r="P272" s="269"/>
      <c r="Q272" s="269"/>
      <c r="R272" s="269"/>
    </row>
    <row r="273">
      <c r="A273" s="269"/>
      <c r="B273" s="306"/>
      <c r="C273" s="271"/>
      <c r="D273" s="269"/>
      <c r="E273" s="269"/>
      <c r="F273" s="269"/>
      <c r="G273" s="307"/>
      <c r="H273" s="308"/>
      <c r="I273" s="275"/>
      <c r="J273" s="269"/>
      <c r="K273" s="269"/>
      <c r="L273" s="269"/>
      <c r="M273" s="269"/>
      <c r="N273" s="269"/>
      <c r="O273" s="269"/>
      <c r="P273" s="269"/>
      <c r="Q273" s="269"/>
      <c r="R273" s="269"/>
    </row>
    <row r="274">
      <c r="A274" s="269"/>
      <c r="B274" s="306"/>
      <c r="C274" s="271"/>
      <c r="D274" s="269"/>
      <c r="E274" s="269"/>
      <c r="F274" s="269"/>
      <c r="G274" s="307"/>
      <c r="H274" s="308"/>
      <c r="I274" s="275"/>
      <c r="J274" s="269"/>
      <c r="K274" s="269"/>
      <c r="L274" s="269"/>
      <c r="M274" s="269"/>
      <c r="N274" s="269"/>
      <c r="O274" s="269"/>
      <c r="P274" s="269"/>
      <c r="Q274" s="269"/>
      <c r="R274" s="269"/>
    </row>
    <row r="275">
      <c r="A275" s="269"/>
      <c r="B275" s="306"/>
      <c r="C275" s="271"/>
      <c r="D275" s="269"/>
      <c r="E275" s="269"/>
      <c r="F275" s="269"/>
      <c r="G275" s="307"/>
      <c r="H275" s="308"/>
      <c r="I275" s="275"/>
      <c r="J275" s="269"/>
      <c r="K275" s="269"/>
      <c r="L275" s="269"/>
      <c r="M275" s="269"/>
      <c r="N275" s="269"/>
      <c r="O275" s="269"/>
      <c r="P275" s="269"/>
      <c r="Q275" s="269"/>
      <c r="R275" s="269"/>
    </row>
    <row r="276">
      <c r="A276" s="269"/>
      <c r="B276" s="306"/>
      <c r="C276" s="271"/>
      <c r="D276" s="269"/>
      <c r="E276" s="269"/>
      <c r="F276" s="269"/>
      <c r="G276" s="307"/>
      <c r="H276" s="308"/>
      <c r="I276" s="275"/>
      <c r="J276" s="269"/>
      <c r="K276" s="269"/>
      <c r="L276" s="269"/>
      <c r="M276" s="269"/>
      <c r="N276" s="269"/>
      <c r="O276" s="269"/>
      <c r="P276" s="269"/>
      <c r="Q276" s="269"/>
      <c r="R276" s="269"/>
    </row>
    <row r="277">
      <c r="A277" s="269"/>
      <c r="B277" s="306"/>
      <c r="C277" s="271"/>
      <c r="D277" s="269"/>
      <c r="E277" s="269"/>
      <c r="F277" s="269"/>
      <c r="G277" s="307"/>
      <c r="H277" s="308"/>
      <c r="I277" s="275"/>
      <c r="J277" s="269"/>
      <c r="K277" s="269"/>
      <c r="L277" s="269"/>
      <c r="M277" s="269"/>
      <c r="N277" s="269"/>
      <c r="O277" s="269"/>
      <c r="P277" s="269"/>
      <c r="Q277" s="269"/>
      <c r="R277" s="269"/>
    </row>
    <row r="278">
      <c r="A278" s="269"/>
      <c r="B278" s="306"/>
      <c r="C278" s="271"/>
      <c r="D278" s="269"/>
      <c r="E278" s="269"/>
      <c r="F278" s="269"/>
      <c r="G278" s="307"/>
      <c r="H278" s="308"/>
      <c r="I278" s="275"/>
      <c r="J278" s="269"/>
      <c r="K278" s="269"/>
      <c r="L278" s="269"/>
      <c r="M278" s="269"/>
      <c r="N278" s="269"/>
      <c r="O278" s="269"/>
      <c r="P278" s="269"/>
      <c r="Q278" s="269"/>
      <c r="R278" s="269"/>
    </row>
    <row r="279">
      <c r="A279" s="269"/>
      <c r="B279" s="306"/>
      <c r="C279" s="271"/>
      <c r="D279" s="269"/>
      <c r="E279" s="269"/>
      <c r="F279" s="269"/>
      <c r="G279" s="307"/>
      <c r="H279" s="308"/>
      <c r="I279" s="275"/>
      <c r="J279" s="269"/>
      <c r="K279" s="269"/>
      <c r="L279" s="269"/>
      <c r="M279" s="269"/>
      <c r="N279" s="269"/>
      <c r="O279" s="269"/>
      <c r="P279" s="269"/>
      <c r="Q279" s="269"/>
      <c r="R279" s="269"/>
    </row>
    <row r="280">
      <c r="A280" s="269"/>
      <c r="B280" s="306"/>
      <c r="C280" s="271"/>
      <c r="D280" s="269"/>
      <c r="E280" s="269"/>
      <c r="F280" s="269"/>
      <c r="G280" s="307"/>
      <c r="H280" s="308"/>
      <c r="I280" s="275"/>
      <c r="J280" s="269"/>
      <c r="K280" s="269"/>
      <c r="L280" s="269"/>
      <c r="M280" s="269"/>
      <c r="N280" s="269"/>
      <c r="O280" s="269"/>
      <c r="P280" s="269"/>
      <c r="Q280" s="269"/>
      <c r="R280" s="269"/>
    </row>
    <row r="281">
      <c r="A281" s="269"/>
      <c r="B281" s="306"/>
      <c r="C281" s="271"/>
      <c r="D281" s="269"/>
      <c r="E281" s="269"/>
      <c r="F281" s="269"/>
      <c r="G281" s="307"/>
      <c r="H281" s="308"/>
      <c r="I281" s="275"/>
      <c r="J281" s="269"/>
      <c r="K281" s="269"/>
      <c r="L281" s="269"/>
      <c r="M281" s="269"/>
      <c r="N281" s="269"/>
      <c r="O281" s="269"/>
      <c r="P281" s="269"/>
      <c r="Q281" s="269"/>
      <c r="R281" s="269"/>
    </row>
    <row r="282">
      <c r="A282" s="269"/>
      <c r="B282" s="306"/>
      <c r="C282" s="271"/>
      <c r="D282" s="269"/>
      <c r="E282" s="269"/>
      <c r="F282" s="269"/>
      <c r="G282" s="307"/>
      <c r="H282" s="308"/>
      <c r="I282" s="275"/>
      <c r="J282" s="269"/>
      <c r="K282" s="269"/>
      <c r="L282" s="269"/>
      <c r="M282" s="269"/>
      <c r="N282" s="269"/>
      <c r="O282" s="269"/>
      <c r="P282" s="269"/>
      <c r="Q282" s="269"/>
      <c r="R282" s="269"/>
    </row>
    <row r="283">
      <c r="A283" s="269"/>
      <c r="B283" s="306"/>
      <c r="C283" s="271"/>
      <c r="D283" s="269"/>
      <c r="E283" s="269"/>
      <c r="F283" s="269"/>
      <c r="G283" s="307"/>
      <c r="H283" s="308"/>
      <c r="I283" s="275"/>
      <c r="J283" s="269"/>
      <c r="K283" s="269"/>
      <c r="L283" s="269"/>
      <c r="M283" s="269"/>
      <c r="N283" s="269"/>
      <c r="O283" s="269"/>
      <c r="P283" s="269"/>
      <c r="Q283" s="269"/>
      <c r="R283" s="269"/>
    </row>
    <row r="284">
      <c r="A284" s="269"/>
      <c r="B284" s="306"/>
      <c r="C284" s="271"/>
      <c r="D284" s="269"/>
      <c r="E284" s="269"/>
      <c r="F284" s="269"/>
      <c r="G284" s="307"/>
      <c r="H284" s="308"/>
      <c r="I284" s="275"/>
      <c r="J284" s="269"/>
      <c r="K284" s="269"/>
      <c r="L284" s="269"/>
      <c r="M284" s="269"/>
      <c r="N284" s="269"/>
      <c r="O284" s="269"/>
      <c r="P284" s="269"/>
      <c r="Q284" s="269"/>
      <c r="R284" s="269"/>
    </row>
    <row r="285">
      <c r="A285" s="269"/>
      <c r="B285" s="306"/>
      <c r="C285" s="271"/>
      <c r="D285" s="269"/>
      <c r="E285" s="269"/>
      <c r="F285" s="269"/>
      <c r="G285" s="307"/>
      <c r="H285" s="308"/>
      <c r="I285" s="275"/>
      <c r="J285" s="269"/>
      <c r="K285" s="269"/>
      <c r="L285" s="269"/>
      <c r="M285" s="269"/>
      <c r="N285" s="269"/>
      <c r="O285" s="269"/>
      <c r="P285" s="269"/>
      <c r="Q285" s="269"/>
      <c r="R285" s="269"/>
    </row>
    <row r="286">
      <c r="A286" s="269"/>
      <c r="B286" s="306"/>
      <c r="C286" s="271"/>
      <c r="D286" s="269"/>
      <c r="E286" s="269"/>
      <c r="F286" s="269"/>
      <c r="G286" s="307"/>
      <c r="H286" s="308"/>
      <c r="I286" s="275"/>
      <c r="J286" s="269"/>
      <c r="K286" s="269"/>
      <c r="L286" s="269"/>
      <c r="M286" s="269"/>
      <c r="N286" s="269"/>
      <c r="O286" s="269"/>
      <c r="P286" s="269"/>
      <c r="Q286" s="269"/>
      <c r="R286" s="269"/>
    </row>
    <row r="287">
      <c r="A287" s="269"/>
      <c r="B287" s="306"/>
      <c r="C287" s="271"/>
      <c r="D287" s="269"/>
      <c r="E287" s="269"/>
      <c r="F287" s="269"/>
      <c r="G287" s="307"/>
      <c r="H287" s="308"/>
      <c r="I287" s="275"/>
      <c r="J287" s="269"/>
      <c r="K287" s="269"/>
      <c r="L287" s="269"/>
      <c r="M287" s="269"/>
      <c r="N287" s="269"/>
      <c r="O287" s="269"/>
      <c r="P287" s="269"/>
      <c r="Q287" s="269"/>
      <c r="R287" s="269"/>
    </row>
    <row r="288">
      <c r="A288" s="269"/>
      <c r="B288" s="306"/>
      <c r="C288" s="271"/>
      <c r="D288" s="269"/>
      <c r="E288" s="269"/>
      <c r="F288" s="269"/>
      <c r="G288" s="307"/>
      <c r="H288" s="308"/>
      <c r="I288" s="275"/>
      <c r="J288" s="269"/>
      <c r="K288" s="269"/>
      <c r="L288" s="269"/>
      <c r="M288" s="269"/>
      <c r="N288" s="269"/>
      <c r="O288" s="269"/>
      <c r="P288" s="269"/>
      <c r="Q288" s="269"/>
      <c r="R288" s="269"/>
    </row>
    <row r="289">
      <c r="A289" s="269"/>
      <c r="B289" s="306"/>
      <c r="C289" s="271"/>
      <c r="D289" s="269"/>
      <c r="E289" s="269"/>
      <c r="F289" s="269"/>
      <c r="G289" s="307"/>
      <c r="H289" s="308"/>
      <c r="I289" s="275"/>
      <c r="J289" s="269"/>
      <c r="K289" s="269"/>
      <c r="L289" s="269"/>
      <c r="M289" s="269"/>
      <c r="N289" s="269"/>
      <c r="O289" s="269"/>
      <c r="P289" s="269"/>
      <c r="Q289" s="269"/>
      <c r="R289" s="269"/>
    </row>
    <row r="290">
      <c r="A290" s="269"/>
      <c r="B290" s="306"/>
      <c r="C290" s="271"/>
      <c r="D290" s="269"/>
      <c r="E290" s="269"/>
      <c r="F290" s="269"/>
      <c r="G290" s="307"/>
      <c r="H290" s="308"/>
      <c r="I290" s="275"/>
      <c r="J290" s="269"/>
      <c r="K290" s="269"/>
      <c r="L290" s="269"/>
      <c r="M290" s="269"/>
      <c r="N290" s="269"/>
      <c r="O290" s="269"/>
      <c r="P290" s="269"/>
      <c r="Q290" s="269"/>
      <c r="R290" s="269"/>
    </row>
    <row r="291">
      <c r="A291" s="269"/>
      <c r="B291" s="306"/>
      <c r="C291" s="271"/>
      <c r="D291" s="269"/>
      <c r="E291" s="269"/>
      <c r="F291" s="269"/>
      <c r="G291" s="307"/>
      <c r="H291" s="308"/>
      <c r="I291" s="275"/>
      <c r="J291" s="269"/>
      <c r="K291" s="269"/>
      <c r="L291" s="269"/>
      <c r="M291" s="269"/>
      <c r="N291" s="269"/>
      <c r="O291" s="269"/>
      <c r="P291" s="269"/>
      <c r="Q291" s="269"/>
      <c r="R291" s="269"/>
    </row>
    <row r="292">
      <c r="A292" s="269"/>
      <c r="B292" s="306"/>
      <c r="C292" s="271"/>
      <c r="D292" s="269"/>
      <c r="E292" s="269"/>
      <c r="F292" s="269"/>
      <c r="G292" s="307"/>
      <c r="H292" s="308"/>
      <c r="I292" s="275"/>
      <c r="J292" s="269"/>
      <c r="K292" s="269"/>
      <c r="L292" s="269"/>
      <c r="M292" s="269"/>
      <c r="N292" s="269"/>
      <c r="O292" s="269"/>
      <c r="P292" s="269"/>
      <c r="Q292" s="269"/>
      <c r="R292" s="269"/>
    </row>
    <row r="293">
      <c r="A293" s="269"/>
      <c r="B293" s="306"/>
      <c r="C293" s="271"/>
      <c r="D293" s="269"/>
      <c r="E293" s="269"/>
      <c r="F293" s="269"/>
      <c r="G293" s="307"/>
      <c r="H293" s="308"/>
      <c r="I293" s="275"/>
      <c r="J293" s="269"/>
      <c r="K293" s="269"/>
      <c r="L293" s="269"/>
      <c r="M293" s="269"/>
      <c r="N293" s="269"/>
      <c r="O293" s="269"/>
      <c r="P293" s="269"/>
      <c r="Q293" s="269"/>
      <c r="R293" s="269"/>
    </row>
    <row r="294">
      <c r="A294" s="269"/>
      <c r="B294" s="306"/>
      <c r="C294" s="271"/>
      <c r="D294" s="269"/>
      <c r="E294" s="269"/>
      <c r="F294" s="269"/>
      <c r="G294" s="307"/>
      <c r="H294" s="308"/>
      <c r="I294" s="275"/>
      <c r="J294" s="269"/>
      <c r="K294" s="269"/>
      <c r="L294" s="269"/>
      <c r="M294" s="269"/>
      <c r="N294" s="269"/>
      <c r="O294" s="269"/>
      <c r="P294" s="269"/>
      <c r="Q294" s="269"/>
      <c r="R294" s="269"/>
    </row>
    <row r="295">
      <c r="A295" s="269"/>
      <c r="B295" s="306"/>
      <c r="C295" s="271"/>
      <c r="D295" s="269"/>
      <c r="E295" s="269"/>
      <c r="F295" s="269"/>
      <c r="G295" s="307"/>
      <c r="H295" s="308"/>
      <c r="I295" s="275"/>
      <c r="J295" s="269"/>
      <c r="K295" s="269"/>
      <c r="L295" s="269"/>
      <c r="M295" s="269"/>
      <c r="N295" s="269"/>
      <c r="O295" s="269"/>
      <c r="P295" s="269"/>
      <c r="Q295" s="269"/>
      <c r="R295" s="269"/>
    </row>
    <row r="296">
      <c r="A296" s="269"/>
      <c r="B296" s="306"/>
      <c r="C296" s="271"/>
      <c r="D296" s="269"/>
      <c r="E296" s="269"/>
      <c r="F296" s="269"/>
      <c r="G296" s="307"/>
      <c r="H296" s="308"/>
      <c r="I296" s="275"/>
      <c r="J296" s="269"/>
      <c r="K296" s="269"/>
      <c r="L296" s="269"/>
      <c r="M296" s="269"/>
      <c r="N296" s="269"/>
      <c r="O296" s="269"/>
      <c r="P296" s="269"/>
      <c r="Q296" s="269"/>
      <c r="R296" s="269"/>
    </row>
    <row r="297">
      <c r="A297" s="269"/>
      <c r="B297" s="306"/>
      <c r="C297" s="271"/>
      <c r="D297" s="269"/>
      <c r="E297" s="269"/>
      <c r="F297" s="269"/>
      <c r="G297" s="307"/>
      <c r="H297" s="308"/>
      <c r="I297" s="275"/>
      <c r="J297" s="269"/>
      <c r="K297" s="269"/>
      <c r="L297" s="269"/>
      <c r="M297" s="269"/>
      <c r="N297" s="269"/>
      <c r="O297" s="269"/>
      <c r="P297" s="269"/>
      <c r="Q297" s="269"/>
      <c r="R297" s="269"/>
    </row>
    <row r="298">
      <c r="A298" s="269"/>
      <c r="B298" s="306"/>
      <c r="C298" s="271"/>
      <c r="D298" s="269"/>
      <c r="E298" s="269"/>
      <c r="F298" s="269"/>
      <c r="G298" s="307"/>
      <c r="H298" s="308"/>
      <c r="I298" s="275"/>
      <c r="J298" s="269"/>
      <c r="K298" s="269"/>
      <c r="L298" s="269"/>
      <c r="M298" s="269"/>
      <c r="N298" s="269"/>
      <c r="O298" s="269"/>
      <c r="P298" s="269"/>
      <c r="Q298" s="269"/>
      <c r="R298" s="269"/>
    </row>
    <row r="299">
      <c r="A299" s="269"/>
      <c r="B299" s="306"/>
      <c r="C299" s="271"/>
      <c r="D299" s="269"/>
      <c r="E299" s="269"/>
      <c r="F299" s="269"/>
      <c r="G299" s="307"/>
      <c r="H299" s="308"/>
      <c r="I299" s="275"/>
      <c r="J299" s="269"/>
      <c r="K299" s="269"/>
      <c r="L299" s="269"/>
      <c r="M299" s="269"/>
      <c r="N299" s="269"/>
      <c r="O299" s="269"/>
      <c r="P299" s="269"/>
      <c r="Q299" s="269"/>
      <c r="R299" s="269"/>
    </row>
    <row r="300">
      <c r="A300" s="269"/>
      <c r="B300" s="306"/>
      <c r="C300" s="271"/>
      <c r="D300" s="269"/>
      <c r="E300" s="269"/>
      <c r="F300" s="269"/>
      <c r="G300" s="307"/>
      <c r="H300" s="308"/>
      <c r="I300" s="275"/>
      <c r="J300" s="269"/>
      <c r="K300" s="269"/>
      <c r="L300" s="269"/>
      <c r="M300" s="269"/>
      <c r="N300" s="269"/>
      <c r="O300" s="269"/>
      <c r="P300" s="269"/>
      <c r="Q300" s="269"/>
      <c r="R300" s="269"/>
    </row>
    <row r="301">
      <c r="A301" s="269"/>
      <c r="B301" s="306"/>
      <c r="C301" s="271"/>
      <c r="D301" s="269"/>
      <c r="E301" s="269"/>
      <c r="F301" s="269"/>
      <c r="G301" s="307"/>
      <c r="H301" s="308"/>
      <c r="I301" s="275"/>
      <c r="J301" s="269"/>
      <c r="K301" s="269"/>
      <c r="L301" s="269"/>
      <c r="M301" s="269"/>
      <c r="N301" s="269"/>
      <c r="O301" s="269"/>
      <c r="P301" s="269"/>
      <c r="Q301" s="269"/>
      <c r="R301" s="269"/>
    </row>
    <row r="302">
      <c r="A302" s="269"/>
      <c r="B302" s="306"/>
      <c r="C302" s="271"/>
      <c r="D302" s="269"/>
      <c r="E302" s="269"/>
      <c r="F302" s="269"/>
      <c r="G302" s="307"/>
      <c r="H302" s="308"/>
      <c r="I302" s="275"/>
      <c r="J302" s="269"/>
      <c r="K302" s="269"/>
      <c r="L302" s="269"/>
      <c r="M302" s="269"/>
      <c r="N302" s="269"/>
      <c r="O302" s="269"/>
      <c r="P302" s="269"/>
      <c r="Q302" s="269"/>
      <c r="R302" s="269"/>
    </row>
    <row r="303">
      <c r="A303" s="269"/>
      <c r="B303" s="306"/>
      <c r="C303" s="271"/>
      <c r="D303" s="269"/>
      <c r="E303" s="269"/>
      <c r="F303" s="269"/>
      <c r="G303" s="307"/>
      <c r="H303" s="308"/>
      <c r="I303" s="275"/>
      <c r="J303" s="269"/>
      <c r="K303" s="269"/>
      <c r="L303" s="269"/>
      <c r="M303" s="269"/>
      <c r="N303" s="269"/>
      <c r="O303" s="269"/>
      <c r="P303" s="269"/>
      <c r="Q303" s="269"/>
      <c r="R303" s="269"/>
    </row>
    <row r="304">
      <c r="A304" s="269"/>
      <c r="B304" s="306"/>
      <c r="C304" s="271"/>
      <c r="D304" s="269"/>
      <c r="E304" s="269"/>
      <c r="F304" s="269"/>
      <c r="G304" s="307"/>
      <c r="H304" s="308"/>
      <c r="I304" s="275"/>
      <c r="J304" s="269"/>
      <c r="K304" s="269"/>
      <c r="L304" s="269"/>
      <c r="M304" s="269"/>
      <c r="N304" s="269"/>
      <c r="O304" s="269"/>
      <c r="P304" s="269"/>
      <c r="Q304" s="269"/>
      <c r="R304" s="269"/>
    </row>
    <row r="305">
      <c r="A305" s="269"/>
      <c r="B305" s="306"/>
      <c r="C305" s="271"/>
      <c r="D305" s="269"/>
      <c r="E305" s="269"/>
      <c r="F305" s="269"/>
      <c r="G305" s="307"/>
      <c r="H305" s="308"/>
      <c r="I305" s="275"/>
      <c r="J305" s="269"/>
      <c r="K305" s="269"/>
      <c r="L305" s="269"/>
      <c r="M305" s="269"/>
      <c r="N305" s="269"/>
      <c r="O305" s="269"/>
      <c r="P305" s="269"/>
      <c r="Q305" s="269"/>
      <c r="R305" s="269"/>
    </row>
    <row r="306">
      <c r="A306" s="269"/>
      <c r="B306" s="306"/>
      <c r="C306" s="271"/>
      <c r="D306" s="269"/>
      <c r="E306" s="269"/>
      <c r="F306" s="269"/>
      <c r="G306" s="307"/>
      <c r="H306" s="308"/>
      <c r="I306" s="275"/>
      <c r="J306" s="269"/>
      <c r="K306" s="269"/>
      <c r="L306" s="269"/>
      <c r="M306" s="269"/>
      <c r="N306" s="269"/>
      <c r="O306" s="269"/>
      <c r="P306" s="269"/>
      <c r="Q306" s="269"/>
      <c r="R306" s="269"/>
    </row>
    <row r="307">
      <c r="A307" s="269"/>
      <c r="B307" s="306"/>
      <c r="C307" s="271"/>
      <c r="D307" s="269"/>
      <c r="E307" s="269"/>
      <c r="F307" s="269"/>
      <c r="G307" s="307"/>
      <c r="H307" s="308"/>
      <c r="I307" s="275"/>
      <c r="J307" s="269"/>
      <c r="K307" s="269"/>
      <c r="L307" s="269"/>
      <c r="M307" s="269"/>
      <c r="N307" s="269"/>
      <c r="O307" s="269"/>
      <c r="P307" s="269"/>
      <c r="Q307" s="269"/>
      <c r="R307" s="269"/>
    </row>
    <row r="308">
      <c r="A308" s="269"/>
      <c r="B308" s="306"/>
      <c r="C308" s="271"/>
      <c r="D308" s="269"/>
      <c r="E308" s="269"/>
      <c r="F308" s="269"/>
      <c r="G308" s="307"/>
      <c r="H308" s="308"/>
      <c r="I308" s="275"/>
      <c r="J308" s="269"/>
      <c r="K308" s="269"/>
      <c r="L308" s="269"/>
      <c r="M308" s="269"/>
      <c r="N308" s="269"/>
      <c r="O308" s="269"/>
      <c r="P308" s="269"/>
      <c r="Q308" s="269"/>
      <c r="R308" s="269"/>
    </row>
    <row r="309">
      <c r="A309" s="269"/>
      <c r="B309" s="306"/>
      <c r="C309" s="271"/>
      <c r="D309" s="269"/>
      <c r="E309" s="269"/>
      <c r="F309" s="269"/>
      <c r="G309" s="307"/>
      <c r="H309" s="308"/>
      <c r="I309" s="275"/>
      <c r="J309" s="269"/>
      <c r="K309" s="269"/>
      <c r="L309" s="269"/>
      <c r="M309" s="269"/>
      <c r="N309" s="269"/>
      <c r="O309" s="269"/>
      <c r="P309" s="269"/>
      <c r="Q309" s="269"/>
      <c r="R309" s="269"/>
    </row>
    <row r="310">
      <c r="A310" s="269"/>
      <c r="B310" s="306"/>
      <c r="C310" s="271"/>
      <c r="D310" s="269"/>
      <c r="E310" s="269"/>
      <c r="F310" s="269"/>
      <c r="G310" s="307"/>
      <c r="H310" s="308"/>
      <c r="I310" s="275"/>
      <c r="J310" s="269"/>
      <c r="K310" s="269"/>
      <c r="L310" s="269"/>
      <c r="M310" s="269"/>
      <c r="N310" s="269"/>
      <c r="O310" s="269"/>
      <c r="P310" s="269"/>
      <c r="Q310" s="269"/>
      <c r="R310" s="269"/>
    </row>
    <row r="311">
      <c r="A311" s="269"/>
      <c r="B311" s="306"/>
      <c r="C311" s="271"/>
      <c r="D311" s="269"/>
      <c r="E311" s="269"/>
      <c r="F311" s="269"/>
      <c r="G311" s="307"/>
      <c r="H311" s="308"/>
      <c r="I311" s="275"/>
      <c r="J311" s="269"/>
      <c r="K311" s="269"/>
      <c r="L311" s="269"/>
      <c r="M311" s="269"/>
      <c r="N311" s="269"/>
      <c r="O311" s="269"/>
      <c r="P311" s="269"/>
      <c r="Q311" s="269"/>
      <c r="R311" s="269"/>
    </row>
    <row r="312">
      <c r="A312" s="269"/>
      <c r="B312" s="306"/>
      <c r="C312" s="271"/>
      <c r="D312" s="269"/>
      <c r="E312" s="269"/>
      <c r="F312" s="269"/>
      <c r="G312" s="307"/>
      <c r="H312" s="308"/>
      <c r="I312" s="275"/>
      <c r="J312" s="269"/>
      <c r="K312" s="269"/>
      <c r="L312" s="269"/>
      <c r="M312" s="269"/>
      <c r="N312" s="269"/>
      <c r="O312" s="269"/>
      <c r="P312" s="269"/>
      <c r="Q312" s="269"/>
      <c r="R312" s="269"/>
    </row>
    <row r="313">
      <c r="A313" s="269"/>
      <c r="B313" s="306"/>
      <c r="C313" s="271"/>
      <c r="D313" s="269"/>
      <c r="E313" s="269"/>
      <c r="F313" s="269"/>
      <c r="G313" s="307"/>
      <c r="H313" s="308"/>
      <c r="I313" s="275"/>
      <c r="J313" s="269"/>
      <c r="K313" s="269"/>
      <c r="L313" s="269"/>
      <c r="M313" s="269"/>
      <c r="N313" s="269"/>
      <c r="O313" s="269"/>
      <c r="P313" s="269"/>
      <c r="Q313" s="269"/>
      <c r="R313" s="269"/>
    </row>
    <row r="314">
      <c r="A314" s="269"/>
      <c r="B314" s="306"/>
      <c r="C314" s="271"/>
      <c r="D314" s="269"/>
      <c r="E314" s="269"/>
      <c r="F314" s="269"/>
      <c r="G314" s="307"/>
      <c r="H314" s="308"/>
      <c r="I314" s="275"/>
      <c r="J314" s="269"/>
      <c r="K314" s="269"/>
      <c r="L314" s="269"/>
      <c r="M314" s="269"/>
      <c r="N314" s="269"/>
      <c r="O314" s="269"/>
      <c r="P314" s="269"/>
      <c r="Q314" s="269"/>
      <c r="R314" s="269"/>
    </row>
    <row r="315">
      <c r="A315" s="269"/>
      <c r="B315" s="306"/>
      <c r="C315" s="271"/>
      <c r="D315" s="269"/>
      <c r="E315" s="269"/>
      <c r="F315" s="269"/>
      <c r="G315" s="307"/>
      <c r="H315" s="308"/>
      <c r="I315" s="275"/>
      <c r="J315" s="269"/>
      <c r="K315" s="269"/>
      <c r="L315" s="269"/>
      <c r="M315" s="269"/>
      <c r="N315" s="269"/>
      <c r="O315" s="269"/>
      <c r="P315" s="269"/>
      <c r="Q315" s="269"/>
      <c r="R315" s="269"/>
    </row>
    <row r="316">
      <c r="A316" s="269"/>
      <c r="B316" s="306"/>
      <c r="C316" s="271"/>
      <c r="D316" s="269"/>
      <c r="E316" s="269"/>
      <c r="F316" s="269"/>
      <c r="G316" s="307"/>
      <c r="H316" s="308"/>
      <c r="I316" s="275"/>
      <c r="J316" s="269"/>
      <c r="K316" s="269"/>
      <c r="L316" s="269"/>
      <c r="M316" s="269"/>
      <c r="N316" s="269"/>
      <c r="O316" s="269"/>
      <c r="P316" s="269"/>
      <c r="Q316" s="269"/>
      <c r="R316" s="269"/>
    </row>
    <row r="317">
      <c r="A317" s="269"/>
      <c r="B317" s="306"/>
      <c r="C317" s="271"/>
      <c r="D317" s="269"/>
      <c r="E317" s="269"/>
      <c r="F317" s="269"/>
      <c r="G317" s="307"/>
      <c r="H317" s="308"/>
      <c r="I317" s="275"/>
      <c r="J317" s="269"/>
      <c r="K317" s="269"/>
      <c r="L317" s="269"/>
      <c r="M317" s="269"/>
      <c r="N317" s="269"/>
      <c r="O317" s="269"/>
      <c r="P317" s="269"/>
      <c r="Q317" s="269"/>
      <c r="R317" s="269"/>
    </row>
    <row r="318">
      <c r="A318" s="269"/>
      <c r="B318" s="306"/>
      <c r="C318" s="271"/>
      <c r="D318" s="269"/>
      <c r="E318" s="269"/>
      <c r="F318" s="269"/>
      <c r="G318" s="307"/>
      <c r="H318" s="308"/>
      <c r="I318" s="275"/>
      <c r="J318" s="269"/>
      <c r="K318" s="269"/>
      <c r="L318" s="269"/>
      <c r="M318" s="269"/>
      <c r="N318" s="269"/>
      <c r="O318" s="269"/>
      <c r="P318" s="269"/>
      <c r="Q318" s="269"/>
      <c r="R318" s="269"/>
    </row>
    <row r="319">
      <c r="A319" s="269"/>
      <c r="B319" s="306"/>
      <c r="C319" s="271"/>
      <c r="D319" s="269"/>
      <c r="E319" s="269"/>
      <c r="F319" s="269"/>
      <c r="G319" s="307"/>
      <c r="H319" s="308"/>
      <c r="I319" s="275"/>
      <c r="J319" s="269"/>
      <c r="K319" s="269"/>
      <c r="L319" s="269"/>
      <c r="M319" s="269"/>
      <c r="N319" s="269"/>
      <c r="O319" s="269"/>
      <c r="P319" s="269"/>
      <c r="Q319" s="269"/>
      <c r="R319" s="269"/>
    </row>
    <row r="320">
      <c r="A320" s="269"/>
      <c r="B320" s="306"/>
      <c r="C320" s="271"/>
      <c r="D320" s="269"/>
      <c r="E320" s="269"/>
      <c r="F320" s="269"/>
      <c r="G320" s="307"/>
      <c r="H320" s="308"/>
      <c r="I320" s="275"/>
      <c r="J320" s="269"/>
      <c r="K320" s="269"/>
      <c r="L320" s="269"/>
      <c r="M320" s="269"/>
      <c r="N320" s="269"/>
      <c r="O320" s="269"/>
      <c r="P320" s="269"/>
      <c r="Q320" s="269"/>
      <c r="R320" s="269"/>
    </row>
    <row r="321">
      <c r="A321" s="269"/>
      <c r="B321" s="306"/>
      <c r="C321" s="271"/>
      <c r="D321" s="269"/>
      <c r="E321" s="269"/>
      <c r="F321" s="269"/>
      <c r="G321" s="307"/>
      <c r="H321" s="308"/>
      <c r="I321" s="275"/>
      <c r="J321" s="269"/>
      <c r="K321" s="269"/>
      <c r="L321" s="269"/>
      <c r="M321" s="269"/>
      <c r="N321" s="269"/>
      <c r="O321" s="269"/>
      <c r="P321" s="269"/>
      <c r="Q321" s="269"/>
      <c r="R321" s="269"/>
    </row>
    <row r="322">
      <c r="A322" s="269"/>
      <c r="B322" s="306"/>
      <c r="C322" s="271"/>
      <c r="D322" s="269"/>
      <c r="E322" s="269"/>
      <c r="F322" s="269"/>
      <c r="G322" s="307"/>
      <c r="H322" s="308"/>
      <c r="I322" s="275"/>
      <c r="J322" s="269"/>
      <c r="K322" s="269"/>
      <c r="L322" s="269"/>
      <c r="M322" s="269"/>
      <c r="N322" s="269"/>
      <c r="O322" s="269"/>
      <c r="P322" s="269"/>
      <c r="Q322" s="269"/>
      <c r="R322" s="269"/>
    </row>
    <row r="323">
      <c r="A323" s="269"/>
      <c r="B323" s="306"/>
      <c r="C323" s="271"/>
      <c r="D323" s="269"/>
      <c r="E323" s="269"/>
      <c r="F323" s="269"/>
      <c r="G323" s="307"/>
      <c r="H323" s="308"/>
      <c r="I323" s="275"/>
      <c r="J323" s="269"/>
      <c r="K323" s="269"/>
      <c r="L323" s="269"/>
      <c r="M323" s="269"/>
      <c r="N323" s="269"/>
      <c r="O323" s="269"/>
      <c r="P323" s="269"/>
      <c r="Q323" s="269"/>
      <c r="R323" s="269"/>
    </row>
    <row r="324">
      <c r="A324" s="269"/>
      <c r="B324" s="306"/>
      <c r="C324" s="271"/>
      <c r="D324" s="269"/>
      <c r="E324" s="269"/>
      <c r="F324" s="269"/>
      <c r="G324" s="307"/>
      <c r="H324" s="308"/>
      <c r="I324" s="275"/>
      <c r="J324" s="269"/>
      <c r="K324" s="269"/>
      <c r="L324" s="269"/>
      <c r="M324" s="269"/>
      <c r="N324" s="269"/>
      <c r="O324" s="269"/>
      <c r="P324" s="269"/>
      <c r="Q324" s="269"/>
      <c r="R324" s="269"/>
    </row>
    <row r="325">
      <c r="A325" s="269"/>
      <c r="B325" s="306"/>
      <c r="C325" s="271"/>
      <c r="D325" s="269"/>
      <c r="E325" s="269"/>
      <c r="F325" s="269"/>
      <c r="G325" s="307"/>
      <c r="H325" s="308"/>
      <c r="I325" s="275"/>
      <c r="J325" s="269"/>
      <c r="K325" s="269"/>
      <c r="L325" s="269"/>
      <c r="M325" s="269"/>
      <c r="N325" s="269"/>
      <c r="O325" s="269"/>
      <c r="P325" s="269"/>
      <c r="Q325" s="269"/>
      <c r="R325" s="269"/>
    </row>
    <row r="326">
      <c r="A326" s="269"/>
      <c r="B326" s="306"/>
      <c r="C326" s="271"/>
      <c r="D326" s="269"/>
      <c r="E326" s="269"/>
      <c r="F326" s="269"/>
      <c r="G326" s="307"/>
      <c r="H326" s="308"/>
      <c r="I326" s="275"/>
      <c r="J326" s="269"/>
      <c r="K326" s="269"/>
      <c r="L326" s="269"/>
      <c r="M326" s="269"/>
      <c r="N326" s="269"/>
      <c r="O326" s="269"/>
      <c r="P326" s="269"/>
      <c r="Q326" s="269"/>
      <c r="R326" s="269"/>
    </row>
    <row r="327">
      <c r="A327" s="269"/>
      <c r="B327" s="306"/>
      <c r="C327" s="271"/>
      <c r="D327" s="269"/>
      <c r="E327" s="269"/>
      <c r="F327" s="269"/>
      <c r="G327" s="307"/>
      <c r="H327" s="308"/>
      <c r="I327" s="275"/>
      <c r="J327" s="269"/>
      <c r="K327" s="269"/>
      <c r="L327" s="269"/>
      <c r="M327" s="269"/>
      <c r="N327" s="269"/>
      <c r="O327" s="269"/>
      <c r="P327" s="269"/>
      <c r="Q327" s="269"/>
      <c r="R327" s="269"/>
    </row>
    <row r="328">
      <c r="A328" s="269"/>
      <c r="B328" s="306"/>
      <c r="C328" s="271"/>
      <c r="D328" s="269"/>
      <c r="E328" s="269"/>
      <c r="F328" s="269"/>
      <c r="G328" s="307"/>
      <c r="H328" s="308"/>
      <c r="I328" s="275"/>
      <c r="J328" s="269"/>
      <c r="K328" s="269"/>
      <c r="L328" s="269"/>
      <c r="M328" s="269"/>
      <c r="N328" s="269"/>
      <c r="O328" s="269"/>
      <c r="P328" s="269"/>
      <c r="Q328" s="269"/>
      <c r="R328" s="269"/>
    </row>
    <row r="329">
      <c r="A329" s="269"/>
      <c r="B329" s="306"/>
      <c r="C329" s="271"/>
      <c r="D329" s="269"/>
      <c r="E329" s="269"/>
      <c r="F329" s="269"/>
      <c r="G329" s="307"/>
      <c r="H329" s="308"/>
      <c r="I329" s="275"/>
      <c r="J329" s="269"/>
      <c r="K329" s="269"/>
      <c r="L329" s="269"/>
      <c r="M329" s="269"/>
      <c r="N329" s="269"/>
      <c r="O329" s="269"/>
      <c r="P329" s="269"/>
      <c r="Q329" s="269"/>
      <c r="R329" s="269"/>
    </row>
    <row r="330">
      <c r="A330" s="269"/>
      <c r="B330" s="306"/>
      <c r="C330" s="271"/>
      <c r="D330" s="269"/>
      <c r="E330" s="269"/>
      <c r="F330" s="269"/>
      <c r="G330" s="307"/>
      <c r="H330" s="308"/>
      <c r="I330" s="275"/>
      <c r="J330" s="269"/>
      <c r="K330" s="269"/>
      <c r="L330" s="269"/>
      <c r="M330" s="269"/>
      <c r="N330" s="269"/>
      <c r="O330" s="269"/>
      <c r="P330" s="269"/>
      <c r="Q330" s="269"/>
      <c r="R330" s="269"/>
    </row>
    <row r="331">
      <c r="A331" s="269"/>
      <c r="B331" s="306"/>
      <c r="C331" s="271"/>
      <c r="D331" s="269"/>
      <c r="E331" s="269"/>
      <c r="F331" s="269"/>
      <c r="G331" s="307"/>
      <c r="H331" s="308"/>
      <c r="I331" s="275"/>
      <c r="J331" s="269"/>
      <c r="K331" s="269"/>
      <c r="L331" s="269"/>
      <c r="M331" s="269"/>
      <c r="N331" s="269"/>
      <c r="O331" s="269"/>
      <c r="P331" s="269"/>
      <c r="Q331" s="269"/>
      <c r="R331" s="269"/>
    </row>
    <row r="332">
      <c r="A332" s="269"/>
      <c r="B332" s="306"/>
      <c r="C332" s="271"/>
      <c r="D332" s="269"/>
      <c r="E332" s="269"/>
      <c r="F332" s="269"/>
      <c r="G332" s="307"/>
      <c r="H332" s="308"/>
      <c r="I332" s="275"/>
      <c r="J332" s="269"/>
      <c r="K332" s="269"/>
      <c r="L332" s="269"/>
      <c r="M332" s="269"/>
      <c r="N332" s="269"/>
      <c r="O332" s="269"/>
      <c r="P332" s="269"/>
      <c r="Q332" s="269"/>
      <c r="R332" s="269"/>
    </row>
    <row r="333">
      <c r="A333" s="269"/>
      <c r="B333" s="306"/>
      <c r="C333" s="271"/>
      <c r="D333" s="269"/>
      <c r="E333" s="269"/>
      <c r="F333" s="269"/>
      <c r="G333" s="307"/>
      <c r="H333" s="308"/>
      <c r="I333" s="275"/>
      <c r="J333" s="269"/>
      <c r="K333" s="269"/>
      <c r="L333" s="269"/>
      <c r="M333" s="269"/>
      <c r="N333" s="269"/>
      <c r="O333" s="269"/>
      <c r="P333" s="269"/>
      <c r="Q333" s="269"/>
      <c r="R333" s="269"/>
    </row>
    <row r="334">
      <c r="A334" s="269"/>
      <c r="B334" s="306"/>
      <c r="C334" s="271"/>
      <c r="D334" s="269"/>
      <c r="E334" s="269"/>
      <c r="F334" s="269"/>
      <c r="G334" s="307"/>
      <c r="H334" s="308"/>
      <c r="I334" s="275"/>
      <c r="J334" s="269"/>
      <c r="K334" s="269"/>
      <c r="L334" s="269"/>
      <c r="M334" s="269"/>
      <c r="N334" s="269"/>
      <c r="O334" s="269"/>
      <c r="P334" s="269"/>
      <c r="Q334" s="269"/>
      <c r="R334" s="269"/>
    </row>
    <row r="335">
      <c r="A335" s="269"/>
      <c r="B335" s="306"/>
      <c r="C335" s="271"/>
      <c r="D335" s="269"/>
      <c r="E335" s="269"/>
      <c r="F335" s="269"/>
      <c r="G335" s="307"/>
      <c r="H335" s="308"/>
      <c r="I335" s="275"/>
      <c r="J335" s="269"/>
      <c r="K335" s="269"/>
      <c r="L335" s="269"/>
      <c r="M335" s="269"/>
      <c r="N335" s="269"/>
      <c r="O335" s="269"/>
      <c r="P335" s="269"/>
      <c r="Q335" s="269"/>
      <c r="R335" s="269"/>
    </row>
    <row r="336">
      <c r="A336" s="269"/>
      <c r="B336" s="306"/>
      <c r="C336" s="271"/>
      <c r="D336" s="269"/>
      <c r="E336" s="269"/>
      <c r="F336" s="269"/>
      <c r="G336" s="307"/>
      <c r="H336" s="308"/>
      <c r="I336" s="275"/>
      <c r="J336" s="269"/>
      <c r="K336" s="269"/>
      <c r="L336" s="269"/>
      <c r="M336" s="269"/>
      <c r="N336" s="269"/>
      <c r="O336" s="269"/>
      <c r="P336" s="269"/>
      <c r="Q336" s="269"/>
      <c r="R336" s="269"/>
    </row>
    <row r="337">
      <c r="A337" s="269"/>
      <c r="B337" s="306"/>
      <c r="C337" s="271"/>
      <c r="D337" s="269"/>
      <c r="E337" s="269"/>
      <c r="F337" s="269"/>
      <c r="G337" s="307"/>
      <c r="H337" s="308"/>
      <c r="I337" s="275"/>
      <c r="J337" s="269"/>
      <c r="K337" s="269"/>
      <c r="L337" s="269"/>
      <c r="M337" s="269"/>
      <c r="N337" s="269"/>
      <c r="O337" s="269"/>
      <c r="P337" s="269"/>
      <c r="Q337" s="269"/>
      <c r="R337" s="269"/>
    </row>
    <row r="338">
      <c r="A338" s="269"/>
      <c r="B338" s="306"/>
      <c r="C338" s="271"/>
      <c r="D338" s="269"/>
      <c r="E338" s="269"/>
      <c r="F338" s="269"/>
      <c r="G338" s="307"/>
      <c r="H338" s="308"/>
      <c r="I338" s="275"/>
      <c r="J338" s="269"/>
      <c r="K338" s="269"/>
      <c r="L338" s="269"/>
      <c r="M338" s="269"/>
      <c r="N338" s="269"/>
      <c r="O338" s="269"/>
      <c r="P338" s="269"/>
      <c r="Q338" s="269"/>
      <c r="R338" s="269"/>
    </row>
    <row r="339">
      <c r="A339" s="269"/>
      <c r="B339" s="306"/>
      <c r="C339" s="271"/>
      <c r="D339" s="269"/>
      <c r="E339" s="269"/>
      <c r="F339" s="269"/>
      <c r="G339" s="307"/>
      <c r="H339" s="308"/>
      <c r="I339" s="275"/>
      <c r="J339" s="269"/>
      <c r="K339" s="269"/>
      <c r="L339" s="269"/>
      <c r="M339" s="269"/>
      <c r="N339" s="269"/>
      <c r="O339" s="269"/>
      <c r="P339" s="269"/>
      <c r="Q339" s="269"/>
      <c r="R339" s="269"/>
    </row>
    <row r="340">
      <c r="A340" s="269"/>
      <c r="B340" s="306"/>
      <c r="C340" s="271"/>
      <c r="D340" s="269"/>
      <c r="E340" s="269"/>
      <c r="F340" s="269"/>
      <c r="G340" s="307"/>
      <c r="H340" s="308"/>
      <c r="I340" s="275"/>
      <c r="J340" s="269"/>
      <c r="K340" s="269"/>
      <c r="L340" s="269"/>
      <c r="M340" s="269"/>
      <c r="N340" s="269"/>
      <c r="O340" s="269"/>
      <c r="P340" s="269"/>
      <c r="Q340" s="269"/>
      <c r="R340" s="269"/>
    </row>
    <row r="341">
      <c r="A341" s="269"/>
      <c r="B341" s="306"/>
      <c r="C341" s="271"/>
      <c r="D341" s="269"/>
      <c r="E341" s="269"/>
      <c r="F341" s="269"/>
      <c r="G341" s="307"/>
      <c r="H341" s="308"/>
      <c r="I341" s="275"/>
      <c r="J341" s="269"/>
      <c r="K341" s="269"/>
      <c r="L341" s="269"/>
      <c r="M341" s="269"/>
      <c r="N341" s="269"/>
      <c r="O341" s="269"/>
      <c r="P341" s="269"/>
      <c r="Q341" s="269"/>
      <c r="R341" s="269"/>
    </row>
    <row r="342">
      <c r="A342" s="269"/>
      <c r="B342" s="306"/>
      <c r="C342" s="271"/>
      <c r="D342" s="269"/>
      <c r="E342" s="269"/>
      <c r="F342" s="269"/>
      <c r="G342" s="307"/>
      <c r="H342" s="308"/>
      <c r="I342" s="275"/>
      <c r="J342" s="269"/>
      <c r="K342" s="269"/>
      <c r="L342" s="269"/>
      <c r="M342" s="269"/>
      <c r="N342" s="269"/>
      <c r="O342" s="269"/>
      <c r="P342" s="269"/>
      <c r="Q342" s="269"/>
      <c r="R342" s="269"/>
    </row>
    <row r="343">
      <c r="A343" s="269"/>
      <c r="B343" s="306"/>
      <c r="C343" s="271"/>
      <c r="D343" s="269"/>
      <c r="E343" s="269"/>
      <c r="F343" s="269"/>
      <c r="G343" s="307"/>
      <c r="H343" s="308"/>
      <c r="I343" s="275"/>
      <c r="J343" s="269"/>
      <c r="K343" s="269"/>
      <c r="L343" s="269"/>
      <c r="M343" s="269"/>
      <c r="N343" s="269"/>
      <c r="O343" s="269"/>
      <c r="P343" s="269"/>
      <c r="Q343" s="269"/>
      <c r="R343" s="269"/>
    </row>
    <row r="344">
      <c r="A344" s="269"/>
      <c r="B344" s="306"/>
      <c r="C344" s="271"/>
      <c r="D344" s="269"/>
      <c r="E344" s="269"/>
      <c r="F344" s="269"/>
      <c r="G344" s="307"/>
      <c r="H344" s="308"/>
      <c r="I344" s="275"/>
      <c r="J344" s="269"/>
      <c r="K344" s="269"/>
      <c r="L344" s="269"/>
      <c r="M344" s="269"/>
      <c r="N344" s="269"/>
      <c r="O344" s="269"/>
      <c r="P344" s="269"/>
      <c r="Q344" s="269"/>
      <c r="R344" s="269"/>
    </row>
    <row r="345">
      <c r="A345" s="269"/>
      <c r="B345" s="306"/>
      <c r="C345" s="271"/>
      <c r="D345" s="269"/>
      <c r="E345" s="269"/>
      <c r="F345" s="269"/>
      <c r="G345" s="307"/>
      <c r="H345" s="308"/>
      <c r="I345" s="275"/>
      <c r="J345" s="269"/>
      <c r="K345" s="269"/>
      <c r="L345" s="269"/>
      <c r="M345" s="269"/>
      <c r="N345" s="269"/>
      <c r="O345" s="269"/>
      <c r="P345" s="269"/>
      <c r="Q345" s="269"/>
      <c r="R345" s="269"/>
    </row>
    <row r="346">
      <c r="A346" s="269"/>
      <c r="B346" s="306"/>
      <c r="C346" s="271"/>
      <c r="D346" s="269"/>
      <c r="E346" s="269"/>
      <c r="F346" s="269"/>
      <c r="G346" s="307"/>
      <c r="H346" s="308"/>
      <c r="I346" s="275"/>
      <c r="J346" s="269"/>
      <c r="K346" s="269"/>
      <c r="L346" s="269"/>
      <c r="M346" s="269"/>
      <c r="N346" s="269"/>
      <c r="O346" s="269"/>
      <c r="P346" s="269"/>
      <c r="Q346" s="269"/>
      <c r="R346" s="269"/>
    </row>
    <row r="347">
      <c r="A347" s="269"/>
      <c r="B347" s="306"/>
      <c r="C347" s="271"/>
      <c r="D347" s="269"/>
      <c r="E347" s="269"/>
      <c r="F347" s="269"/>
      <c r="G347" s="307"/>
      <c r="H347" s="308"/>
      <c r="I347" s="275"/>
      <c r="J347" s="269"/>
      <c r="K347" s="269"/>
      <c r="L347" s="269"/>
      <c r="M347" s="269"/>
      <c r="N347" s="269"/>
      <c r="O347" s="269"/>
      <c r="P347" s="269"/>
      <c r="Q347" s="269"/>
      <c r="R347" s="269"/>
    </row>
    <row r="348">
      <c r="A348" s="269"/>
      <c r="B348" s="306"/>
      <c r="C348" s="271"/>
      <c r="D348" s="269"/>
      <c r="E348" s="269"/>
      <c r="F348" s="269"/>
      <c r="G348" s="307"/>
      <c r="H348" s="308"/>
      <c r="I348" s="275"/>
      <c r="J348" s="269"/>
      <c r="K348" s="269"/>
      <c r="L348" s="269"/>
      <c r="M348" s="269"/>
      <c r="N348" s="269"/>
      <c r="O348" s="269"/>
      <c r="P348" s="269"/>
      <c r="Q348" s="269"/>
      <c r="R348" s="269"/>
    </row>
    <row r="349">
      <c r="A349" s="269"/>
      <c r="B349" s="306"/>
      <c r="C349" s="271"/>
      <c r="D349" s="269"/>
      <c r="E349" s="269"/>
      <c r="F349" s="269"/>
      <c r="G349" s="307"/>
      <c r="H349" s="308"/>
      <c r="I349" s="275"/>
      <c r="J349" s="269"/>
      <c r="K349" s="269"/>
      <c r="L349" s="269"/>
      <c r="M349" s="269"/>
      <c r="N349" s="269"/>
      <c r="O349" s="269"/>
      <c r="P349" s="269"/>
      <c r="Q349" s="269"/>
      <c r="R349" s="269"/>
    </row>
    <row r="350">
      <c r="A350" s="269"/>
      <c r="B350" s="306"/>
      <c r="C350" s="271"/>
      <c r="D350" s="269"/>
      <c r="E350" s="269"/>
      <c r="F350" s="269"/>
      <c r="G350" s="307"/>
      <c r="H350" s="308"/>
      <c r="I350" s="275"/>
      <c r="J350" s="269"/>
      <c r="K350" s="269"/>
      <c r="L350" s="269"/>
      <c r="M350" s="269"/>
      <c r="N350" s="269"/>
      <c r="O350" s="269"/>
      <c r="P350" s="269"/>
      <c r="Q350" s="269"/>
      <c r="R350" s="269"/>
    </row>
    <row r="351">
      <c r="A351" s="269"/>
      <c r="B351" s="306"/>
      <c r="C351" s="271"/>
      <c r="D351" s="269"/>
      <c r="E351" s="269"/>
      <c r="F351" s="269"/>
      <c r="G351" s="307"/>
      <c r="H351" s="308"/>
      <c r="I351" s="275"/>
      <c r="J351" s="269"/>
      <c r="K351" s="269"/>
      <c r="L351" s="269"/>
      <c r="M351" s="269"/>
      <c r="N351" s="269"/>
      <c r="O351" s="269"/>
      <c r="P351" s="269"/>
      <c r="Q351" s="269"/>
      <c r="R351" s="269"/>
    </row>
    <row r="352">
      <c r="A352" s="269"/>
      <c r="B352" s="306"/>
      <c r="C352" s="271"/>
      <c r="D352" s="269"/>
      <c r="E352" s="269"/>
      <c r="F352" s="269"/>
      <c r="G352" s="307"/>
      <c r="H352" s="308"/>
      <c r="I352" s="275"/>
      <c r="J352" s="269"/>
      <c r="K352" s="269"/>
      <c r="L352" s="269"/>
      <c r="M352" s="269"/>
      <c r="N352" s="269"/>
      <c r="O352" s="269"/>
      <c r="P352" s="269"/>
      <c r="Q352" s="269"/>
      <c r="R352" s="269"/>
    </row>
    <row r="353">
      <c r="A353" s="269"/>
      <c r="B353" s="306"/>
      <c r="C353" s="271"/>
      <c r="D353" s="269"/>
      <c r="E353" s="269"/>
      <c r="F353" s="269"/>
      <c r="G353" s="307"/>
      <c r="H353" s="308"/>
      <c r="I353" s="275"/>
      <c r="J353" s="269"/>
      <c r="K353" s="269"/>
      <c r="L353" s="269"/>
      <c r="M353" s="269"/>
      <c r="N353" s="269"/>
      <c r="O353" s="269"/>
      <c r="P353" s="269"/>
      <c r="Q353" s="269"/>
      <c r="R353" s="269"/>
    </row>
    <row r="354">
      <c r="A354" s="269"/>
      <c r="B354" s="306"/>
      <c r="C354" s="271"/>
      <c r="D354" s="269"/>
      <c r="E354" s="269"/>
      <c r="F354" s="269"/>
      <c r="G354" s="307"/>
      <c r="H354" s="308"/>
      <c r="I354" s="275"/>
      <c r="J354" s="269"/>
      <c r="K354" s="269"/>
      <c r="L354" s="269"/>
      <c r="M354" s="269"/>
      <c r="N354" s="269"/>
      <c r="O354" s="269"/>
      <c r="P354" s="269"/>
      <c r="Q354" s="269"/>
      <c r="R354" s="269"/>
    </row>
    <row r="355">
      <c r="A355" s="269"/>
      <c r="B355" s="306"/>
      <c r="C355" s="271"/>
      <c r="D355" s="269"/>
      <c r="E355" s="269"/>
      <c r="F355" s="269"/>
      <c r="G355" s="307"/>
      <c r="H355" s="308"/>
      <c r="I355" s="275"/>
      <c r="J355" s="269"/>
      <c r="K355" s="269"/>
      <c r="L355" s="269"/>
      <c r="M355" s="269"/>
      <c r="N355" s="269"/>
      <c r="O355" s="269"/>
      <c r="P355" s="269"/>
      <c r="Q355" s="269"/>
      <c r="R355" s="269"/>
    </row>
    <row r="356">
      <c r="A356" s="269"/>
      <c r="B356" s="306"/>
      <c r="C356" s="271"/>
      <c r="D356" s="269"/>
      <c r="E356" s="269"/>
      <c r="F356" s="269"/>
      <c r="G356" s="307"/>
      <c r="H356" s="308"/>
      <c r="I356" s="275"/>
      <c r="J356" s="269"/>
      <c r="K356" s="269"/>
      <c r="L356" s="269"/>
      <c r="M356" s="269"/>
      <c r="N356" s="269"/>
      <c r="O356" s="269"/>
      <c r="P356" s="269"/>
      <c r="Q356" s="269"/>
      <c r="R356" s="269"/>
    </row>
    <row r="357">
      <c r="A357" s="269"/>
      <c r="B357" s="306"/>
      <c r="C357" s="271"/>
      <c r="D357" s="269"/>
      <c r="E357" s="269"/>
      <c r="F357" s="269"/>
      <c r="G357" s="307"/>
      <c r="H357" s="308"/>
      <c r="I357" s="275"/>
      <c r="J357" s="269"/>
      <c r="K357" s="269"/>
      <c r="L357" s="269"/>
      <c r="M357" s="269"/>
      <c r="N357" s="269"/>
      <c r="O357" s="269"/>
      <c r="P357" s="269"/>
      <c r="Q357" s="269"/>
      <c r="R357" s="269"/>
    </row>
    <row r="358">
      <c r="A358" s="269"/>
      <c r="B358" s="306"/>
      <c r="C358" s="271"/>
      <c r="D358" s="269"/>
      <c r="E358" s="269"/>
      <c r="F358" s="269"/>
      <c r="G358" s="307"/>
      <c r="H358" s="308"/>
      <c r="I358" s="275"/>
      <c r="J358" s="269"/>
      <c r="K358" s="269"/>
      <c r="L358" s="269"/>
      <c r="M358" s="269"/>
      <c r="N358" s="269"/>
      <c r="O358" s="269"/>
      <c r="P358" s="269"/>
      <c r="Q358" s="269"/>
      <c r="R358" s="269"/>
    </row>
    <row r="359">
      <c r="A359" s="269"/>
      <c r="B359" s="306"/>
      <c r="C359" s="271"/>
      <c r="D359" s="269"/>
      <c r="E359" s="269"/>
      <c r="F359" s="269"/>
      <c r="G359" s="307"/>
      <c r="H359" s="308"/>
      <c r="I359" s="275"/>
      <c r="J359" s="269"/>
      <c r="K359" s="269"/>
      <c r="L359" s="269"/>
      <c r="M359" s="269"/>
      <c r="N359" s="269"/>
      <c r="O359" s="269"/>
      <c r="P359" s="269"/>
      <c r="Q359" s="269"/>
      <c r="R359" s="269"/>
    </row>
    <row r="360">
      <c r="A360" s="269"/>
      <c r="B360" s="306"/>
      <c r="C360" s="271"/>
      <c r="D360" s="269"/>
      <c r="E360" s="269"/>
      <c r="F360" s="269"/>
      <c r="G360" s="307"/>
      <c r="H360" s="308"/>
      <c r="I360" s="275"/>
      <c r="J360" s="269"/>
      <c r="K360" s="269"/>
      <c r="L360" s="269"/>
      <c r="M360" s="269"/>
      <c r="N360" s="269"/>
      <c r="O360" s="269"/>
      <c r="P360" s="269"/>
      <c r="Q360" s="269"/>
      <c r="R360" s="269"/>
    </row>
    <row r="361">
      <c r="A361" s="269"/>
      <c r="B361" s="306"/>
      <c r="C361" s="271"/>
      <c r="D361" s="269"/>
      <c r="E361" s="269"/>
      <c r="F361" s="269"/>
      <c r="G361" s="307"/>
      <c r="H361" s="308"/>
      <c r="I361" s="275"/>
      <c r="J361" s="269"/>
      <c r="K361" s="269"/>
      <c r="L361" s="269"/>
      <c r="M361" s="269"/>
      <c r="N361" s="269"/>
      <c r="O361" s="269"/>
      <c r="P361" s="269"/>
      <c r="Q361" s="269"/>
      <c r="R361" s="269"/>
    </row>
    <row r="362">
      <c r="A362" s="269"/>
      <c r="B362" s="306"/>
      <c r="C362" s="271"/>
      <c r="D362" s="269"/>
      <c r="E362" s="269"/>
      <c r="F362" s="269"/>
      <c r="G362" s="307"/>
      <c r="H362" s="308"/>
      <c r="I362" s="275"/>
      <c r="J362" s="269"/>
      <c r="K362" s="269"/>
      <c r="L362" s="269"/>
      <c r="M362" s="269"/>
      <c r="N362" s="269"/>
      <c r="O362" s="269"/>
      <c r="P362" s="269"/>
      <c r="Q362" s="269"/>
      <c r="R362" s="269"/>
    </row>
    <row r="363">
      <c r="A363" s="269"/>
      <c r="B363" s="306"/>
      <c r="C363" s="271"/>
      <c r="D363" s="269"/>
      <c r="E363" s="269"/>
      <c r="F363" s="269"/>
      <c r="G363" s="307"/>
      <c r="H363" s="308"/>
      <c r="I363" s="275"/>
      <c r="J363" s="269"/>
      <c r="K363" s="269"/>
      <c r="L363" s="269"/>
      <c r="M363" s="269"/>
      <c r="N363" s="269"/>
      <c r="O363" s="269"/>
      <c r="P363" s="269"/>
      <c r="Q363" s="269"/>
      <c r="R363" s="269"/>
    </row>
    <row r="364">
      <c r="A364" s="269"/>
      <c r="B364" s="306"/>
      <c r="C364" s="271"/>
      <c r="D364" s="269"/>
      <c r="E364" s="269"/>
      <c r="F364" s="269"/>
      <c r="G364" s="307"/>
      <c r="H364" s="308"/>
      <c r="I364" s="275"/>
      <c r="J364" s="269"/>
      <c r="K364" s="269"/>
      <c r="L364" s="269"/>
      <c r="M364" s="269"/>
      <c r="N364" s="269"/>
      <c r="O364" s="269"/>
      <c r="P364" s="269"/>
      <c r="Q364" s="269"/>
      <c r="R364" s="269"/>
    </row>
    <row r="365">
      <c r="A365" s="269"/>
      <c r="B365" s="306"/>
      <c r="C365" s="271"/>
      <c r="D365" s="269"/>
      <c r="E365" s="269"/>
      <c r="F365" s="269"/>
      <c r="G365" s="307"/>
      <c r="H365" s="308"/>
      <c r="I365" s="275"/>
      <c r="J365" s="269"/>
      <c r="K365" s="269"/>
      <c r="L365" s="269"/>
      <c r="M365" s="269"/>
      <c r="N365" s="269"/>
      <c r="O365" s="269"/>
      <c r="P365" s="269"/>
      <c r="Q365" s="269"/>
      <c r="R365" s="269"/>
    </row>
    <row r="366">
      <c r="A366" s="269"/>
      <c r="B366" s="306"/>
      <c r="C366" s="271"/>
      <c r="D366" s="269"/>
      <c r="E366" s="269"/>
      <c r="F366" s="269"/>
      <c r="G366" s="307"/>
      <c r="H366" s="308"/>
      <c r="I366" s="275"/>
      <c r="J366" s="269"/>
      <c r="K366" s="269"/>
      <c r="L366" s="269"/>
      <c r="M366" s="269"/>
      <c r="N366" s="269"/>
      <c r="O366" s="269"/>
      <c r="P366" s="269"/>
      <c r="Q366" s="269"/>
      <c r="R366" s="269"/>
    </row>
    <row r="367">
      <c r="A367" s="269"/>
      <c r="B367" s="306"/>
      <c r="C367" s="271"/>
      <c r="D367" s="269"/>
      <c r="E367" s="269"/>
      <c r="F367" s="269"/>
      <c r="G367" s="307"/>
      <c r="H367" s="308"/>
      <c r="I367" s="275"/>
      <c r="J367" s="269"/>
      <c r="K367" s="269"/>
      <c r="L367" s="269"/>
      <c r="M367" s="269"/>
      <c r="N367" s="269"/>
      <c r="O367" s="269"/>
      <c r="P367" s="269"/>
      <c r="Q367" s="269"/>
      <c r="R367" s="269"/>
    </row>
    <row r="368">
      <c r="A368" s="269"/>
      <c r="B368" s="306"/>
      <c r="C368" s="271"/>
      <c r="D368" s="269"/>
      <c r="E368" s="269"/>
      <c r="F368" s="269"/>
      <c r="G368" s="307"/>
      <c r="H368" s="308"/>
      <c r="I368" s="275"/>
      <c r="J368" s="269"/>
      <c r="K368" s="269"/>
      <c r="L368" s="269"/>
      <c r="M368" s="269"/>
      <c r="N368" s="269"/>
      <c r="O368" s="269"/>
      <c r="P368" s="269"/>
      <c r="Q368" s="269"/>
      <c r="R368" s="269"/>
    </row>
    <row r="369">
      <c r="A369" s="269"/>
      <c r="B369" s="306"/>
      <c r="C369" s="271"/>
      <c r="D369" s="269"/>
      <c r="E369" s="269"/>
      <c r="F369" s="269"/>
      <c r="G369" s="307"/>
      <c r="H369" s="308"/>
      <c r="I369" s="275"/>
      <c r="J369" s="269"/>
      <c r="K369" s="269"/>
      <c r="L369" s="269"/>
      <c r="M369" s="269"/>
      <c r="N369" s="269"/>
      <c r="O369" s="269"/>
      <c r="P369" s="269"/>
      <c r="Q369" s="269"/>
      <c r="R369" s="269"/>
    </row>
    <row r="370">
      <c r="A370" s="269"/>
      <c r="B370" s="306"/>
      <c r="C370" s="271"/>
      <c r="D370" s="269"/>
      <c r="E370" s="269"/>
      <c r="F370" s="269"/>
      <c r="G370" s="307"/>
      <c r="H370" s="308"/>
      <c r="I370" s="275"/>
      <c r="J370" s="269"/>
      <c r="K370" s="269"/>
      <c r="L370" s="269"/>
      <c r="M370" s="269"/>
      <c r="N370" s="269"/>
      <c r="O370" s="269"/>
      <c r="P370" s="269"/>
      <c r="Q370" s="269"/>
      <c r="R370" s="269"/>
    </row>
    <row r="371">
      <c r="A371" s="269"/>
      <c r="B371" s="306"/>
      <c r="C371" s="271"/>
      <c r="D371" s="269"/>
      <c r="E371" s="269"/>
      <c r="F371" s="269"/>
      <c r="G371" s="307"/>
      <c r="H371" s="308"/>
      <c r="I371" s="275"/>
      <c r="J371" s="269"/>
      <c r="K371" s="269"/>
      <c r="L371" s="269"/>
      <c r="M371" s="269"/>
      <c r="N371" s="269"/>
      <c r="O371" s="269"/>
      <c r="P371" s="269"/>
      <c r="Q371" s="269"/>
      <c r="R371" s="269"/>
    </row>
    <row r="372">
      <c r="A372" s="269"/>
      <c r="B372" s="306"/>
      <c r="C372" s="271"/>
      <c r="D372" s="269"/>
      <c r="E372" s="269"/>
      <c r="F372" s="269"/>
      <c r="G372" s="307"/>
      <c r="H372" s="308"/>
      <c r="I372" s="275"/>
      <c r="J372" s="269"/>
      <c r="K372" s="269"/>
      <c r="L372" s="269"/>
      <c r="M372" s="269"/>
      <c r="N372" s="269"/>
      <c r="O372" s="269"/>
      <c r="P372" s="269"/>
      <c r="Q372" s="269"/>
      <c r="R372" s="269"/>
    </row>
    <row r="373">
      <c r="A373" s="269"/>
      <c r="B373" s="306"/>
      <c r="C373" s="271"/>
      <c r="D373" s="269"/>
      <c r="E373" s="269"/>
      <c r="F373" s="269"/>
      <c r="G373" s="307"/>
      <c r="H373" s="308"/>
      <c r="I373" s="275"/>
      <c r="J373" s="269"/>
      <c r="K373" s="269"/>
      <c r="L373" s="269"/>
      <c r="M373" s="269"/>
      <c r="N373" s="269"/>
      <c r="O373" s="269"/>
      <c r="P373" s="269"/>
      <c r="Q373" s="269"/>
      <c r="R373" s="269"/>
    </row>
    <row r="374">
      <c r="A374" s="269"/>
      <c r="B374" s="306"/>
      <c r="C374" s="271"/>
      <c r="D374" s="269"/>
      <c r="E374" s="269"/>
      <c r="F374" s="269"/>
      <c r="G374" s="307"/>
      <c r="H374" s="308"/>
      <c r="I374" s="275"/>
      <c r="J374" s="269"/>
      <c r="K374" s="269"/>
      <c r="L374" s="269"/>
      <c r="M374" s="269"/>
      <c r="N374" s="269"/>
      <c r="O374" s="269"/>
      <c r="P374" s="269"/>
      <c r="Q374" s="269"/>
      <c r="R374" s="269"/>
    </row>
    <row r="375">
      <c r="A375" s="269"/>
      <c r="B375" s="306"/>
      <c r="C375" s="271"/>
      <c r="D375" s="269"/>
      <c r="E375" s="269"/>
      <c r="F375" s="269"/>
      <c r="G375" s="307"/>
      <c r="H375" s="308"/>
      <c r="I375" s="275"/>
      <c r="J375" s="269"/>
      <c r="K375" s="269"/>
      <c r="L375" s="269"/>
      <c r="M375" s="269"/>
      <c r="N375" s="269"/>
      <c r="O375" s="269"/>
      <c r="P375" s="269"/>
      <c r="Q375" s="269"/>
      <c r="R375" s="269"/>
    </row>
    <row r="376">
      <c r="A376" s="269"/>
      <c r="B376" s="306"/>
      <c r="C376" s="271"/>
      <c r="D376" s="269"/>
      <c r="E376" s="269"/>
      <c r="F376" s="269"/>
      <c r="G376" s="307"/>
      <c r="H376" s="308"/>
      <c r="I376" s="275"/>
      <c r="J376" s="269"/>
      <c r="K376" s="269"/>
      <c r="L376" s="269"/>
      <c r="M376" s="269"/>
      <c r="N376" s="269"/>
      <c r="O376" s="269"/>
      <c r="P376" s="269"/>
      <c r="Q376" s="269"/>
      <c r="R376" s="269"/>
    </row>
    <row r="377">
      <c r="A377" s="269"/>
      <c r="B377" s="306"/>
      <c r="C377" s="271"/>
      <c r="D377" s="269"/>
      <c r="E377" s="269"/>
      <c r="F377" s="269"/>
      <c r="G377" s="307"/>
      <c r="H377" s="308"/>
      <c r="I377" s="275"/>
      <c r="J377" s="269"/>
      <c r="K377" s="269"/>
      <c r="L377" s="269"/>
      <c r="M377" s="269"/>
      <c r="N377" s="269"/>
      <c r="O377" s="269"/>
      <c r="P377" s="269"/>
      <c r="Q377" s="269"/>
      <c r="R377" s="269"/>
    </row>
    <row r="378">
      <c r="A378" s="269"/>
      <c r="B378" s="306"/>
      <c r="C378" s="271"/>
      <c r="D378" s="269"/>
      <c r="E378" s="269"/>
      <c r="F378" s="269"/>
      <c r="G378" s="307"/>
      <c r="H378" s="308"/>
      <c r="I378" s="275"/>
      <c r="J378" s="269"/>
      <c r="K378" s="269"/>
      <c r="L378" s="269"/>
      <c r="M378" s="269"/>
      <c r="N378" s="269"/>
      <c r="O378" s="269"/>
      <c r="P378" s="269"/>
      <c r="Q378" s="269"/>
      <c r="R378" s="269"/>
    </row>
    <row r="379">
      <c r="A379" s="269"/>
      <c r="B379" s="306"/>
      <c r="C379" s="271"/>
      <c r="D379" s="269"/>
      <c r="E379" s="269"/>
      <c r="F379" s="269"/>
      <c r="G379" s="307"/>
      <c r="H379" s="308"/>
      <c r="I379" s="275"/>
      <c r="J379" s="269"/>
      <c r="K379" s="269"/>
      <c r="L379" s="269"/>
      <c r="M379" s="269"/>
      <c r="N379" s="269"/>
      <c r="O379" s="269"/>
      <c r="P379" s="269"/>
      <c r="Q379" s="269"/>
      <c r="R379" s="269"/>
    </row>
    <row r="380">
      <c r="A380" s="269"/>
      <c r="B380" s="306"/>
      <c r="C380" s="271"/>
      <c r="D380" s="269"/>
      <c r="E380" s="269"/>
      <c r="F380" s="269"/>
      <c r="G380" s="307"/>
      <c r="H380" s="308"/>
      <c r="I380" s="275"/>
      <c r="J380" s="269"/>
      <c r="K380" s="269"/>
      <c r="L380" s="269"/>
      <c r="M380" s="269"/>
      <c r="N380" s="269"/>
      <c r="O380" s="269"/>
      <c r="P380" s="269"/>
      <c r="Q380" s="269"/>
      <c r="R380" s="269"/>
    </row>
    <row r="381">
      <c r="A381" s="269"/>
      <c r="B381" s="306"/>
      <c r="C381" s="271"/>
      <c r="D381" s="269"/>
      <c r="E381" s="269"/>
      <c r="F381" s="269"/>
      <c r="G381" s="307"/>
      <c r="H381" s="308"/>
      <c r="I381" s="275"/>
      <c r="J381" s="269"/>
      <c r="K381" s="269"/>
      <c r="L381" s="269"/>
      <c r="M381" s="269"/>
      <c r="N381" s="269"/>
      <c r="O381" s="269"/>
      <c r="P381" s="269"/>
      <c r="Q381" s="269"/>
      <c r="R381" s="269"/>
    </row>
    <row r="382">
      <c r="A382" s="269"/>
      <c r="B382" s="306"/>
      <c r="C382" s="271"/>
      <c r="D382" s="269"/>
      <c r="E382" s="269"/>
      <c r="F382" s="269"/>
      <c r="G382" s="307"/>
      <c r="H382" s="308"/>
      <c r="I382" s="275"/>
      <c r="J382" s="269"/>
      <c r="K382" s="269"/>
      <c r="L382" s="269"/>
      <c r="M382" s="269"/>
      <c r="N382" s="269"/>
      <c r="O382" s="269"/>
      <c r="P382" s="269"/>
      <c r="Q382" s="269"/>
      <c r="R382" s="269"/>
    </row>
    <row r="383">
      <c r="A383" s="269"/>
      <c r="B383" s="306"/>
      <c r="C383" s="271"/>
      <c r="D383" s="269"/>
      <c r="E383" s="269"/>
      <c r="F383" s="269"/>
      <c r="G383" s="307"/>
      <c r="H383" s="308"/>
      <c r="I383" s="275"/>
      <c r="J383" s="269"/>
      <c r="K383" s="269"/>
      <c r="L383" s="269"/>
      <c r="M383" s="269"/>
      <c r="N383" s="269"/>
      <c r="O383" s="269"/>
      <c r="P383" s="269"/>
      <c r="Q383" s="269"/>
      <c r="R383" s="269"/>
    </row>
    <row r="384">
      <c r="A384" s="269"/>
      <c r="B384" s="306"/>
      <c r="C384" s="271"/>
      <c r="D384" s="269"/>
      <c r="E384" s="269"/>
      <c r="F384" s="269"/>
      <c r="G384" s="307"/>
      <c r="H384" s="308"/>
      <c r="I384" s="275"/>
      <c r="J384" s="269"/>
      <c r="K384" s="269"/>
      <c r="L384" s="269"/>
      <c r="M384" s="269"/>
      <c r="N384" s="269"/>
      <c r="O384" s="269"/>
      <c r="P384" s="269"/>
      <c r="Q384" s="269"/>
      <c r="R384" s="269"/>
    </row>
    <row r="385">
      <c r="A385" s="269"/>
      <c r="B385" s="306"/>
      <c r="C385" s="271"/>
      <c r="D385" s="269"/>
      <c r="E385" s="269"/>
      <c r="F385" s="269"/>
      <c r="G385" s="307"/>
      <c r="H385" s="308"/>
      <c r="I385" s="275"/>
      <c r="J385" s="269"/>
      <c r="K385" s="269"/>
      <c r="L385" s="269"/>
      <c r="M385" s="269"/>
      <c r="N385" s="269"/>
      <c r="O385" s="269"/>
      <c r="P385" s="269"/>
      <c r="Q385" s="269"/>
      <c r="R385" s="269"/>
    </row>
    <row r="386">
      <c r="A386" s="269"/>
      <c r="B386" s="306"/>
      <c r="C386" s="271"/>
      <c r="D386" s="269"/>
      <c r="E386" s="269"/>
      <c r="F386" s="269"/>
      <c r="G386" s="307"/>
      <c r="H386" s="308"/>
      <c r="I386" s="275"/>
      <c r="J386" s="269"/>
      <c r="K386" s="269"/>
      <c r="L386" s="269"/>
      <c r="M386" s="269"/>
      <c r="N386" s="269"/>
      <c r="O386" s="269"/>
      <c r="P386" s="269"/>
      <c r="Q386" s="269"/>
      <c r="R386" s="269"/>
    </row>
    <row r="387">
      <c r="A387" s="269"/>
      <c r="B387" s="306"/>
      <c r="C387" s="271"/>
      <c r="D387" s="269"/>
      <c r="E387" s="269"/>
      <c r="F387" s="269"/>
      <c r="G387" s="307"/>
      <c r="H387" s="308"/>
      <c r="I387" s="275"/>
      <c r="J387" s="269"/>
      <c r="K387" s="269"/>
      <c r="L387" s="269"/>
      <c r="M387" s="269"/>
      <c r="N387" s="269"/>
      <c r="O387" s="269"/>
      <c r="P387" s="269"/>
      <c r="Q387" s="269"/>
      <c r="R387" s="269"/>
    </row>
    <row r="388">
      <c r="A388" s="269"/>
      <c r="B388" s="306"/>
      <c r="C388" s="271"/>
      <c r="D388" s="269"/>
      <c r="E388" s="269"/>
      <c r="F388" s="269"/>
      <c r="G388" s="307"/>
      <c r="H388" s="308"/>
      <c r="I388" s="275"/>
      <c r="J388" s="269"/>
      <c r="K388" s="269"/>
      <c r="L388" s="269"/>
      <c r="M388" s="269"/>
      <c r="N388" s="269"/>
      <c r="O388" s="269"/>
      <c r="P388" s="269"/>
      <c r="Q388" s="269"/>
      <c r="R388" s="269"/>
    </row>
    <row r="389">
      <c r="A389" s="269"/>
      <c r="B389" s="306"/>
      <c r="C389" s="271"/>
      <c r="D389" s="269"/>
      <c r="E389" s="269"/>
      <c r="F389" s="269"/>
      <c r="G389" s="307"/>
      <c r="H389" s="308"/>
      <c r="I389" s="275"/>
      <c r="J389" s="269"/>
      <c r="K389" s="269"/>
      <c r="L389" s="269"/>
      <c r="M389" s="269"/>
      <c r="N389" s="269"/>
      <c r="O389" s="269"/>
      <c r="P389" s="269"/>
      <c r="Q389" s="269"/>
      <c r="R389" s="269"/>
    </row>
    <row r="390">
      <c r="A390" s="269"/>
      <c r="B390" s="306"/>
      <c r="C390" s="271"/>
      <c r="D390" s="269"/>
      <c r="E390" s="269"/>
      <c r="F390" s="269"/>
      <c r="G390" s="307"/>
      <c r="H390" s="308"/>
      <c r="I390" s="275"/>
      <c r="J390" s="269"/>
      <c r="K390" s="269"/>
      <c r="L390" s="269"/>
      <c r="M390" s="269"/>
      <c r="N390" s="269"/>
      <c r="O390" s="269"/>
      <c r="P390" s="269"/>
      <c r="Q390" s="269"/>
      <c r="R390" s="269"/>
    </row>
    <row r="391">
      <c r="A391" s="269"/>
      <c r="B391" s="306"/>
      <c r="C391" s="271"/>
      <c r="D391" s="269"/>
      <c r="E391" s="269"/>
      <c r="F391" s="269"/>
      <c r="G391" s="307"/>
      <c r="H391" s="308"/>
      <c r="I391" s="275"/>
      <c r="J391" s="269"/>
      <c r="K391" s="269"/>
      <c r="L391" s="269"/>
      <c r="M391" s="269"/>
      <c r="N391" s="269"/>
      <c r="O391" s="269"/>
      <c r="P391" s="269"/>
      <c r="Q391" s="269"/>
      <c r="R391" s="269"/>
    </row>
    <row r="392">
      <c r="A392" s="269"/>
      <c r="B392" s="306"/>
      <c r="C392" s="271"/>
      <c r="D392" s="269"/>
      <c r="E392" s="269"/>
      <c r="F392" s="269"/>
      <c r="G392" s="307"/>
      <c r="H392" s="308"/>
      <c r="I392" s="275"/>
      <c r="J392" s="269"/>
      <c r="K392" s="269"/>
      <c r="L392" s="269"/>
      <c r="M392" s="269"/>
      <c r="N392" s="269"/>
      <c r="O392" s="269"/>
      <c r="P392" s="269"/>
      <c r="Q392" s="269"/>
      <c r="R392" s="269"/>
    </row>
    <row r="393">
      <c r="A393" s="269"/>
      <c r="B393" s="306"/>
      <c r="C393" s="271"/>
      <c r="D393" s="269"/>
      <c r="E393" s="269"/>
      <c r="F393" s="269"/>
      <c r="G393" s="307"/>
      <c r="H393" s="308"/>
      <c r="I393" s="275"/>
      <c r="J393" s="269"/>
      <c r="K393" s="269"/>
      <c r="L393" s="269"/>
      <c r="M393" s="269"/>
      <c r="N393" s="269"/>
      <c r="O393" s="269"/>
      <c r="P393" s="269"/>
      <c r="Q393" s="269"/>
      <c r="R393" s="269"/>
    </row>
    <row r="394">
      <c r="A394" s="269"/>
      <c r="B394" s="306"/>
      <c r="C394" s="271"/>
      <c r="D394" s="269"/>
      <c r="E394" s="269"/>
      <c r="F394" s="269"/>
      <c r="G394" s="307"/>
      <c r="H394" s="308"/>
      <c r="I394" s="275"/>
      <c r="J394" s="269"/>
      <c r="K394" s="269"/>
      <c r="L394" s="269"/>
      <c r="M394" s="269"/>
      <c r="N394" s="269"/>
      <c r="O394" s="269"/>
      <c r="P394" s="269"/>
      <c r="Q394" s="269"/>
      <c r="R394" s="269"/>
    </row>
    <row r="395">
      <c r="A395" s="269"/>
      <c r="B395" s="306"/>
      <c r="C395" s="271"/>
      <c r="D395" s="269"/>
      <c r="E395" s="269"/>
      <c r="F395" s="269"/>
      <c r="G395" s="307"/>
      <c r="H395" s="308"/>
      <c r="I395" s="275"/>
      <c r="J395" s="269"/>
      <c r="K395" s="269"/>
      <c r="L395" s="269"/>
      <c r="M395" s="269"/>
      <c r="N395" s="269"/>
      <c r="O395" s="269"/>
      <c r="P395" s="269"/>
      <c r="Q395" s="269"/>
      <c r="R395" s="269"/>
    </row>
    <row r="396">
      <c r="A396" s="269"/>
      <c r="B396" s="306"/>
      <c r="C396" s="271"/>
      <c r="D396" s="269"/>
      <c r="E396" s="269"/>
      <c r="F396" s="269"/>
      <c r="G396" s="307"/>
      <c r="H396" s="308"/>
      <c r="I396" s="275"/>
      <c r="J396" s="269"/>
      <c r="K396" s="269"/>
      <c r="L396" s="269"/>
      <c r="M396" s="269"/>
      <c r="N396" s="269"/>
      <c r="O396" s="269"/>
      <c r="P396" s="269"/>
      <c r="Q396" s="269"/>
      <c r="R396" s="269"/>
    </row>
    <row r="397">
      <c r="A397" s="269"/>
      <c r="B397" s="306"/>
      <c r="C397" s="271"/>
      <c r="D397" s="269"/>
      <c r="E397" s="269"/>
      <c r="F397" s="269"/>
      <c r="G397" s="307"/>
      <c r="H397" s="308"/>
      <c r="I397" s="275"/>
      <c r="J397" s="269"/>
      <c r="K397" s="269"/>
      <c r="L397" s="269"/>
      <c r="M397" s="269"/>
      <c r="N397" s="269"/>
      <c r="O397" s="269"/>
      <c r="P397" s="269"/>
      <c r="Q397" s="269"/>
      <c r="R397" s="269"/>
    </row>
    <row r="398">
      <c r="A398" s="269"/>
      <c r="B398" s="306"/>
      <c r="C398" s="271"/>
      <c r="D398" s="269"/>
      <c r="E398" s="269"/>
      <c r="F398" s="269"/>
      <c r="G398" s="307"/>
      <c r="H398" s="308"/>
      <c r="I398" s="275"/>
      <c r="J398" s="269"/>
      <c r="K398" s="269"/>
      <c r="L398" s="269"/>
      <c r="M398" s="269"/>
      <c r="N398" s="269"/>
      <c r="O398" s="269"/>
      <c r="P398" s="269"/>
      <c r="Q398" s="269"/>
      <c r="R398" s="269"/>
    </row>
    <row r="399">
      <c r="A399" s="269"/>
      <c r="B399" s="306"/>
      <c r="C399" s="271"/>
      <c r="D399" s="269"/>
      <c r="E399" s="269"/>
      <c r="F399" s="269"/>
      <c r="G399" s="307"/>
      <c r="H399" s="308"/>
      <c r="I399" s="275"/>
      <c r="J399" s="269"/>
      <c r="K399" s="269"/>
      <c r="L399" s="269"/>
      <c r="M399" s="269"/>
      <c r="N399" s="269"/>
      <c r="O399" s="269"/>
      <c r="P399" s="269"/>
      <c r="Q399" s="269"/>
      <c r="R399" s="269"/>
    </row>
    <row r="400">
      <c r="A400" s="269"/>
      <c r="B400" s="306"/>
      <c r="C400" s="271"/>
      <c r="D400" s="269"/>
      <c r="E400" s="269"/>
      <c r="F400" s="269"/>
      <c r="G400" s="307"/>
      <c r="H400" s="308"/>
      <c r="I400" s="275"/>
      <c r="J400" s="269"/>
      <c r="K400" s="269"/>
      <c r="L400" s="269"/>
      <c r="M400" s="269"/>
      <c r="N400" s="269"/>
      <c r="O400" s="269"/>
      <c r="P400" s="269"/>
      <c r="Q400" s="269"/>
      <c r="R400" s="269"/>
    </row>
    <row r="401">
      <c r="A401" s="269"/>
      <c r="B401" s="306"/>
      <c r="C401" s="271"/>
      <c r="D401" s="269"/>
      <c r="E401" s="269"/>
      <c r="F401" s="269"/>
      <c r="G401" s="307"/>
      <c r="H401" s="308"/>
      <c r="I401" s="275"/>
      <c r="J401" s="269"/>
      <c r="K401" s="269"/>
      <c r="L401" s="269"/>
      <c r="M401" s="269"/>
      <c r="N401" s="269"/>
      <c r="O401" s="269"/>
      <c r="P401" s="269"/>
      <c r="Q401" s="269"/>
      <c r="R401" s="269"/>
    </row>
    <row r="402">
      <c r="A402" s="269"/>
      <c r="B402" s="306"/>
      <c r="C402" s="271"/>
      <c r="D402" s="269"/>
      <c r="E402" s="269"/>
      <c r="F402" s="269"/>
      <c r="G402" s="307"/>
      <c r="H402" s="308"/>
      <c r="I402" s="275"/>
      <c r="J402" s="269"/>
      <c r="K402" s="269"/>
      <c r="L402" s="269"/>
      <c r="M402" s="269"/>
      <c r="N402" s="269"/>
      <c r="O402" s="269"/>
      <c r="P402" s="269"/>
      <c r="Q402" s="269"/>
      <c r="R402" s="269"/>
    </row>
    <row r="403">
      <c r="A403" s="269"/>
      <c r="B403" s="306"/>
      <c r="C403" s="271"/>
      <c r="D403" s="269"/>
      <c r="E403" s="269"/>
      <c r="F403" s="269"/>
      <c r="G403" s="307"/>
      <c r="H403" s="308"/>
      <c r="I403" s="275"/>
      <c r="J403" s="269"/>
      <c r="K403" s="269"/>
      <c r="L403" s="269"/>
      <c r="M403" s="269"/>
      <c r="N403" s="269"/>
      <c r="O403" s="269"/>
      <c r="P403" s="269"/>
      <c r="Q403" s="269"/>
      <c r="R403" s="269"/>
    </row>
    <row r="404">
      <c r="A404" s="269"/>
      <c r="B404" s="306"/>
      <c r="C404" s="271"/>
      <c r="D404" s="269"/>
      <c r="E404" s="269"/>
      <c r="F404" s="269"/>
      <c r="G404" s="307"/>
      <c r="H404" s="308"/>
      <c r="I404" s="275"/>
      <c r="J404" s="269"/>
      <c r="K404" s="269"/>
      <c r="L404" s="269"/>
      <c r="M404" s="269"/>
      <c r="N404" s="269"/>
      <c r="O404" s="269"/>
      <c r="P404" s="269"/>
      <c r="Q404" s="269"/>
      <c r="R404" s="269"/>
    </row>
    <row r="405">
      <c r="A405" s="269"/>
      <c r="B405" s="306"/>
      <c r="C405" s="271"/>
      <c r="D405" s="269"/>
      <c r="E405" s="269"/>
      <c r="F405" s="269"/>
      <c r="G405" s="307"/>
      <c r="H405" s="308"/>
      <c r="I405" s="275"/>
      <c r="J405" s="269"/>
      <c r="K405" s="269"/>
      <c r="L405" s="269"/>
      <c r="M405" s="269"/>
      <c r="N405" s="269"/>
      <c r="O405" s="269"/>
      <c r="P405" s="269"/>
      <c r="Q405" s="269"/>
      <c r="R405" s="269"/>
    </row>
    <row r="406">
      <c r="A406" s="269"/>
      <c r="B406" s="306"/>
      <c r="C406" s="271"/>
      <c r="D406" s="269"/>
      <c r="E406" s="269"/>
      <c r="F406" s="269"/>
      <c r="G406" s="307"/>
      <c r="H406" s="308"/>
      <c r="I406" s="275"/>
      <c r="J406" s="269"/>
      <c r="K406" s="269"/>
      <c r="L406" s="269"/>
      <c r="M406" s="269"/>
      <c r="N406" s="269"/>
      <c r="O406" s="269"/>
      <c r="P406" s="269"/>
      <c r="Q406" s="269"/>
      <c r="R406" s="269"/>
    </row>
    <row r="407">
      <c r="A407" s="269"/>
      <c r="B407" s="306"/>
      <c r="C407" s="271"/>
      <c r="D407" s="269"/>
      <c r="E407" s="269"/>
      <c r="F407" s="269"/>
      <c r="G407" s="307"/>
      <c r="H407" s="308"/>
      <c r="I407" s="275"/>
      <c r="J407" s="269"/>
      <c r="K407" s="269"/>
      <c r="L407" s="269"/>
      <c r="M407" s="269"/>
      <c r="N407" s="269"/>
      <c r="O407" s="269"/>
      <c r="P407" s="269"/>
      <c r="Q407" s="269"/>
      <c r="R407" s="269"/>
    </row>
    <row r="408">
      <c r="A408" s="269"/>
      <c r="B408" s="306"/>
      <c r="C408" s="271"/>
      <c r="D408" s="269"/>
      <c r="E408" s="269"/>
      <c r="F408" s="269"/>
      <c r="G408" s="307"/>
      <c r="H408" s="308"/>
      <c r="I408" s="275"/>
      <c r="J408" s="269"/>
      <c r="K408" s="269"/>
      <c r="L408" s="269"/>
      <c r="M408" s="269"/>
      <c r="N408" s="269"/>
      <c r="O408" s="269"/>
      <c r="P408" s="269"/>
      <c r="Q408" s="269"/>
      <c r="R408" s="269"/>
    </row>
    <row r="409">
      <c r="A409" s="269"/>
      <c r="B409" s="306"/>
      <c r="C409" s="271"/>
      <c r="D409" s="269"/>
      <c r="E409" s="269"/>
      <c r="F409" s="269"/>
      <c r="G409" s="307"/>
      <c r="H409" s="308"/>
      <c r="I409" s="275"/>
      <c r="J409" s="269"/>
      <c r="K409" s="269"/>
      <c r="L409" s="269"/>
      <c r="M409" s="269"/>
      <c r="N409" s="269"/>
      <c r="O409" s="269"/>
      <c r="P409" s="269"/>
      <c r="Q409" s="269"/>
      <c r="R409" s="269"/>
    </row>
    <row r="410">
      <c r="A410" s="269"/>
      <c r="B410" s="306"/>
      <c r="C410" s="271"/>
      <c r="D410" s="269"/>
      <c r="E410" s="269"/>
      <c r="F410" s="269"/>
      <c r="G410" s="307"/>
      <c r="H410" s="308"/>
      <c r="I410" s="275"/>
      <c r="J410" s="269"/>
      <c r="K410" s="269"/>
      <c r="L410" s="269"/>
      <c r="M410" s="269"/>
      <c r="N410" s="269"/>
      <c r="O410" s="269"/>
      <c r="P410" s="269"/>
      <c r="Q410" s="269"/>
      <c r="R410" s="269"/>
    </row>
    <row r="411">
      <c r="A411" s="269"/>
      <c r="B411" s="306"/>
      <c r="C411" s="271"/>
      <c r="D411" s="269"/>
      <c r="E411" s="269"/>
      <c r="F411" s="269"/>
      <c r="G411" s="307"/>
      <c r="H411" s="308"/>
      <c r="I411" s="275"/>
      <c r="J411" s="269"/>
      <c r="K411" s="269"/>
      <c r="L411" s="269"/>
      <c r="M411" s="269"/>
      <c r="N411" s="269"/>
      <c r="O411" s="269"/>
      <c r="P411" s="269"/>
      <c r="Q411" s="269"/>
      <c r="R411" s="269"/>
    </row>
    <row r="412">
      <c r="A412" s="269"/>
      <c r="B412" s="306"/>
      <c r="C412" s="271"/>
      <c r="D412" s="269"/>
      <c r="E412" s="269"/>
      <c r="F412" s="269"/>
      <c r="G412" s="307"/>
      <c r="H412" s="308"/>
      <c r="I412" s="275"/>
      <c r="J412" s="269"/>
      <c r="K412" s="269"/>
      <c r="L412" s="269"/>
      <c r="M412" s="269"/>
      <c r="N412" s="269"/>
      <c r="O412" s="269"/>
      <c r="P412" s="269"/>
      <c r="Q412" s="269"/>
      <c r="R412" s="269"/>
    </row>
    <row r="413">
      <c r="A413" s="269"/>
      <c r="B413" s="306"/>
      <c r="C413" s="271"/>
      <c r="D413" s="269"/>
      <c r="E413" s="269"/>
      <c r="F413" s="269"/>
      <c r="G413" s="307"/>
      <c r="H413" s="308"/>
      <c r="I413" s="275"/>
      <c r="J413" s="269"/>
      <c r="K413" s="269"/>
      <c r="L413" s="269"/>
      <c r="M413" s="269"/>
      <c r="N413" s="269"/>
      <c r="O413" s="269"/>
      <c r="P413" s="269"/>
      <c r="Q413" s="269"/>
      <c r="R413" s="269"/>
    </row>
    <row r="414">
      <c r="A414" s="269"/>
      <c r="B414" s="306"/>
      <c r="C414" s="271"/>
      <c r="D414" s="269"/>
      <c r="E414" s="269"/>
      <c r="F414" s="269"/>
      <c r="G414" s="307"/>
      <c r="H414" s="308"/>
      <c r="I414" s="275"/>
      <c r="J414" s="269"/>
      <c r="K414" s="269"/>
      <c r="L414" s="269"/>
      <c r="M414" s="269"/>
      <c r="N414" s="269"/>
      <c r="O414" s="269"/>
      <c r="P414" s="269"/>
      <c r="Q414" s="269"/>
      <c r="R414" s="269"/>
    </row>
    <row r="415">
      <c r="A415" s="269"/>
      <c r="B415" s="306"/>
      <c r="C415" s="271"/>
      <c r="D415" s="269"/>
      <c r="E415" s="269"/>
      <c r="F415" s="269"/>
      <c r="G415" s="307"/>
      <c r="H415" s="308"/>
      <c r="I415" s="275"/>
      <c r="J415" s="269"/>
      <c r="K415" s="269"/>
      <c r="L415" s="269"/>
      <c r="M415" s="269"/>
      <c r="N415" s="269"/>
      <c r="O415" s="269"/>
      <c r="P415" s="269"/>
      <c r="Q415" s="269"/>
      <c r="R415" s="269"/>
    </row>
    <row r="416">
      <c r="A416" s="269"/>
      <c r="B416" s="306"/>
      <c r="C416" s="271"/>
      <c r="D416" s="269"/>
      <c r="E416" s="269"/>
      <c r="F416" s="269"/>
      <c r="G416" s="307"/>
      <c r="H416" s="308"/>
      <c r="I416" s="275"/>
      <c r="J416" s="269"/>
      <c r="K416" s="269"/>
      <c r="L416" s="269"/>
      <c r="M416" s="269"/>
      <c r="N416" s="269"/>
      <c r="O416" s="269"/>
      <c r="P416" s="269"/>
      <c r="Q416" s="269"/>
      <c r="R416" s="269"/>
    </row>
    <row r="417">
      <c r="A417" s="269"/>
      <c r="B417" s="306"/>
      <c r="C417" s="271"/>
      <c r="D417" s="269"/>
      <c r="E417" s="269"/>
      <c r="F417" s="269"/>
      <c r="G417" s="307"/>
      <c r="H417" s="308"/>
      <c r="I417" s="275"/>
      <c r="J417" s="269"/>
      <c r="K417" s="269"/>
      <c r="L417" s="269"/>
      <c r="M417" s="269"/>
      <c r="N417" s="269"/>
      <c r="O417" s="269"/>
      <c r="P417" s="269"/>
      <c r="Q417" s="269"/>
      <c r="R417" s="269"/>
    </row>
    <row r="418">
      <c r="A418" s="269"/>
      <c r="B418" s="306"/>
      <c r="C418" s="271"/>
      <c r="D418" s="269"/>
      <c r="E418" s="269"/>
      <c r="F418" s="269"/>
      <c r="G418" s="307"/>
      <c r="H418" s="308"/>
      <c r="I418" s="275"/>
      <c r="J418" s="269"/>
      <c r="K418" s="269"/>
      <c r="L418" s="269"/>
      <c r="M418" s="269"/>
      <c r="N418" s="269"/>
      <c r="O418" s="269"/>
      <c r="P418" s="269"/>
      <c r="Q418" s="269"/>
      <c r="R418" s="269"/>
    </row>
    <row r="419">
      <c r="A419" s="269"/>
      <c r="B419" s="306"/>
      <c r="C419" s="271"/>
      <c r="D419" s="269"/>
      <c r="E419" s="269"/>
      <c r="F419" s="269"/>
      <c r="G419" s="307"/>
      <c r="H419" s="308"/>
      <c r="I419" s="275"/>
      <c r="J419" s="269"/>
      <c r="K419" s="269"/>
      <c r="L419" s="269"/>
      <c r="M419" s="269"/>
      <c r="N419" s="269"/>
      <c r="O419" s="269"/>
      <c r="P419" s="269"/>
      <c r="Q419" s="269"/>
      <c r="R419" s="269"/>
    </row>
    <row r="420">
      <c r="A420" s="269"/>
      <c r="B420" s="306"/>
      <c r="C420" s="271"/>
      <c r="D420" s="269"/>
      <c r="E420" s="269"/>
      <c r="F420" s="269"/>
      <c r="G420" s="307"/>
      <c r="H420" s="308"/>
      <c r="I420" s="275"/>
      <c r="J420" s="269"/>
      <c r="K420" s="269"/>
      <c r="L420" s="269"/>
      <c r="M420" s="269"/>
      <c r="N420" s="269"/>
      <c r="O420" s="269"/>
      <c r="P420" s="269"/>
      <c r="Q420" s="269"/>
      <c r="R420" s="269"/>
    </row>
    <row r="421">
      <c r="A421" s="269"/>
      <c r="B421" s="306"/>
      <c r="C421" s="271"/>
      <c r="D421" s="269"/>
      <c r="E421" s="269"/>
      <c r="F421" s="269"/>
      <c r="G421" s="307"/>
      <c r="H421" s="308"/>
      <c r="I421" s="275"/>
      <c r="J421" s="269"/>
      <c r="K421" s="269"/>
      <c r="L421" s="269"/>
      <c r="M421" s="269"/>
      <c r="N421" s="269"/>
      <c r="O421" s="269"/>
      <c r="P421" s="269"/>
      <c r="Q421" s="269"/>
      <c r="R421" s="269"/>
    </row>
    <row r="422">
      <c r="A422" s="269"/>
      <c r="B422" s="306"/>
      <c r="C422" s="271"/>
      <c r="D422" s="269"/>
      <c r="E422" s="269"/>
      <c r="F422" s="269"/>
      <c r="G422" s="307"/>
      <c r="H422" s="308"/>
      <c r="I422" s="275"/>
      <c r="J422" s="269"/>
      <c r="K422" s="269"/>
      <c r="L422" s="269"/>
      <c r="M422" s="269"/>
      <c r="N422" s="269"/>
      <c r="O422" s="269"/>
      <c r="P422" s="269"/>
      <c r="Q422" s="269"/>
      <c r="R422" s="269"/>
    </row>
    <row r="423">
      <c r="A423" s="269"/>
      <c r="B423" s="306"/>
      <c r="C423" s="271"/>
      <c r="D423" s="269"/>
      <c r="E423" s="269"/>
      <c r="F423" s="269"/>
      <c r="G423" s="307"/>
      <c r="H423" s="308"/>
      <c r="I423" s="275"/>
      <c r="J423" s="269"/>
      <c r="K423" s="269"/>
      <c r="L423" s="269"/>
      <c r="M423" s="269"/>
      <c r="N423" s="269"/>
      <c r="O423" s="269"/>
      <c r="P423" s="269"/>
      <c r="Q423" s="269"/>
      <c r="R423" s="269"/>
    </row>
    <row r="424">
      <c r="A424" s="269"/>
      <c r="B424" s="306"/>
      <c r="C424" s="271"/>
      <c r="D424" s="269"/>
      <c r="E424" s="269"/>
      <c r="F424" s="269"/>
      <c r="G424" s="307"/>
      <c r="H424" s="308"/>
      <c r="I424" s="275"/>
      <c r="J424" s="269"/>
      <c r="K424" s="269"/>
      <c r="L424" s="269"/>
      <c r="M424" s="269"/>
      <c r="N424" s="269"/>
      <c r="O424" s="269"/>
      <c r="P424" s="269"/>
      <c r="Q424" s="269"/>
      <c r="R424" s="269"/>
    </row>
    <row r="425">
      <c r="A425" s="269"/>
      <c r="B425" s="306"/>
      <c r="C425" s="271"/>
      <c r="D425" s="269"/>
      <c r="E425" s="269"/>
      <c r="F425" s="269"/>
      <c r="G425" s="307"/>
      <c r="H425" s="308"/>
      <c r="I425" s="275"/>
      <c r="J425" s="269"/>
      <c r="K425" s="269"/>
      <c r="L425" s="269"/>
      <c r="M425" s="269"/>
      <c r="N425" s="269"/>
      <c r="O425" s="269"/>
      <c r="P425" s="269"/>
      <c r="Q425" s="269"/>
      <c r="R425" s="269"/>
    </row>
    <row r="426">
      <c r="A426" s="269"/>
      <c r="B426" s="306"/>
      <c r="C426" s="271"/>
      <c r="D426" s="269"/>
      <c r="E426" s="269"/>
      <c r="F426" s="269"/>
      <c r="G426" s="307"/>
      <c r="H426" s="308"/>
      <c r="I426" s="275"/>
      <c r="J426" s="269"/>
      <c r="K426" s="269"/>
      <c r="L426" s="269"/>
      <c r="M426" s="269"/>
      <c r="N426" s="269"/>
      <c r="O426" s="269"/>
      <c r="P426" s="269"/>
      <c r="Q426" s="269"/>
      <c r="R426" s="269"/>
    </row>
    <row r="427">
      <c r="A427" s="269"/>
      <c r="B427" s="306"/>
      <c r="C427" s="271"/>
      <c r="D427" s="269"/>
      <c r="E427" s="269"/>
      <c r="F427" s="269"/>
      <c r="G427" s="307"/>
      <c r="H427" s="308"/>
      <c r="I427" s="275"/>
      <c r="J427" s="269"/>
      <c r="K427" s="269"/>
      <c r="L427" s="269"/>
      <c r="M427" s="269"/>
      <c r="N427" s="269"/>
      <c r="O427" s="269"/>
      <c r="P427" s="269"/>
      <c r="Q427" s="269"/>
      <c r="R427" s="269"/>
    </row>
    <row r="428">
      <c r="A428" s="269"/>
      <c r="B428" s="306"/>
      <c r="C428" s="271"/>
      <c r="D428" s="269"/>
      <c r="E428" s="269"/>
      <c r="F428" s="269"/>
      <c r="G428" s="307"/>
      <c r="H428" s="308"/>
      <c r="I428" s="275"/>
      <c r="J428" s="269"/>
      <c r="K428" s="269"/>
      <c r="L428" s="269"/>
      <c r="M428" s="269"/>
      <c r="N428" s="269"/>
      <c r="O428" s="269"/>
      <c r="P428" s="269"/>
      <c r="Q428" s="269"/>
      <c r="R428" s="269"/>
    </row>
    <row r="429">
      <c r="A429" s="269"/>
      <c r="B429" s="306"/>
      <c r="C429" s="271"/>
      <c r="D429" s="269"/>
      <c r="E429" s="269"/>
      <c r="F429" s="269"/>
      <c r="G429" s="307"/>
      <c r="H429" s="308"/>
      <c r="I429" s="275"/>
      <c r="J429" s="269"/>
      <c r="K429" s="269"/>
      <c r="L429" s="269"/>
      <c r="M429" s="269"/>
      <c r="N429" s="269"/>
      <c r="O429" s="269"/>
      <c r="P429" s="269"/>
      <c r="Q429" s="269"/>
      <c r="R429" s="269"/>
    </row>
    <row r="430">
      <c r="A430" s="269"/>
      <c r="B430" s="306"/>
      <c r="C430" s="271"/>
      <c r="D430" s="269"/>
      <c r="E430" s="269"/>
      <c r="F430" s="269"/>
      <c r="G430" s="307"/>
      <c r="H430" s="308"/>
      <c r="I430" s="275"/>
      <c r="J430" s="269"/>
      <c r="K430" s="269"/>
      <c r="L430" s="269"/>
      <c r="M430" s="269"/>
      <c r="N430" s="269"/>
      <c r="O430" s="269"/>
      <c r="P430" s="269"/>
      <c r="Q430" s="269"/>
      <c r="R430" s="269"/>
    </row>
    <row r="431">
      <c r="A431" s="269"/>
      <c r="B431" s="306"/>
      <c r="C431" s="271"/>
      <c r="D431" s="269"/>
      <c r="E431" s="269"/>
      <c r="F431" s="269"/>
      <c r="G431" s="307"/>
      <c r="H431" s="308"/>
      <c r="I431" s="275"/>
      <c r="J431" s="269"/>
      <c r="K431" s="269"/>
      <c r="L431" s="269"/>
      <c r="M431" s="269"/>
      <c r="N431" s="269"/>
      <c r="O431" s="269"/>
      <c r="P431" s="269"/>
      <c r="Q431" s="269"/>
      <c r="R431" s="269"/>
    </row>
    <row r="432">
      <c r="A432" s="269"/>
      <c r="B432" s="306"/>
      <c r="C432" s="271"/>
      <c r="D432" s="269"/>
      <c r="E432" s="269"/>
      <c r="F432" s="269"/>
      <c r="G432" s="307"/>
      <c r="H432" s="308"/>
      <c r="I432" s="275"/>
      <c r="J432" s="269"/>
      <c r="K432" s="269"/>
      <c r="L432" s="269"/>
      <c r="M432" s="269"/>
      <c r="N432" s="269"/>
      <c r="O432" s="269"/>
      <c r="P432" s="269"/>
      <c r="Q432" s="269"/>
      <c r="R432" s="269"/>
    </row>
    <row r="433">
      <c r="A433" s="269"/>
      <c r="B433" s="306"/>
      <c r="C433" s="271"/>
      <c r="D433" s="269"/>
      <c r="E433" s="269"/>
      <c r="F433" s="269"/>
      <c r="G433" s="307"/>
      <c r="H433" s="308"/>
      <c r="I433" s="275"/>
      <c r="J433" s="269"/>
      <c r="K433" s="269"/>
      <c r="L433" s="269"/>
      <c r="M433" s="269"/>
      <c r="N433" s="269"/>
      <c r="O433" s="269"/>
      <c r="P433" s="269"/>
      <c r="Q433" s="269"/>
      <c r="R433" s="269"/>
    </row>
    <row r="434">
      <c r="A434" s="269"/>
      <c r="B434" s="306"/>
      <c r="C434" s="271"/>
      <c r="D434" s="269"/>
      <c r="E434" s="269"/>
      <c r="F434" s="269"/>
      <c r="G434" s="307"/>
      <c r="H434" s="308"/>
      <c r="I434" s="275"/>
      <c r="J434" s="269"/>
      <c r="K434" s="269"/>
      <c r="L434" s="269"/>
      <c r="M434" s="269"/>
      <c r="N434" s="269"/>
      <c r="O434" s="269"/>
      <c r="P434" s="269"/>
      <c r="Q434" s="269"/>
      <c r="R434" s="269"/>
    </row>
    <row r="435">
      <c r="A435" s="269"/>
      <c r="B435" s="306"/>
      <c r="C435" s="271"/>
      <c r="D435" s="269"/>
      <c r="E435" s="269"/>
      <c r="F435" s="269"/>
      <c r="G435" s="307"/>
      <c r="H435" s="308"/>
      <c r="I435" s="275"/>
      <c r="J435" s="269"/>
      <c r="K435" s="269"/>
      <c r="L435" s="269"/>
      <c r="M435" s="269"/>
      <c r="N435" s="269"/>
      <c r="O435" s="269"/>
      <c r="P435" s="269"/>
      <c r="Q435" s="269"/>
      <c r="R435" s="269"/>
    </row>
    <row r="436">
      <c r="A436" s="269"/>
      <c r="B436" s="306"/>
      <c r="C436" s="271"/>
      <c r="D436" s="269"/>
      <c r="E436" s="269"/>
      <c r="F436" s="269"/>
      <c r="G436" s="307"/>
      <c r="H436" s="308"/>
      <c r="I436" s="275"/>
      <c r="J436" s="269"/>
      <c r="K436" s="269"/>
      <c r="L436" s="269"/>
      <c r="M436" s="269"/>
      <c r="N436" s="269"/>
      <c r="O436" s="269"/>
      <c r="P436" s="269"/>
      <c r="Q436" s="269"/>
      <c r="R436" s="269"/>
    </row>
    <row r="437">
      <c r="A437" s="269"/>
      <c r="B437" s="306"/>
      <c r="C437" s="271"/>
      <c r="D437" s="269"/>
      <c r="E437" s="269"/>
      <c r="F437" s="269"/>
      <c r="G437" s="307"/>
      <c r="H437" s="308"/>
      <c r="I437" s="275"/>
      <c r="J437" s="269"/>
      <c r="K437" s="269"/>
      <c r="L437" s="269"/>
      <c r="M437" s="269"/>
      <c r="N437" s="269"/>
      <c r="O437" s="269"/>
      <c r="P437" s="269"/>
      <c r="Q437" s="269"/>
      <c r="R437" s="269"/>
    </row>
    <row r="438">
      <c r="A438" s="269"/>
      <c r="B438" s="306"/>
      <c r="C438" s="271"/>
      <c r="D438" s="269"/>
      <c r="E438" s="269"/>
      <c r="F438" s="269"/>
      <c r="G438" s="307"/>
      <c r="H438" s="308"/>
      <c r="I438" s="275"/>
      <c r="J438" s="269"/>
      <c r="K438" s="269"/>
      <c r="L438" s="269"/>
      <c r="M438" s="269"/>
      <c r="N438" s="269"/>
      <c r="O438" s="269"/>
      <c r="P438" s="269"/>
      <c r="Q438" s="269"/>
      <c r="R438" s="269"/>
    </row>
    <row r="439">
      <c r="A439" s="269"/>
      <c r="B439" s="306"/>
      <c r="C439" s="271"/>
      <c r="D439" s="269"/>
      <c r="E439" s="269"/>
      <c r="F439" s="269"/>
      <c r="G439" s="307"/>
      <c r="H439" s="308"/>
      <c r="I439" s="275"/>
      <c r="J439" s="269"/>
      <c r="K439" s="269"/>
      <c r="L439" s="269"/>
      <c r="M439" s="269"/>
      <c r="N439" s="269"/>
      <c r="O439" s="269"/>
      <c r="P439" s="269"/>
      <c r="Q439" s="269"/>
      <c r="R439" s="269"/>
    </row>
    <row r="440">
      <c r="A440" s="269"/>
      <c r="B440" s="306"/>
      <c r="C440" s="271"/>
      <c r="D440" s="269"/>
      <c r="E440" s="269"/>
      <c r="F440" s="269"/>
      <c r="G440" s="307"/>
      <c r="H440" s="308"/>
      <c r="I440" s="275"/>
      <c r="J440" s="269"/>
      <c r="K440" s="269"/>
      <c r="L440" s="269"/>
      <c r="M440" s="269"/>
      <c r="N440" s="269"/>
      <c r="O440" s="269"/>
      <c r="P440" s="269"/>
      <c r="Q440" s="269"/>
      <c r="R440" s="269"/>
    </row>
    <row r="441">
      <c r="A441" s="269"/>
      <c r="B441" s="306"/>
      <c r="C441" s="271"/>
      <c r="D441" s="269"/>
      <c r="E441" s="269"/>
      <c r="F441" s="269"/>
      <c r="G441" s="307"/>
      <c r="H441" s="308"/>
      <c r="I441" s="275"/>
      <c r="J441" s="269"/>
      <c r="K441" s="269"/>
      <c r="L441" s="269"/>
      <c r="M441" s="269"/>
      <c r="N441" s="269"/>
      <c r="O441" s="269"/>
      <c r="P441" s="269"/>
      <c r="Q441" s="269"/>
      <c r="R441" s="269"/>
    </row>
    <row r="442">
      <c r="A442" s="269"/>
      <c r="B442" s="306"/>
      <c r="C442" s="271"/>
      <c r="D442" s="269"/>
      <c r="E442" s="269"/>
      <c r="F442" s="269"/>
      <c r="G442" s="307"/>
      <c r="H442" s="308"/>
      <c r="I442" s="275"/>
      <c r="J442" s="269"/>
      <c r="K442" s="269"/>
      <c r="L442" s="269"/>
      <c r="M442" s="269"/>
      <c r="N442" s="269"/>
      <c r="O442" s="269"/>
      <c r="P442" s="269"/>
      <c r="Q442" s="269"/>
      <c r="R442" s="269"/>
    </row>
    <row r="443">
      <c r="A443" s="269"/>
      <c r="B443" s="306"/>
      <c r="C443" s="271"/>
      <c r="D443" s="269"/>
      <c r="E443" s="269"/>
      <c r="F443" s="269"/>
      <c r="G443" s="307"/>
      <c r="H443" s="308"/>
      <c r="I443" s="275"/>
      <c r="J443" s="269"/>
      <c r="K443" s="269"/>
      <c r="L443" s="269"/>
      <c r="M443" s="269"/>
      <c r="N443" s="269"/>
      <c r="O443" s="269"/>
      <c r="P443" s="269"/>
      <c r="Q443" s="269"/>
      <c r="R443" s="269"/>
    </row>
    <row r="444">
      <c r="A444" s="269"/>
      <c r="B444" s="306"/>
      <c r="C444" s="271"/>
      <c r="D444" s="269"/>
      <c r="E444" s="269"/>
      <c r="F444" s="269"/>
      <c r="G444" s="307"/>
      <c r="H444" s="308"/>
      <c r="I444" s="275"/>
      <c r="J444" s="269"/>
      <c r="K444" s="269"/>
      <c r="L444" s="269"/>
      <c r="M444" s="269"/>
      <c r="N444" s="269"/>
      <c r="O444" s="269"/>
      <c r="P444" s="269"/>
      <c r="Q444" s="269"/>
      <c r="R444" s="269"/>
    </row>
    <row r="445">
      <c r="A445" s="269"/>
      <c r="B445" s="306"/>
      <c r="C445" s="271"/>
      <c r="D445" s="269"/>
      <c r="E445" s="269"/>
      <c r="F445" s="269"/>
      <c r="G445" s="307"/>
      <c r="H445" s="308"/>
      <c r="I445" s="275"/>
      <c r="J445" s="269"/>
      <c r="K445" s="269"/>
      <c r="L445" s="269"/>
      <c r="M445" s="269"/>
      <c r="N445" s="269"/>
      <c r="O445" s="269"/>
      <c r="P445" s="269"/>
      <c r="Q445" s="269"/>
      <c r="R445" s="269"/>
    </row>
    <row r="446">
      <c r="A446" s="269"/>
      <c r="B446" s="306"/>
      <c r="C446" s="271"/>
      <c r="D446" s="269"/>
      <c r="E446" s="269"/>
      <c r="F446" s="269"/>
      <c r="G446" s="307"/>
      <c r="H446" s="308"/>
      <c r="I446" s="275"/>
      <c r="J446" s="269"/>
      <c r="K446" s="269"/>
      <c r="L446" s="269"/>
      <c r="M446" s="269"/>
      <c r="N446" s="269"/>
      <c r="O446" s="269"/>
      <c r="P446" s="269"/>
      <c r="Q446" s="269"/>
      <c r="R446" s="269"/>
    </row>
    <row r="447">
      <c r="A447" s="269"/>
      <c r="B447" s="306"/>
      <c r="C447" s="271"/>
      <c r="D447" s="269"/>
      <c r="E447" s="269"/>
      <c r="F447" s="269"/>
      <c r="G447" s="307"/>
      <c r="H447" s="308"/>
      <c r="I447" s="275"/>
      <c r="J447" s="269"/>
      <c r="K447" s="269"/>
      <c r="L447" s="269"/>
      <c r="M447" s="269"/>
      <c r="N447" s="269"/>
      <c r="O447" s="269"/>
      <c r="P447" s="269"/>
      <c r="Q447" s="269"/>
      <c r="R447" s="269"/>
    </row>
    <row r="448">
      <c r="A448" s="269"/>
      <c r="B448" s="306"/>
      <c r="C448" s="271"/>
      <c r="D448" s="269"/>
      <c r="E448" s="269"/>
      <c r="F448" s="269"/>
      <c r="G448" s="307"/>
      <c r="H448" s="308"/>
      <c r="I448" s="275"/>
      <c r="J448" s="269"/>
      <c r="K448" s="269"/>
      <c r="L448" s="269"/>
      <c r="M448" s="269"/>
      <c r="N448" s="269"/>
      <c r="O448" s="269"/>
      <c r="P448" s="269"/>
      <c r="Q448" s="269"/>
      <c r="R448" s="269"/>
    </row>
    <row r="449">
      <c r="A449" s="269"/>
      <c r="B449" s="306"/>
      <c r="C449" s="271"/>
      <c r="D449" s="269"/>
      <c r="E449" s="269"/>
      <c r="F449" s="269"/>
      <c r="G449" s="307"/>
      <c r="H449" s="308"/>
      <c r="I449" s="275"/>
      <c r="J449" s="269"/>
      <c r="K449" s="269"/>
      <c r="L449" s="269"/>
      <c r="M449" s="269"/>
      <c r="N449" s="269"/>
      <c r="O449" s="269"/>
      <c r="P449" s="269"/>
      <c r="Q449" s="269"/>
      <c r="R449" s="269"/>
    </row>
    <row r="450">
      <c r="A450" s="269"/>
      <c r="B450" s="306"/>
      <c r="C450" s="271"/>
      <c r="D450" s="269"/>
      <c r="E450" s="269"/>
      <c r="F450" s="269"/>
      <c r="G450" s="307"/>
      <c r="H450" s="308"/>
      <c r="I450" s="275"/>
      <c r="J450" s="269"/>
      <c r="K450" s="269"/>
      <c r="L450" s="269"/>
      <c r="M450" s="269"/>
      <c r="N450" s="269"/>
      <c r="O450" s="269"/>
      <c r="P450" s="269"/>
      <c r="Q450" s="269"/>
      <c r="R450" s="269"/>
    </row>
    <row r="451">
      <c r="A451" s="269"/>
      <c r="B451" s="306"/>
      <c r="C451" s="271"/>
      <c r="D451" s="269"/>
      <c r="E451" s="269"/>
      <c r="F451" s="269"/>
      <c r="G451" s="307"/>
      <c r="H451" s="308"/>
      <c r="I451" s="275"/>
      <c r="J451" s="269"/>
      <c r="K451" s="269"/>
      <c r="L451" s="269"/>
      <c r="M451" s="269"/>
      <c r="N451" s="269"/>
      <c r="O451" s="269"/>
      <c r="P451" s="269"/>
      <c r="Q451" s="269"/>
      <c r="R451" s="269"/>
    </row>
    <row r="452">
      <c r="A452" s="269"/>
      <c r="B452" s="306"/>
      <c r="C452" s="271"/>
      <c r="D452" s="269"/>
      <c r="E452" s="269"/>
      <c r="F452" s="269"/>
      <c r="G452" s="307"/>
      <c r="H452" s="308"/>
      <c r="I452" s="275"/>
      <c r="J452" s="269"/>
      <c r="K452" s="269"/>
      <c r="L452" s="269"/>
      <c r="M452" s="269"/>
      <c r="N452" s="269"/>
      <c r="O452" s="269"/>
      <c r="P452" s="269"/>
      <c r="Q452" s="269"/>
      <c r="R452" s="269"/>
    </row>
    <row r="453">
      <c r="A453" s="269"/>
      <c r="B453" s="306"/>
      <c r="C453" s="271"/>
      <c r="D453" s="269"/>
      <c r="E453" s="269"/>
      <c r="F453" s="269"/>
      <c r="G453" s="307"/>
      <c r="H453" s="308"/>
      <c r="I453" s="275"/>
      <c r="J453" s="269"/>
      <c r="K453" s="269"/>
      <c r="L453" s="269"/>
      <c r="M453" s="269"/>
      <c r="N453" s="269"/>
      <c r="O453" s="269"/>
      <c r="P453" s="269"/>
      <c r="Q453" s="269"/>
      <c r="R453" s="269"/>
    </row>
    <row r="454">
      <c r="A454" s="269"/>
      <c r="B454" s="306"/>
      <c r="C454" s="271"/>
      <c r="D454" s="269"/>
      <c r="E454" s="269"/>
      <c r="F454" s="269"/>
      <c r="G454" s="307"/>
      <c r="H454" s="308"/>
      <c r="I454" s="275"/>
      <c r="J454" s="269"/>
      <c r="K454" s="269"/>
      <c r="L454" s="269"/>
      <c r="M454" s="269"/>
      <c r="N454" s="269"/>
      <c r="O454" s="269"/>
      <c r="P454" s="269"/>
      <c r="Q454" s="269"/>
      <c r="R454" s="269"/>
    </row>
    <row r="455">
      <c r="A455" s="269"/>
      <c r="B455" s="306"/>
      <c r="C455" s="271"/>
      <c r="D455" s="269"/>
      <c r="E455" s="269"/>
      <c r="F455" s="269"/>
      <c r="G455" s="307"/>
      <c r="H455" s="308"/>
      <c r="I455" s="275"/>
      <c r="J455" s="269"/>
      <c r="K455" s="269"/>
      <c r="L455" s="269"/>
      <c r="M455" s="269"/>
      <c r="N455" s="269"/>
      <c r="O455" s="269"/>
      <c r="P455" s="269"/>
      <c r="Q455" s="269"/>
      <c r="R455" s="269"/>
    </row>
    <row r="456">
      <c r="A456" s="269"/>
      <c r="B456" s="306"/>
      <c r="C456" s="271"/>
      <c r="D456" s="269"/>
      <c r="E456" s="269"/>
      <c r="F456" s="269"/>
      <c r="G456" s="307"/>
      <c r="H456" s="308"/>
      <c r="I456" s="275"/>
      <c r="J456" s="269"/>
      <c r="K456" s="269"/>
      <c r="L456" s="269"/>
      <c r="M456" s="269"/>
      <c r="N456" s="269"/>
      <c r="O456" s="269"/>
      <c r="P456" s="269"/>
      <c r="Q456" s="269"/>
      <c r="R456" s="269"/>
    </row>
    <row r="457">
      <c r="A457" s="269"/>
      <c r="B457" s="306"/>
      <c r="C457" s="271"/>
      <c r="D457" s="269"/>
      <c r="E457" s="269"/>
      <c r="F457" s="269"/>
      <c r="G457" s="307"/>
      <c r="H457" s="308"/>
      <c r="I457" s="275"/>
      <c r="J457" s="269"/>
      <c r="K457" s="269"/>
      <c r="L457" s="269"/>
      <c r="M457" s="269"/>
      <c r="N457" s="269"/>
      <c r="O457" s="269"/>
      <c r="P457" s="269"/>
      <c r="Q457" s="269"/>
      <c r="R457" s="269"/>
    </row>
    <row r="458">
      <c r="A458" s="269"/>
      <c r="B458" s="306"/>
      <c r="C458" s="271"/>
      <c r="D458" s="269"/>
      <c r="E458" s="269"/>
      <c r="F458" s="269"/>
      <c r="G458" s="307"/>
      <c r="H458" s="308"/>
      <c r="I458" s="275"/>
      <c r="J458" s="269"/>
      <c r="K458" s="269"/>
      <c r="L458" s="269"/>
      <c r="M458" s="269"/>
      <c r="N458" s="269"/>
      <c r="O458" s="269"/>
      <c r="P458" s="269"/>
      <c r="Q458" s="269"/>
      <c r="R458" s="269"/>
    </row>
    <row r="459">
      <c r="A459" s="269"/>
      <c r="B459" s="306"/>
      <c r="C459" s="271"/>
      <c r="D459" s="269"/>
      <c r="E459" s="269"/>
      <c r="F459" s="269"/>
      <c r="G459" s="307"/>
      <c r="H459" s="308"/>
      <c r="I459" s="275"/>
      <c r="J459" s="269"/>
      <c r="K459" s="269"/>
      <c r="L459" s="269"/>
      <c r="M459" s="269"/>
      <c r="N459" s="269"/>
      <c r="O459" s="269"/>
      <c r="P459" s="269"/>
      <c r="Q459" s="269"/>
      <c r="R459" s="269"/>
    </row>
    <row r="460">
      <c r="A460" s="269"/>
      <c r="B460" s="306"/>
      <c r="C460" s="271"/>
      <c r="D460" s="269"/>
      <c r="E460" s="269"/>
      <c r="F460" s="269"/>
      <c r="G460" s="307"/>
      <c r="H460" s="308"/>
      <c r="I460" s="275"/>
      <c r="J460" s="269"/>
      <c r="K460" s="269"/>
      <c r="L460" s="269"/>
      <c r="M460" s="269"/>
      <c r="N460" s="269"/>
      <c r="O460" s="269"/>
      <c r="P460" s="269"/>
      <c r="Q460" s="269"/>
      <c r="R460" s="269"/>
    </row>
    <row r="461">
      <c r="A461" s="269"/>
      <c r="B461" s="306"/>
      <c r="C461" s="271"/>
      <c r="D461" s="269"/>
      <c r="E461" s="269"/>
      <c r="F461" s="269"/>
      <c r="G461" s="307"/>
      <c r="H461" s="308"/>
      <c r="I461" s="275"/>
      <c r="J461" s="269"/>
      <c r="K461" s="269"/>
      <c r="L461" s="269"/>
      <c r="M461" s="269"/>
      <c r="N461" s="269"/>
      <c r="O461" s="269"/>
      <c r="P461" s="269"/>
      <c r="Q461" s="269"/>
      <c r="R461" s="269"/>
    </row>
    <row r="462">
      <c r="A462" s="269"/>
      <c r="B462" s="306"/>
      <c r="C462" s="271"/>
      <c r="D462" s="269"/>
      <c r="E462" s="269"/>
      <c r="F462" s="269"/>
      <c r="G462" s="307"/>
      <c r="H462" s="308"/>
      <c r="I462" s="275"/>
      <c r="J462" s="269"/>
      <c r="K462" s="269"/>
      <c r="L462" s="269"/>
      <c r="M462" s="269"/>
      <c r="N462" s="269"/>
      <c r="O462" s="269"/>
      <c r="P462" s="269"/>
      <c r="Q462" s="269"/>
      <c r="R462" s="269"/>
    </row>
    <row r="463">
      <c r="A463" s="269"/>
      <c r="B463" s="306"/>
      <c r="C463" s="271"/>
      <c r="D463" s="269"/>
      <c r="E463" s="269"/>
      <c r="F463" s="269"/>
      <c r="G463" s="307"/>
      <c r="H463" s="308"/>
      <c r="I463" s="275"/>
      <c r="J463" s="269"/>
      <c r="K463" s="269"/>
      <c r="L463" s="269"/>
      <c r="M463" s="269"/>
      <c r="N463" s="269"/>
      <c r="O463" s="269"/>
      <c r="P463" s="269"/>
      <c r="Q463" s="269"/>
      <c r="R463" s="269"/>
    </row>
    <row r="464">
      <c r="A464" s="269"/>
      <c r="B464" s="306"/>
      <c r="C464" s="271"/>
      <c r="D464" s="269"/>
      <c r="E464" s="269"/>
      <c r="F464" s="269"/>
      <c r="G464" s="307"/>
      <c r="H464" s="308"/>
      <c r="I464" s="275"/>
      <c r="J464" s="269"/>
      <c r="K464" s="269"/>
      <c r="L464" s="269"/>
      <c r="M464" s="269"/>
      <c r="N464" s="269"/>
      <c r="O464" s="269"/>
      <c r="P464" s="269"/>
      <c r="Q464" s="269"/>
      <c r="R464" s="269"/>
    </row>
    <row r="465">
      <c r="A465" s="269"/>
      <c r="B465" s="306"/>
      <c r="C465" s="271"/>
      <c r="D465" s="269"/>
      <c r="E465" s="269"/>
      <c r="F465" s="269"/>
      <c r="G465" s="307"/>
      <c r="H465" s="308"/>
      <c r="I465" s="275"/>
      <c r="J465" s="269"/>
      <c r="K465" s="269"/>
      <c r="L465" s="269"/>
      <c r="M465" s="269"/>
      <c r="N465" s="269"/>
      <c r="O465" s="269"/>
      <c r="P465" s="269"/>
      <c r="Q465" s="269"/>
      <c r="R465" s="269"/>
    </row>
    <row r="466">
      <c r="A466" s="269"/>
      <c r="B466" s="306"/>
      <c r="C466" s="271"/>
      <c r="D466" s="269"/>
      <c r="E466" s="269"/>
      <c r="F466" s="269"/>
      <c r="G466" s="307"/>
      <c r="H466" s="308"/>
      <c r="I466" s="275"/>
      <c r="J466" s="269"/>
      <c r="K466" s="269"/>
      <c r="L466" s="269"/>
      <c r="M466" s="269"/>
      <c r="N466" s="269"/>
      <c r="O466" s="269"/>
      <c r="P466" s="269"/>
      <c r="Q466" s="269"/>
      <c r="R466" s="269"/>
    </row>
    <row r="467">
      <c r="A467" s="269"/>
      <c r="B467" s="306"/>
      <c r="C467" s="271"/>
      <c r="D467" s="269"/>
      <c r="E467" s="269"/>
      <c r="F467" s="269"/>
      <c r="G467" s="307"/>
      <c r="H467" s="308"/>
      <c r="I467" s="275"/>
      <c r="J467" s="269"/>
      <c r="K467" s="269"/>
      <c r="L467" s="269"/>
      <c r="M467" s="269"/>
      <c r="N467" s="269"/>
      <c r="O467" s="269"/>
      <c r="P467" s="269"/>
      <c r="Q467" s="269"/>
      <c r="R467" s="269"/>
    </row>
    <row r="468">
      <c r="A468" s="269"/>
      <c r="B468" s="306"/>
      <c r="C468" s="271"/>
      <c r="D468" s="269"/>
      <c r="E468" s="269"/>
      <c r="F468" s="269"/>
      <c r="G468" s="307"/>
      <c r="H468" s="308"/>
      <c r="I468" s="275"/>
      <c r="J468" s="269"/>
      <c r="K468" s="269"/>
      <c r="L468" s="269"/>
      <c r="M468" s="269"/>
      <c r="N468" s="269"/>
      <c r="O468" s="269"/>
      <c r="P468" s="269"/>
      <c r="Q468" s="269"/>
      <c r="R468" s="269"/>
    </row>
    <row r="469">
      <c r="A469" s="269"/>
      <c r="B469" s="306"/>
      <c r="C469" s="271"/>
      <c r="D469" s="269"/>
      <c r="E469" s="269"/>
      <c r="F469" s="269"/>
      <c r="G469" s="307"/>
      <c r="H469" s="308"/>
      <c r="I469" s="275"/>
      <c r="J469" s="269"/>
      <c r="K469" s="269"/>
      <c r="L469" s="269"/>
      <c r="M469" s="269"/>
      <c r="N469" s="269"/>
      <c r="O469" s="269"/>
      <c r="P469" s="269"/>
      <c r="Q469" s="269"/>
      <c r="R469" s="269"/>
    </row>
    <row r="470">
      <c r="A470" s="269"/>
      <c r="B470" s="306"/>
      <c r="C470" s="271"/>
      <c r="D470" s="269"/>
      <c r="E470" s="269"/>
      <c r="F470" s="269"/>
      <c r="G470" s="307"/>
      <c r="H470" s="308"/>
      <c r="I470" s="275"/>
      <c r="J470" s="269"/>
      <c r="K470" s="269"/>
      <c r="L470" s="269"/>
      <c r="M470" s="269"/>
      <c r="N470" s="269"/>
      <c r="O470" s="269"/>
      <c r="P470" s="269"/>
      <c r="Q470" s="269"/>
      <c r="R470" s="269"/>
    </row>
    <row r="471">
      <c r="A471" s="269"/>
      <c r="B471" s="306"/>
      <c r="C471" s="271"/>
      <c r="D471" s="269"/>
      <c r="E471" s="269"/>
      <c r="F471" s="269"/>
      <c r="G471" s="307"/>
      <c r="H471" s="308"/>
      <c r="I471" s="275"/>
      <c r="J471" s="269"/>
      <c r="K471" s="269"/>
      <c r="L471" s="269"/>
      <c r="M471" s="269"/>
      <c r="N471" s="269"/>
      <c r="O471" s="269"/>
      <c r="P471" s="269"/>
      <c r="Q471" s="269"/>
      <c r="R471" s="269"/>
    </row>
    <row r="472">
      <c r="A472" s="269"/>
      <c r="B472" s="306"/>
      <c r="C472" s="271"/>
      <c r="D472" s="269"/>
      <c r="E472" s="269"/>
      <c r="F472" s="269"/>
      <c r="G472" s="307"/>
      <c r="H472" s="308"/>
      <c r="I472" s="275"/>
      <c r="J472" s="269"/>
      <c r="K472" s="269"/>
      <c r="L472" s="269"/>
      <c r="M472" s="269"/>
      <c r="N472" s="269"/>
      <c r="O472" s="269"/>
      <c r="P472" s="269"/>
      <c r="Q472" s="269"/>
      <c r="R472" s="269"/>
    </row>
    <row r="473">
      <c r="A473" s="269"/>
      <c r="B473" s="306"/>
      <c r="C473" s="271"/>
      <c r="D473" s="269"/>
      <c r="E473" s="269"/>
      <c r="F473" s="269"/>
      <c r="G473" s="307"/>
      <c r="H473" s="308"/>
      <c r="I473" s="275"/>
      <c r="J473" s="269"/>
      <c r="K473" s="269"/>
      <c r="L473" s="269"/>
      <c r="M473" s="269"/>
      <c r="N473" s="269"/>
      <c r="O473" s="269"/>
      <c r="P473" s="269"/>
      <c r="Q473" s="269"/>
      <c r="R473" s="269"/>
    </row>
    <row r="474">
      <c r="A474" s="269"/>
      <c r="B474" s="306"/>
      <c r="C474" s="271"/>
      <c r="D474" s="269"/>
      <c r="E474" s="269"/>
      <c r="F474" s="269"/>
      <c r="G474" s="307"/>
      <c r="H474" s="308"/>
      <c r="I474" s="275"/>
      <c r="J474" s="269"/>
      <c r="K474" s="269"/>
      <c r="L474" s="269"/>
      <c r="M474" s="269"/>
      <c r="N474" s="269"/>
      <c r="O474" s="269"/>
      <c r="P474" s="269"/>
      <c r="Q474" s="269"/>
      <c r="R474" s="269"/>
    </row>
    <row r="475">
      <c r="A475" s="269"/>
      <c r="B475" s="306"/>
      <c r="C475" s="271"/>
      <c r="D475" s="269"/>
      <c r="E475" s="269"/>
      <c r="F475" s="269"/>
      <c r="G475" s="307"/>
      <c r="H475" s="308"/>
      <c r="I475" s="275"/>
      <c r="J475" s="269"/>
      <c r="K475" s="269"/>
      <c r="L475" s="269"/>
      <c r="M475" s="269"/>
      <c r="N475" s="269"/>
      <c r="O475" s="269"/>
      <c r="P475" s="269"/>
      <c r="Q475" s="269"/>
      <c r="R475" s="269"/>
    </row>
    <row r="476">
      <c r="A476" s="269"/>
      <c r="B476" s="306"/>
      <c r="C476" s="271"/>
      <c r="D476" s="269"/>
      <c r="E476" s="269"/>
      <c r="F476" s="269"/>
      <c r="G476" s="307"/>
      <c r="H476" s="308"/>
      <c r="I476" s="275"/>
      <c r="J476" s="269"/>
      <c r="K476" s="269"/>
      <c r="L476" s="269"/>
      <c r="M476" s="269"/>
      <c r="N476" s="269"/>
      <c r="O476" s="269"/>
      <c r="P476" s="269"/>
      <c r="Q476" s="269"/>
      <c r="R476" s="269"/>
    </row>
    <row r="477">
      <c r="A477" s="269"/>
      <c r="B477" s="306"/>
      <c r="C477" s="271"/>
      <c r="D477" s="269"/>
      <c r="E477" s="269"/>
      <c r="F477" s="269"/>
      <c r="G477" s="307"/>
      <c r="H477" s="308"/>
      <c r="I477" s="275"/>
      <c r="J477" s="269"/>
      <c r="K477" s="269"/>
      <c r="L477" s="269"/>
      <c r="M477" s="269"/>
      <c r="N477" s="269"/>
      <c r="O477" s="269"/>
      <c r="P477" s="269"/>
      <c r="Q477" s="269"/>
      <c r="R477" s="269"/>
    </row>
    <row r="478">
      <c r="A478" s="269"/>
      <c r="B478" s="306"/>
      <c r="C478" s="271"/>
      <c r="D478" s="269"/>
      <c r="E478" s="269"/>
      <c r="F478" s="269"/>
      <c r="G478" s="307"/>
      <c r="H478" s="308"/>
      <c r="I478" s="275"/>
      <c r="J478" s="269"/>
      <c r="K478" s="269"/>
      <c r="L478" s="269"/>
      <c r="M478" s="269"/>
      <c r="N478" s="269"/>
      <c r="O478" s="269"/>
      <c r="P478" s="269"/>
      <c r="Q478" s="269"/>
      <c r="R478" s="269"/>
    </row>
    <row r="479">
      <c r="A479" s="269"/>
      <c r="B479" s="306"/>
      <c r="C479" s="271"/>
      <c r="D479" s="269"/>
      <c r="E479" s="269"/>
      <c r="F479" s="269"/>
      <c r="G479" s="307"/>
      <c r="H479" s="308"/>
      <c r="I479" s="275"/>
      <c r="J479" s="269"/>
      <c r="K479" s="269"/>
      <c r="L479" s="269"/>
      <c r="M479" s="269"/>
      <c r="N479" s="269"/>
      <c r="O479" s="269"/>
      <c r="P479" s="269"/>
      <c r="Q479" s="269"/>
      <c r="R479" s="269"/>
    </row>
    <row r="480">
      <c r="A480" s="269"/>
      <c r="B480" s="306"/>
      <c r="C480" s="271"/>
      <c r="D480" s="269"/>
      <c r="E480" s="269"/>
      <c r="F480" s="269"/>
      <c r="G480" s="307"/>
      <c r="H480" s="308"/>
      <c r="I480" s="275"/>
      <c r="J480" s="269"/>
      <c r="K480" s="269"/>
      <c r="L480" s="269"/>
      <c r="M480" s="269"/>
      <c r="N480" s="269"/>
      <c r="O480" s="269"/>
      <c r="P480" s="269"/>
      <c r="Q480" s="269"/>
      <c r="R480" s="269"/>
    </row>
    <row r="481">
      <c r="A481" s="269"/>
      <c r="B481" s="306"/>
      <c r="C481" s="271"/>
      <c r="D481" s="269"/>
      <c r="E481" s="269"/>
      <c r="F481" s="269"/>
      <c r="G481" s="307"/>
      <c r="H481" s="308"/>
      <c r="I481" s="275"/>
      <c r="J481" s="269"/>
      <c r="K481" s="269"/>
      <c r="L481" s="269"/>
      <c r="M481" s="269"/>
      <c r="N481" s="269"/>
      <c r="O481" s="269"/>
      <c r="P481" s="269"/>
      <c r="Q481" s="269"/>
      <c r="R481" s="269"/>
    </row>
    <row r="482">
      <c r="A482" s="269"/>
      <c r="B482" s="306"/>
      <c r="C482" s="271"/>
      <c r="D482" s="269"/>
      <c r="E482" s="269"/>
      <c r="F482" s="269"/>
      <c r="G482" s="307"/>
      <c r="H482" s="308"/>
      <c r="I482" s="275"/>
      <c r="J482" s="269"/>
      <c r="K482" s="269"/>
      <c r="L482" s="269"/>
      <c r="M482" s="269"/>
      <c r="N482" s="269"/>
      <c r="O482" s="269"/>
      <c r="P482" s="269"/>
      <c r="Q482" s="269"/>
      <c r="R482" s="269"/>
    </row>
    <row r="483">
      <c r="A483" s="269"/>
      <c r="B483" s="306"/>
      <c r="C483" s="271"/>
      <c r="D483" s="269"/>
      <c r="E483" s="269"/>
      <c r="F483" s="269"/>
      <c r="G483" s="307"/>
      <c r="H483" s="308"/>
      <c r="I483" s="275"/>
      <c r="J483" s="269"/>
      <c r="K483" s="269"/>
      <c r="L483" s="269"/>
      <c r="M483" s="269"/>
      <c r="N483" s="269"/>
      <c r="O483" s="269"/>
      <c r="P483" s="269"/>
      <c r="Q483" s="269"/>
      <c r="R483" s="269"/>
    </row>
    <row r="484">
      <c r="A484" s="269"/>
      <c r="B484" s="306"/>
      <c r="C484" s="271"/>
      <c r="D484" s="269"/>
      <c r="E484" s="269"/>
      <c r="F484" s="269"/>
      <c r="G484" s="307"/>
      <c r="H484" s="308"/>
      <c r="I484" s="275"/>
      <c r="J484" s="269"/>
      <c r="K484" s="269"/>
      <c r="L484" s="269"/>
      <c r="M484" s="269"/>
      <c r="N484" s="269"/>
      <c r="O484" s="269"/>
      <c r="P484" s="269"/>
      <c r="Q484" s="269"/>
      <c r="R484" s="269"/>
    </row>
    <row r="485">
      <c r="A485" s="269"/>
      <c r="B485" s="306"/>
      <c r="C485" s="271"/>
      <c r="D485" s="269"/>
      <c r="E485" s="269"/>
      <c r="F485" s="269"/>
      <c r="G485" s="307"/>
      <c r="H485" s="308"/>
      <c r="I485" s="275"/>
      <c r="J485" s="269"/>
      <c r="K485" s="269"/>
      <c r="L485" s="269"/>
      <c r="M485" s="269"/>
      <c r="N485" s="269"/>
      <c r="O485" s="269"/>
      <c r="P485" s="269"/>
      <c r="Q485" s="269"/>
      <c r="R485" s="269"/>
    </row>
    <row r="486">
      <c r="A486" s="269"/>
      <c r="B486" s="306"/>
      <c r="C486" s="271"/>
      <c r="D486" s="269"/>
      <c r="E486" s="269"/>
      <c r="F486" s="269"/>
      <c r="G486" s="307"/>
      <c r="H486" s="308"/>
      <c r="I486" s="275"/>
      <c r="J486" s="269"/>
      <c r="K486" s="269"/>
      <c r="L486" s="269"/>
      <c r="M486" s="269"/>
      <c r="N486" s="269"/>
      <c r="O486" s="269"/>
      <c r="P486" s="269"/>
      <c r="Q486" s="269"/>
      <c r="R486" s="269"/>
    </row>
    <row r="487">
      <c r="A487" s="269"/>
      <c r="B487" s="306"/>
      <c r="C487" s="271"/>
      <c r="D487" s="269"/>
      <c r="E487" s="269"/>
      <c r="F487" s="269"/>
      <c r="G487" s="307"/>
      <c r="H487" s="308"/>
      <c r="I487" s="275"/>
      <c r="J487" s="269"/>
      <c r="K487" s="269"/>
      <c r="L487" s="269"/>
      <c r="M487" s="269"/>
      <c r="N487" s="269"/>
      <c r="O487" s="269"/>
      <c r="P487" s="269"/>
      <c r="Q487" s="269"/>
      <c r="R487" s="269"/>
    </row>
    <row r="488">
      <c r="A488" s="269"/>
      <c r="B488" s="306"/>
      <c r="C488" s="271"/>
      <c r="D488" s="269"/>
      <c r="E488" s="269"/>
      <c r="F488" s="269"/>
      <c r="G488" s="307"/>
      <c r="H488" s="308"/>
      <c r="I488" s="275"/>
      <c r="J488" s="269"/>
      <c r="K488" s="269"/>
      <c r="L488" s="269"/>
      <c r="M488" s="269"/>
      <c r="N488" s="269"/>
      <c r="O488" s="269"/>
      <c r="P488" s="269"/>
      <c r="Q488" s="269"/>
      <c r="R488" s="269"/>
    </row>
    <row r="489">
      <c r="A489" s="269"/>
      <c r="B489" s="306"/>
      <c r="C489" s="271"/>
      <c r="D489" s="269"/>
      <c r="E489" s="269"/>
      <c r="F489" s="269"/>
      <c r="G489" s="307"/>
      <c r="H489" s="308"/>
      <c r="I489" s="275"/>
      <c r="J489" s="269"/>
      <c r="K489" s="269"/>
      <c r="L489" s="269"/>
      <c r="M489" s="269"/>
      <c r="N489" s="269"/>
      <c r="O489" s="269"/>
      <c r="P489" s="269"/>
      <c r="Q489" s="269"/>
      <c r="R489" s="269"/>
    </row>
    <row r="490">
      <c r="A490" s="269"/>
      <c r="B490" s="306"/>
      <c r="C490" s="271"/>
      <c r="D490" s="269"/>
      <c r="E490" s="269"/>
      <c r="F490" s="269"/>
      <c r="G490" s="307"/>
      <c r="H490" s="308"/>
      <c r="I490" s="275"/>
      <c r="J490" s="269"/>
      <c r="K490" s="269"/>
      <c r="L490" s="269"/>
      <c r="M490" s="269"/>
      <c r="N490" s="269"/>
      <c r="O490" s="269"/>
      <c r="P490" s="269"/>
      <c r="Q490" s="269"/>
      <c r="R490" s="269"/>
    </row>
    <row r="491">
      <c r="A491" s="269"/>
      <c r="B491" s="306"/>
      <c r="C491" s="271"/>
      <c r="D491" s="269"/>
      <c r="E491" s="269"/>
      <c r="F491" s="269"/>
      <c r="G491" s="307"/>
      <c r="H491" s="308"/>
      <c r="I491" s="275"/>
      <c r="J491" s="269"/>
      <c r="K491" s="269"/>
      <c r="L491" s="269"/>
      <c r="M491" s="269"/>
      <c r="N491" s="269"/>
      <c r="O491" s="269"/>
      <c r="P491" s="269"/>
      <c r="Q491" s="269"/>
      <c r="R491" s="269"/>
    </row>
    <row r="492">
      <c r="A492" s="269"/>
      <c r="B492" s="306"/>
      <c r="C492" s="271"/>
      <c r="D492" s="269"/>
      <c r="E492" s="269"/>
      <c r="F492" s="269"/>
      <c r="G492" s="307"/>
      <c r="H492" s="308"/>
      <c r="I492" s="275"/>
      <c r="J492" s="269"/>
      <c r="K492" s="269"/>
      <c r="L492" s="269"/>
      <c r="M492" s="269"/>
      <c r="N492" s="269"/>
      <c r="O492" s="269"/>
      <c r="P492" s="269"/>
      <c r="Q492" s="269"/>
      <c r="R492" s="269"/>
    </row>
    <row r="493">
      <c r="A493" s="269"/>
      <c r="B493" s="306"/>
      <c r="C493" s="271"/>
      <c r="D493" s="269"/>
      <c r="E493" s="269"/>
      <c r="F493" s="269"/>
      <c r="G493" s="307"/>
      <c r="H493" s="308"/>
      <c r="I493" s="275"/>
      <c r="J493" s="269"/>
      <c r="K493" s="269"/>
      <c r="L493" s="269"/>
      <c r="M493" s="269"/>
      <c r="N493" s="269"/>
      <c r="O493" s="269"/>
      <c r="P493" s="269"/>
      <c r="Q493" s="269"/>
      <c r="R493" s="269"/>
    </row>
    <row r="494">
      <c r="A494" s="269"/>
      <c r="B494" s="306"/>
      <c r="C494" s="271"/>
      <c r="D494" s="269"/>
      <c r="E494" s="269"/>
      <c r="F494" s="269"/>
      <c r="G494" s="307"/>
      <c r="H494" s="308"/>
      <c r="I494" s="275"/>
      <c r="J494" s="269"/>
      <c r="K494" s="269"/>
      <c r="L494" s="269"/>
      <c r="M494" s="269"/>
      <c r="N494" s="269"/>
      <c r="O494" s="269"/>
      <c r="P494" s="269"/>
      <c r="Q494" s="269"/>
      <c r="R494" s="269"/>
    </row>
    <row r="495">
      <c r="A495" s="269"/>
      <c r="B495" s="306"/>
      <c r="C495" s="271"/>
      <c r="D495" s="269"/>
      <c r="E495" s="269"/>
      <c r="F495" s="269"/>
      <c r="G495" s="307"/>
      <c r="H495" s="308"/>
      <c r="I495" s="275"/>
      <c r="J495" s="269"/>
      <c r="K495" s="269"/>
      <c r="L495" s="269"/>
      <c r="M495" s="269"/>
      <c r="N495" s="269"/>
      <c r="O495" s="269"/>
      <c r="P495" s="269"/>
      <c r="Q495" s="269"/>
      <c r="R495" s="269"/>
    </row>
    <row r="496">
      <c r="A496" s="269"/>
      <c r="B496" s="306"/>
      <c r="C496" s="271"/>
      <c r="D496" s="269"/>
      <c r="E496" s="269"/>
      <c r="F496" s="269"/>
      <c r="G496" s="307"/>
      <c r="H496" s="308"/>
      <c r="I496" s="275"/>
      <c r="J496" s="269"/>
      <c r="K496" s="269"/>
      <c r="L496" s="269"/>
      <c r="M496" s="269"/>
      <c r="N496" s="269"/>
      <c r="O496" s="269"/>
      <c r="P496" s="269"/>
      <c r="Q496" s="269"/>
      <c r="R496" s="269"/>
    </row>
    <row r="497">
      <c r="A497" s="269"/>
      <c r="B497" s="306"/>
      <c r="C497" s="271"/>
      <c r="D497" s="269"/>
      <c r="E497" s="269"/>
      <c r="F497" s="269"/>
      <c r="G497" s="307"/>
      <c r="H497" s="308"/>
      <c r="I497" s="275"/>
      <c r="J497" s="269"/>
      <c r="K497" s="269"/>
      <c r="L497" s="269"/>
      <c r="M497" s="269"/>
      <c r="N497" s="269"/>
      <c r="O497" s="269"/>
      <c r="P497" s="269"/>
      <c r="Q497" s="269"/>
      <c r="R497" s="269"/>
    </row>
    <row r="498">
      <c r="A498" s="269"/>
      <c r="B498" s="306"/>
      <c r="C498" s="271"/>
      <c r="D498" s="269"/>
      <c r="E498" s="269"/>
      <c r="F498" s="269"/>
      <c r="G498" s="307"/>
      <c r="H498" s="308"/>
      <c r="I498" s="275"/>
      <c r="J498" s="269"/>
      <c r="K498" s="269"/>
      <c r="L498" s="269"/>
      <c r="M498" s="269"/>
      <c r="N498" s="269"/>
      <c r="O498" s="269"/>
      <c r="P498" s="269"/>
      <c r="Q498" s="269"/>
      <c r="R498" s="269"/>
    </row>
    <row r="499">
      <c r="A499" s="269"/>
      <c r="B499" s="306"/>
      <c r="C499" s="271"/>
      <c r="D499" s="269"/>
      <c r="E499" s="269"/>
      <c r="F499" s="269"/>
      <c r="G499" s="307"/>
      <c r="H499" s="308"/>
      <c r="I499" s="275"/>
      <c r="J499" s="269"/>
      <c r="K499" s="269"/>
      <c r="L499" s="269"/>
      <c r="M499" s="269"/>
      <c r="N499" s="269"/>
      <c r="O499" s="269"/>
      <c r="P499" s="269"/>
      <c r="Q499" s="269"/>
      <c r="R499" s="269"/>
    </row>
    <row r="500">
      <c r="A500" s="269"/>
      <c r="B500" s="306"/>
      <c r="C500" s="271"/>
      <c r="D500" s="269"/>
      <c r="E500" s="269"/>
      <c r="F500" s="269"/>
      <c r="G500" s="307"/>
      <c r="H500" s="308"/>
      <c r="I500" s="275"/>
      <c r="J500" s="269"/>
      <c r="K500" s="269"/>
      <c r="L500" s="269"/>
      <c r="M500" s="269"/>
      <c r="N500" s="269"/>
      <c r="O500" s="269"/>
      <c r="P500" s="269"/>
      <c r="Q500" s="269"/>
      <c r="R500" s="269"/>
    </row>
    <row r="501">
      <c r="A501" s="269"/>
      <c r="B501" s="306"/>
      <c r="C501" s="271"/>
      <c r="D501" s="269"/>
      <c r="E501" s="269"/>
      <c r="F501" s="269"/>
      <c r="G501" s="307"/>
      <c r="H501" s="308"/>
      <c r="I501" s="275"/>
      <c r="J501" s="269"/>
      <c r="K501" s="269"/>
      <c r="L501" s="269"/>
      <c r="M501" s="269"/>
      <c r="N501" s="269"/>
      <c r="O501" s="269"/>
      <c r="P501" s="269"/>
      <c r="Q501" s="269"/>
      <c r="R501" s="269"/>
    </row>
    <row r="502">
      <c r="A502" s="269"/>
      <c r="B502" s="306"/>
      <c r="C502" s="271"/>
      <c r="D502" s="269"/>
      <c r="E502" s="269"/>
      <c r="F502" s="269"/>
      <c r="G502" s="307"/>
      <c r="H502" s="308"/>
      <c r="I502" s="275"/>
      <c r="J502" s="269"/>
      <c r="K502" s="269"/>
      <c r="L502" s="269"/>
      <c r="M502" s="269"/>
      <c r="N502" s="269"/>
      <c r="O502" s="269"/>
      <c r="P502" s="269"/>
      <c r="Q502" s="269"/>
      <c r="R502" s="269"/>
    </row>
    <row r="503">
      <c r="A503" s="269"/>
      <c r="B503" s="306"/>
      <c r="C503" s="271"/>
      <c r="D503" s="269"/>
      <c r="E503" s="269"/>
      <c r="F503" s="269"/>
      <c r="G503" s="307"/>
      <c r="H503" s="308"/>
      <c r="I503" s="275"/>
      <c r="J503" s="269"/>
      <c r="K503" s="269"/>
      <c r="L503" s="269"/>
      <c r="M503" s="269"/>
      <c r="N503" s="269"/>
      <c r="O503" s="269"/>
      <c r="P503" s="269"/>
      <c r="Q503" s="269"/>
      <c r="R503" s="269"/>
    </row>
    <row r="504">
      <c r="A504" s="269"/>
      <c r="B504" s="306"/>
      <c r="C504" s="271"/>
      <c r="D504" s="269"/>
      <c r="E504" s="269"/>
      <c r="F504" s="269"/>
      <c r="G504" s="307"/>
      <c r="H504" s="308"/>
      <c r="I504" s="275"/>
      <c r="J504" s="269"/>
      <c r="K504" s="269"/>
      <c r="L504" s="269"/>
      <c r="M504" s="269"/>
      <c r="N504" s="269"/>
      <c r="O504" s="269"/>
      <c r="P504" s="269"/>
      <c r="Q504" s="269"/>
      <c r="R504" s="269"/>
    </row>
    <row r="505">
      <c r="A505" s="269"/>
      <c r="B505" s="306"/>
      <c r="C505" s="271"/>
      <c r="D505" s="269"/>
      <c r="E505" s="269"/>
      <c r="F505" s="269"/>
      <c r="G505" s="307"/>
      <c r="H505" s="308"/>
      <c r="I505" s="275"/>
      <c r="J505" s="269"/>
      <c r="K505" s="269"/>
      <c r="L505" s="269"/>
      <c r="M505" s="269"/>
      <c r="N505" s="269"/>
      <c r="O505" s="269"/>
      <c r="P505" s="269"/>
      <c r="Q505" s="269"/>
      <c r="R505" s="269"/>
    </row>
    <row r="506">
      <c r="A506" s="269"/>
      <c r="B506" s="306"/>
      <c r="C506" s="271"/>
      <c r="D506" s="269"/>
      <c r="E506" s="269"/>
      <c r="F506" s="269"/>
      <c r="G506" s="307"/>
      <c r="H506" s="308"/>
      <c r="I506" s="275"/>
      <c r="J506" s="269"/>
      <c r="K506" s="269"/>
      <c r="L506" s="269"/>
      <c r="M506" s="269"/>
      <c r="N506" s="269"/>
      <c r="O506" s="269"/>
      <c r="P506" s="269"/>
      <c r="Q506" s="269"/>
      <c r="R506" s="269"/>
    </row>
    <row r="507">
      <c r="A507" s="269"/>
      <c r="B507" s="306"/>
      <c r="C507" s="271"/>
      <c r="D507" s="269"/>
      <c r="E507" s="269"/>
      <c r="F507" s="269"/>
      <c r="G507" s="307"/>
      <c r="H507" s="308"/>
      <c r="I507" s="275"/>
      <c r="J507" s="269"/>
      <c r="K507" s="269"/>
      <c r="L507" s="269"/>
      <c r="M507" s="269"/>
      <c r="N507" s="269"/>
      <c r="O507" s="269"/>
      <c r="P507" s="269"/>
      <c r="Q507" s="269"/>
      <c r="R507" s="269"/>
    </row>
    <row r="508">
      <c r="A508" s="269"/>
      <c r="B508" s="306"/>
      <c r="C508" s="271"/>
      <c r="D508" s="269"/>
      <c r="E508" s="269"/>
      <c r="F508" s="269"/>
      <c r="G508" s="307"/>
      <c r="H508" s="308"/>
      <c r="I508" s="275"/>
      <c r="J508" s="269"/>
      <c r="K508" s="269"/>
      <c r="L508" s="269"/>
      <c r="M508" s="269"/>
      <c r="N508" s="269"/>
      <c r="O508" s="269"/>
      <c r="P508" s="269"/>
      <c r="Q508" s="269"/>
      <c r="R508" s="269"/>
    </row>
    <row r="509">
      <c r="A509" s="269"/>
      <c r="B509" s="306"/>
      <c r="C509" s="271"/>
      <c r="D509" s="269"/>
      <c r="E509" s="269"/>
      <c r="F509" s="269"/>
      <c r="G509" s="307"/>
      <c r="H509" s="308"/>
      <c r="I509" s="275"/>
      <c r="J509" s="269"/>
      <c r="K509" s="269"/>
      <c r="L509" s="269"/>
      <c r="M509" s="269"/>
      <c r="N509" s="269"/>
      <c r="O509" s="269"/>
      <c r="P509" s="269"/>
      <c r="Q509" s="269"/>
      <c r="R509" s="269"/>
    </row>
    <row r="510">
      <c r="A510" s="269"/>
      <c r="B510" s="306"/>
      <c r="C510" s="271"/>
      <c r="D510" s="269"/>
      <c r="E510" s="269"/>
      <c r="F510" s="269"/>
      <c r="G510" s="307"/>
      <c r="H510" s="308"/>
      <c r="I510" s="275"/>
      <c r="J510" s="269"/>
      <c r="K510" s="269"/>
      <c r="L510" s="269"/>
      <c r="M510" s="269"/>
      <c r="N510" s="269"/>
      <c r="O510" s="269"/>
      <c r="P510" s="269"/>
      <c r="Q510" s="269"/>
      <c r="R510" s="269"/>
    </row>
    <row r="511">
      <c r="A511" s="269"/>
      <c r="B511" s="306"/>
      <c r="C511" s="271"/>
      <c r="D511" s="269"/>
      <c r="E511" s="269"/>
      <c r="F511" s="269"/>
      <c r="G511" s="307"/>
      <c r="H511" s="308"/>
      <c r="I511" s="275"/>
      <c r="J511" s="269"/>
      <c r="K511" s="269"/>
      <c r="L511" s="269"/>
      <c r="M511" s="269"/>
      <c r="N511" s="269"/>
      <c r="O511" s="269"/>
      <c r="P511" s="269"/>
      <c r="Q511" s="269"/>
      <c r="R511" s="269"/>
    </row>
    <row r="512">
      <c r="A512" s="269"/>
      <c r="B512" s="306"/>
      <c r="C512" s="271"/>
      <c r="D512" s="269"/>
      <c r="E512" s="269"/>
      <c r="F512" s="269"/>
      <c r="G512" s="307"/>
      <c r="H512" s="308"/>
      <c r="I512" s="275"/>
      <c r="J512" s="269"/>
      <c r="K512" s="269"/>
      <c r="L512" s="269"/>
      <c r="M512" s="269"/>
      <c r="N512" s="269"/>
      <c r="O512" s="269"/>
      <c r="P512" s="269"/>
      <c r="Q512" s="269"/>
      <c r="R512" s="269"/>
    </row>
    <row r="513">
      <c r="A513" s="269"/>
      <c r="B513" s="306"/>
      <c r="C513" s="271"/>
      <c r="D513" s="269"/>
      <c r="E513" s="269"/>
      <c r="F513" s="269"/>
      <c r="G513" s="307"/>
      <c r="H513" s="308"/>
      <c r="I513" s="275"/>
      <c r="J513" s="269"/>
      <c r="K513" s="269"/>
      <c r="L513" s="269"/>
      <c r="M513" s="269"/>
      <c r="N513" s="269"/>
      <c r="O513" s="269"/>
      <c r="P513" s="269"/>
      <c r="Q513" s="269"/>
      <c r="R513" s="269"/>
    </row>
    <row r="514">
      <c r="A514" s="269"/>
      <c r="B514" s="306"/>
      <c r="C514" s="271"/>
      <c r="D514" s="269"/>
      <c r="E514" s="269"/>
      <c r="F514" s="269"/>
      <c r="G514" s="307"/>
      <c r="H514" s="308"/>
      <c r="I514" s="275"/>
      <c r="J514" s="269"/>
      <c r="K514" s="269"/>
      <c r="L514" s="269"/>
      <c r="M514" s="269"/>
      <c r="N514" s="269"/>
      <c r="O514" s="269"/>
      <c r="P514" s="269"/>
      <c r="Q514" s="269"/>
      <c r="R514" s="269"/>
    </row>
    <row r="515">
      <c r="A515" s="269"/>
      <c r="B515" s="306"/>
      <c r="C515" s="271"/>
      <c r="D515" s="269"/>
      <c r="E515" s="269"/>
      <c r="F515" s="269"/>
      <c r="G515" s="307"/>
      <c r="H515" s="308"/>
      <c r="I515" s="275"/>
      <c r="J515" s="269"/>
      <c r="K515" s="269"/>
      <c r="L515" s="269"/>
      <c r="M515" s="269"/>
      <c r="N515" s="269"/>
      <c r="O515" s="269"/>
      <c r="P515" s="269"/>
      <c r="Q515" s="269"/>
      <c r="R515" s="269"/>
    </row>
    <row r="516">
      <c r="A516" s="269"/>
      <c r="B516" s="306"/>
      <c r="C516" s="271"/>
      <c r="D516" s="269"/>
      <c r="E516" s="269"/>
      <c r="F516" s="269"/>
      <c r="G516" s="307"/>
      <c r="H516" s="308"/>
      <c r="I516" s="275"/>
      <c r="J516" s="269"/>
      <c r="K516" s="269"/>
      <c r="L516" s="269"/>
      <c r="M516" s="269"/>
      <c r="N516" s="269"/>
      <c r="O516" s="269"/>
      <c r="P516" s="269"/>
      <c r="Q516" s="269"/>
      <c r="R516" s="269"/>
    </row>
    <row r="517">
      <c r="A517" s="269"/>
      <c r="B517" s="306"/>
      <c r="C517" s="271"/>
      <c r="D517" s="269"/>
      <c r="E517" s="269"/>
      <c r="F517" s="269"/>
      <c r="G517" s="307"/>
      <c r="H517" s="308"/>
      <c r="I517" s="275"/>
      <c r="J517" s="269"/>
      <c r="K517" s="269"/>
      <c r="L517" s="269"/>
      <c r="M517" s="269"/>
      <c r="N517" s="269"/>
      <c r="O517" s="269"/>
      <c r="P517" s="269"/>
      <c r="Q517" s="269"/>
      <c r="R517" s="269"/>
    </row>
    <row r="518">
      <c r="A518" s="269"/>
      <c r="B518" s="306"/>
      <c r="C518" s="271"/>
      <c r="D518" s="269"/>
      <c r="E518" s="269"/>
      <c r="F518" s="269"/>
      <c r="G518" s="307"/>
      <c r="H518" s="308"/>
      <c r="I518" s="275"/>
      <c r="J518" s="269"/>
      <c r="K518" s="269"/>
      <c r="L518" s="269"/>
      <c r="M518" s="269"/>
      <c r="N518" s="269"/>
      <c r="O518" s="269"/>
      <c r="P518" s="269"/>
      <c r="Q518" s="269"/>
      <c r="R518" s="269"/>
    </row>
    <row r="519">
      <c r="A519" s="269"/>
      <c r="B519" s="306"/>
      <c r="C519" s="271"/>
      <c r="D519" s="269"/>
      <c r="E519" s="269"/>
      <c r="F519" s="269"/>
      <c r="G519" s="307"/>
      <c r="H519" s="308"/>
      <c r="I519" s="275"/>
      <c r="J519" s="269"/>
      <c r="K519" s="269"/>
      <c r="L519" s="269"/>
      <c r="M519" s="269"/>
      <c r="N519" s="269"/>
      <c r="O519" s="269"/>
      <c r="P519" s="269"/>
      <c r="Q519" s="269"/>
      <c r="R519" s="269"/>
    </row>
    <row r="520">
      <c r="A520" s="269"/>
      <c r="B520" s="306"/>
      <c r="C520" s="271"/>
      <c r="D520" s="269"/>
      <c r="E520" s="269"/>
      <c r="F520" s="269"/>
      <c r="G520" s="307"/>
      <c r="H520" s="308"/>
      <c r="I520" s="275"/>
      <c r="J520" s="269"/>
      <c r="K520" s="269"/>
      <c r="L520" s="269"/>
      <c r="M520" s="269"/>
      <c r="N520" s="269"/>
      <c r="O520" s="269"/>
      <c r="P520" s="269"/>
      <c r="Q520" s="269"/>
      <c r="R520" s="269"/>
    </row>
    <row r="521">
      <c r="A521" s="269"/>
      <c r="B521" s="306"/>
      <c r="C521" s="271"/>
      <c r="D521" s="269"/>
      <c r="E521" s="269"/>
      <c r="F521" s="269"/>
      <c r="G521" s="307"/>
      <c r="H521" s="308"/>
      <c r="I521" s="275"/>
      <c r="J521" s="269"/>
      <c r="K521" s="269"/>
      <c r="L521" s="269"/>
      <c r="M521" s="269"/>
      <c r="N521" s="269"/>
      <c r="O521" s="269"/>
      <c r="P521" s="269"/>
      <c r="Q521" s="269"/>
      <c r="R521" s="269"/>
    </row>
    <row r="522">
      <c r="A522" s="269"/>
      <c r="B522" s="306"/>
      <c r="C522" s="271"/>
      <c r="D522" s="269"/>
      <c r="E522" s="269"/>
      <c r="F522" s="269"/>
      <c r="G522" s="307"/>
      <c r="H522" s="308"/>
      <c r="I522" s="275"/>
      <c r="J522" s="269"/>
      <c r="K522" s="269"/>
      <c r="L522" s="269"/>
      <c r="M522" s="269"/>
      <c r="N522" s="269"/>
      <c r="O522" s="269"/>
      <c r="P522" s="269"/>
      <c r="Q522" s="269"/>
      <c r="R522" s="269"/>
    </row>
    <row r="523">
      <c r="A523" s="269"/>
      <c r="B523" s="306"/>
      <c r="C523" s="271"/>
      <c r="D523" s="269"/>
      <c r="E523" s="269"/>
      <c r="F523" s="269"/>
      <c r="G523" s="307"/>
      <c r="H523" s="308"/>
      <c r="I523" s="275"/>
      <c r="J523" s="269"/>
      <c r="K523" s="269"/>
      <c r="L523" s="269"/>
      <c r="M523" s="269"/>
      <c r="N523" s="269"/>
      <c r="O523" s="269"/>
      <c r="P523" s="269"/>
      <c r="Q523" s="269"/>
      <c r="R523" s="269"/>
    </row>
    <row r="524">
      <c r="A524" s="269"/>
      <c r="B524" s="306"/>
      <c r="C524" s="271"/>
      <c r="D524" s="269"/>
      <c r="E524" s="269"/>
      <c r="F524" s="269"/>
      <c r="G524" s="307"/>
      <c r="H524" s="308"/>
      <c r="I524" s="275"/>
      <c r="J524" s="269"/>
      <c r="K524" s="269"/>
      <c r="L524" s="269"/>
      <c r="M524" s="269"/>
      <c r="N524" s="269"/>
      <c r="O524" s="269"/>
      <c r="P524" s="269"/>
      <c r="Q524" s="269"/>
      <c r="R524" s="269"/>
    </row>
    <row r="525">
      <c r="A525" s="269"/>
      <c r="B525" s="306"/>
      <c r="C525" s="271"/>
      <c r="D525" s="269"/>
      <c r="E525" s="269"/>
      <c r="F525" s="269"/>
      <c r="G525" s="307"/>
      <c r="H525" s="308"/>
      <c r="I525" s="275"/>
      <c r="J525" s="269"/>
      <c r="K525" s="269"/>
      <c r="L525" s="269"/>
      <c r="M525" s="269"/>
      <c r="N525" s="269"/>
      <c r="O525" s="269"/>
      <c r="P525" s="269"/>
      <c r="Q525" s="269"/>
      <c r="R525" s="269"/>
    </row>
    <row r="526">
      <c r="A526" s="269"/>
      <c r="B526" s="306"/>
      <c r="C526" s="271"/>
      <c r="D526" s="269"/>
      <c r="E526" s="269"/>
      <c r="F526" s="269"/>
      <c r="G526" s="307"/>
      <c r="H526" s="308"/>
      <c r="I526" s="275"/>
      <c r="J526" s="269"/>
      <c r="K526" s="269"/>
      <c r="L526" s="269"/>
      <c r="M526" s="269"/>
      <c r="N526" s="269"/>
      <c r="O526" s="269"/>
      <c r="P526" s="269"/>
      <c r="Q526" s="269"/>
      <c r="R526" s="269"/>
    </row>
    <row r="527">
      <c r="A527" s="269"/>
      <c r="B527" s="306"/>
      <c r="C527" s="271"/>
      <c r="D527" s="269"/>
      <c r="E527" s="269"/>
      <c r="F527" s="269"/>
      <c r="G527" s="307"/>
      <c r="H527" s="308"/>
      <c r="I527" s="275"/>
      <c r="J527" s="269"/>
      <c r="K527" s="269"/>
      <c r="L527" s="269"/>
      <c r="M527" s="269"/>
      <c r="N527" s="269"/>
      <c r="O527" s="269"/>
      <c r="P527" s="269"/>
      <c r="Q527" s="269"/>
      <c r="R527" s="269"/>
    </row>
    <row r="528">
      <c r="A528" s="269"/>
      <c r="B528" s="306"/>
      <c r="C528" s="271"/>
      <c r="D528" s="269"/>
      <c r="E528" s="269"/>
      <c r="F528" s="269"/>
      <c r="G528" s="307"/>
      <c r="H528" s="308"/>
      <c r="I528" s="275"/>
      <c r="J528" s="269"/>
      <c r="K528" s="269"/>
      <c r="L528" s="269"/>
      <c r="M528" s="269"/>
      <c r="N528" s="269"/>
      <c r="O528" s="269"/>
      <c r="P528" s="269"/>
      <c r="Q528" s="269"/>
      <c r="R528" s="269"/>
    </row>
    <row r="529">
      <c r="A529" s="269"/>
      <c r="B529" s="306"/>
      <c r="C529" s="271"/>
      <c r="D529" s="269"/>
      <c r="E529" s="269"/>
      <c r="F529" s="269"/>
      <c r="G529" s="307"/>
      <c r="H529" s="308"/>
      <c r="I529" s="275"/>
      <c r="J529" s="269"/>
      <c r="K529" s="269"/>
      <c r="L529" s="269"/>
      <c r="M529" s="269"/>
      <c r="N529" s="269"/>
      <c r="O529" s="269"/>
      <c r="P529" s="269"/>
      <c r="Q529" s="269"/>
      <c r="R529" s="269"/>
    </row>
    <row r="530">
      <c r="A530" s="269"/>
      <c r="B530" s="306"/>
      <c r="C530" s="271"/>
      <c r="D530" s="269"/>
      <c r="E530" s="269"/>
      <c r="F530" s="269"/>
      <c r="G530" s="307"/>
      <c r="H530" s="308"/>
      <c r="I530" s="275"/>
      <c r="J530" s="269"/>
      <c r="K530" s="269"/>
      <c r="L530" s="269"/>
      <c r="M530" s="269"/>
      <c r="N530" s="269"/>
      <c r="O530" s="269"/>
      <c r="P530" s="269"/>
      <c r="Q530" s="269"/>
      <c r="R530" s="269"/>
    </row>
    <row r="531">
      <c r="A531" s="269"/>
      <c r="B531" s="306"/>
      <c r="C531" s="271"/>
      <c r="D531" s="269"/>
      <c r="E531" s="269"/>
      <c r="F531" s="269"/>
      <c r="G531" s="307"/>
      <c r="H531" s="308"/>
      <c r="I531" s="275"/>
      <c r="J531" s="269"/>
      <c r="K531" s="269"/>
      <c r="L531" s="269"/>
      <c r="M531" s="269"/>
      <c r="N531" s="269"/>
      <c r="O531" s="269"/>
      <c r="P531" s="269"/>
      <c r="Q531" s="269"/>
      <c r="R531" s="269"/>
    </row>
    <row r="532">
      <c r="A532" s="269"/>
      <c r="B532" s="306"/>
      <c r="C532" s="271"/>
      <c r="D532" s="269"/>
      <c r="E532" s="269"/>
      <c r="F532" s="269"/>
      <c r="G532" s="307"/>
      <c r="H532" s="308"/>
      <c r="I532" s="275"/>
      <c r="J532" s="269"/>
      <c r="K532" s="269"/>
      <c r="L532" s="269"/>
      <c r="M532" s="269"/>
      <c r="N532" s="269"/>
      <c r="O532" s="269"/>
      <c r="P532" s="269"/>
      <c r="Q532" s="269"/>
      <c r="R532" s="269"/>
    </row>
    <row r="533">
      <c r="A533" s="269"/>
      <c r="B533" s="306"/>
      <c r="C533" s="271"/>
      <c r="D533" s="269"/>
      <c r="E533" s="269"/>
      <c r="F533" s="269"/>
      <c r="G533" s="307"/>
      <c r="H533" s="308"/>
      <c r="I533" s="275"/>
      <c r="J533" s="269"/>
      <c r="K533" s="269"/>
      <c r="L533" s="269"/>
      <c r="M533" s="269"/>
      <c r="N533" s="269"/>
      <c r="O533" s="269"/>
      <c r="P533" s="269"/>
      <c r="Q533" s="269"/>
      <c r="R533" s="269"/>
    </row>
    <row r="534">
      <c r="A534" s="269"/>
      <c r="B534" s="306"/>
      <c r="C534" s="271"/>
      <c r="D534" s="269"/>
      <c r="E534" s="269"/>
      <c r="F534" s="269"/>
      <c r="G534" s="307"/>
      <c r="H534" s="308"/>
      <c r="I534" s="275"/>
      <c r="J534" s="269"/>
      <c r="K534" s="269"/>
      <c r="L534" s="269"/>
      <c r="M534" s="269"/>
      <c r="N534" s="269"/>
      <c r="O534" s="269"/>
      <c r="P534" s="269"/>
      <c r="Q534" s="269"/>
      <c r="R534" s="269"/>
    </row>
    <row r="535">
      <c r="A535" s="269"/>
      <c r="B535" s="306"/>
      <c r="C535" s="271"/>
      <c r="D535" s="269"/>
      <c r="E535" s="269"/>
      <c r="F535" s="269"/>
      <c r="G535" s="307"/>
      <c r="H535" s="308"/>
      <c r="I535" s="275"/>
      <c r="J535" s="269"/>
      <c r="K535" s="269"/>
      <c r="L535" s="269"/>
      <c r="M535" s="269"/>
      <c r="N535" s="269"/>
      <c r="O535" s="269"/>
      <c r="P535" s="269"/>
      <c r="Q535" s="269"/>
      <c r="R535" s="269"/>
    </row>
    <row r="536">
      <c r="A536" s="269"/>
      <c r="B536" s="306"/>
      <c r="C536" s="271"/>
      <c r="D536" s="269"/>
      <c r="E536" s="269"/>
      <c r="F536" s="269"/>
      <c r="G536" s="307"/>
      <c r="H536" s="308"/>
      <c r="I536" s="275"/>
      <c r="J536" s="269"/>
      <c r="K536" s="269"/>
      <c r="L536" s="269"/>
      <c r="M536" s="269"/>
      <c r="N536" s="269"/>
      <c r="O536" s="269"/>
      <c r="P536" s="269"/>
      <c r="Q536" s="269"/>
      <c r="R536" s="269"/>
    </row>
    <row r="537">
      <c r="A537" s="269"/>
      <c r="B537" s="306"/>
      <c r="C537" s="271"/>
      <c r="D537" s="269"/>
      <c r="E537" s="269"/>
      <c r="F537" s="269"/>
      <c r="G537" s="307"/>
      <c r="H537" s="308"/>
      <c r="I537" s="275"/>
      <c r="J537" s="269"/>
      <c r="K537" s="269"/>
      <c r="L537" s="269"/>
      <c r="M537" s="269"/>
      <c r="N537" s="269"/>
      <c r="O537" s="269"/>
      <c r="P537" s="269"/>
      <c r="Q537" s="269"/>
      <c r="R537" s="269"/>
    </row>
    <row r="538">
      <c r="A538" s="269"/>
      <c r="B538" s="306"/>
      <c r="C538" s="271"/>
      <c r="D538" s="269"/>
      <c r="E538" s="269"/>
      <c r="F538" s="269"/>
      <c r="G538" s="307"/>
      <c r="H538" s="308"/>
      <c r="I538" s="275"/>
      <c r="J538" s="269"/>
      <c r="K538" s="269"/>
      <c r="L538" s="269"/>
      <c r="M538" s="269"/>
      <c r="N538" s="269"/>
      <c r="O538" s="269"/>
      <c r="P538" s="269"/>
      <c r="Q538" s="269"/>
      <c r="R538" s="269"/>
    </row>
    <row r="539">
      <c r="A539" s="269"/>
      <c r="B539" s="306"/>
      <c r="C539" s="271"/>
      <c r="D539" s="269"/>
      <c r="E539" s="269"/>
      <c r="F539" s="269"/>
      <c r="G539" s="307"/>
      <c r="H539" s="308"/>
      <c r="I539" s="275"/>
      <c r="J539" s="269"/>
      <c r="K539" s="269"/>
      <c r="L539" s="269"/>
      <c r="M539" s="269"/>
      <c r="N539" s="269"/>
      <c r="O539" s="269"/>
      <c r="P539" s="269"/>
      <c r="Q539" s="269"/>
      <c r="R539" s="269"/>
    </row>
    <row r="540">
      <c r="A540" s="269"/>
      <c r="B540" s="306"/>
      <c r="C540" s="271"/>
      <c r="D540" s="269"/>
      <c r="E540" s="269"/>
      <c r="F540" s="269"/>
      <c r="G540" s="307"/>
      <c r="H540" s="308"/>
      <c r="I540" s="275"/>
      <c r="J540" s="269"/>
      <c r="K540" s="269"/>
      <c r="L540" s="269"/>
      <c r="M540" s="269"/>
      <c r="N540" s="269"/>
      <c r="O540" s="269"/>
      <c r="P540" s="269"/>
      <c r="Q540" s="269"/>
      <c r="R540" s="269"/>
    </row>
    <row r="541">
      <c r="A541" s="269"/>
      <c r="B541" s="306"/>
      <c r="C541" s="271"/>
      <c r="D541" s="269"/>
      <c r="E541" s="269"/>
      <c r="F541" s="269"/>
      <c r="G541" s="307"/>
      <c r="H541" s="308"/>
      <c r="I541" s="275"/>
      <c r="J541" s="269"/>
      <c r="K541" s="269"/>
      <c r="L541" s="269"/>
      <c r="M541" s="269"/>
      <c r="N541" s="269"/>
      <c r="O541" s="269"/>
      <c r="P541" s="269"/>
      <c r="Q541" s="269"/>
      <c r="R541" s="269"/>
    </row>
    <row r="542">
      <c r="A542" s="269"/>
      <c r="B542" s="306"/>
      <c r="C542" s="271"/>
      <c r="D542" s="269"/>
      <c r="E542" s="269"/>
      <c r="F542" s="269"/>
      <c r="G542" s="307"/>
      <c r="H542" s="308"/>
      <c r="I542" s="275"/>
      <c r="J542" s="269"/>
      <c r="K542" s="269"/>
      <c r="L542" s="269"/>
      <c r="M542" s="269"/>
      <c r="N542" s="269"/>
      <c r="O542" s="269"/>
      <c r="P542" s="269"/>
      <c r="Q542" s="269"/>
      <c r="R542" s="269"/>
    </row>
    <row r="543">
      <c r="A543" s="269"/>
      <c r="B543" s="306"/>
      <c r="C543" s="271"/>
      <c r="D543" s="269"/>
      <c r="E543" s="269"/>
      <c r="F543" s="269"/>
      <c r="G543" s="307"/>
      <c r="H543" s="308"/>
      <c r="I543" s="275"/>
      <c r="J543" s="269"/>
      <c r="K543" s="269"/>
      <c r="L543" s="269"/>
      <c r="M543" s="269"/>
      <c r="N543" s="269"/>
      <c r="O543" s="269"/>
      <c r="P543" s="269"/>
      <c r="Q543" s="269"/>
      <c r="R543" s="269"/>
    </row>
    <row r="544">
      <c r="A544" s="269"/>
      <c r="B544" s="306"/>
      <c r="C544" s="271"/>
      <c r="D544" s="269"/>
      <c r="E544" s="269"/>
      <c r="F544" s="269"/>
      <c r="G544" s="307"/>
      <c r="H544" s="308"/>
      <c r="I544" s="275"/>
      <c r="J544" s="269"/>
      <c r="K544" s="269"/>
      <c r="L544" s="269"/>
      <c r="M544" s="269"/>
      <c r="N544" s="269"/>
      <c r="O544" s="269"/>
      <c r="P544" s="269"/>
      <c r="Q544" s="269"/>
      <c r="R544" s="269"/>
    </row>
    <row r="545">
      <c r="A545" s="269"/>
      <c r="B545" s="306"/>
      <c r="C545" s="271"/>
      <c r="D545" s="269"/>
      <c r="E545" s="269"/>
      <c r="F545" s="269"/>
      <c r="G545" s="307"/>
      <c r="H545" s="308"/>
      <c r="I545" s="275"/>
      <c r="J545" s="269"/>
      <c r="K545" s="269"/>
      <c r="L545" s="269"/>
      <c r="M545" s="269"/>
      <c r="N545" s="269"/>
      <c r="O545" s="269"/>
      <c r="P545" s="269"/>
      <c r="Q545" s="269"/>
      <c r="R545" s="269"/>
    </row>
    <row r="546">
      <c r="A546" s="269"/>
      <c r="B546" s="306"/>
      <c r="C546" s="271"/>
      <c r="D546" s="269"/>
      <c r="E546" s="269"/>
      <c r="F546" s="269"/>
      <c r="G546" s="307"/>
      <c r="H546" s="308"/>
      <c r="I546" s="275"/>
      <c r="J546" s="269"/>
      <c r="K546" s="269"/>
      <c r="L546" s="269"/>
      <c r="M546" s="269"/>
      <c r="N546" s="269"/>
      <c r="O546" s="269"/>
      <c r="P546" s="269"/>
      <c r="Q546" s="269"/>
      <c r="R546" s="269"/>
    </row>
    <row r="547">
      <c r="A547" s="269"/>
      <c r="B547" s="306"/>
      <c r="C547" s="271"/>
      <c r="D547" s="269"/>
      <c r="E547" s="269"/>
      <c r="F547" s="269"/>
      <c r="G547" s="307"/>
      <c r="H547" s="308"/>
      <c r="I547" s="275"/>
      <c r="J547" s="269"/>
      <c r="K547" s="269"/>
      <c r="L547" s="269"/>
      <c r="M547" s="269"/>
      <c r="N547" s="269"/>
      <c r="O547" s="269"/>
      <c r="P547" s="269"/>
      <c r="Q547" s="269"/>
      <c r="R547" s="269"/>
    </row>
    <row r="548">
      <c r="A548" s="269"/>
      <c r="B548" s="306"/>
      <c r="C548" s="271"/>
      <c r="D548" s="269"/>
      <c r="E548" s="269"/>
      <c r="F548" s="269"/>
      <c r="G548" s="307"/>
      <c r="H548" s="308"/>
      <c r="I548" s="275"/>
      <c r="J548" s="269"/>
      <c r="K548" s="269"/>
      <c r="L548" s="269"/>
      <c r="M548" s="269"/>
      <c r="N548" s="269"/>
      <c r="O548" s="269"/>
      <c r="P548" s="269"/>
      <c r="Q548" s="269"/>
      <c r="R548" s="269"/>
    </row>
    <row r="549">
      <c r="A549" s="269"/>
      <c r="B549" s="306"/>
      <c r="C549" s="271"/>
      <c r="D549" s="269"/>
      <c r="E549" s="269"/>
      <c r="F549" s="269"/>
      <c r="G549" s="307"/>
      <c r="H549" s="308"/>
      <c r="I549" s="275"/>
      <c r="J549" s="269"/>
      <c r="K549" s="269"/>
      <c r="L549" s="269"/>
      <c r="M549" s="269"/>
      <c r="N549" s="269"/>
      <c r="O549" s="269"/>
      <c r="P549" s="269"/>
      <c r="Q549" s="269"/>
      <c r="R549" s="269"/>
    </row>
    <row r="550">
      <c r="A550" s="269"/>
      <c r="B550" s="306"/>
      <c r="C550" s="271"/>
      <c r="D550" s="269"/>
      <c r="E550" s="269"/>
      <c r="F550" s="269"/>
      <c r="G550" s="307"/>
      <c r="H550" s="308"/>
      <c r="I550" s="275"/>
      <c r="J550" s="269"/>
      <c r="K550" s="269"/>
      <c r="L550" s="269"/>
      <c r="M550" s="269"/>
      <c r="N550" s="269"/>
      <c r="O550" s="269"/>
      <c r="P550" s="269"/>
      <c r="Q550" s="269"/>
      <c r="R550" s="269"/>
    </row>
    <row r="551">
      <c r="A551" s="269"/>
      <c r="B551" s="306"/>
      <c r="C551" s="271"/>
      <c r="D551" s="269"/>
      <c r="E551" s="269"/>
      <c r="F551" s="269"/>
      <c r="G551" s="307"/>
      <c r="H551" s="308"/>
      <c r="I551" s="275"/>
      <c r="J551" s="269"/>
      <c r="K551" s="269"/>
      <c r="L551" s="269"/>
      <c r="M551" s="269"/>
      <c r="N551" s="269"/>
      <c r="O551" s="269"/>
      <c r="P551" s="269"/>
      <c r="Q551" s="269"/>
      <c r="R551" s="269"/>
    </row>
    <row r="552">
      <c r="A552" s="269"/>
      <c r="B552" s="306"/>
      <c r="C552" s="271"/>
      <c r="D552" s="269"/>
      <c r="E552" s="269"/>
      <c r="F552" s="269"/>
      <c r="G552" s="307"/>
      <c r="H552" s="308"/>
      <c r="I552" s="275"/>
      <c r="J552" s="269"/>
      <c r="K552" s="269"/>
      <c r="L552" s="269"/>
      <c r="M552" s="269"/>
      <c r="N552" s="269"/>
      <c r="O552" s="269"/>
      <c r="P552" s="269"/>
      <c r="Q552" s="269"/>
      <c r="R552" s="269"/>
    </row>
    <row r="553">
      <c r="A553" s="269"/>
      <c r="B553" s="306"/>
      <c r="C553" s="271"/>
      <c r="D553" s="269"/>
      <c r="E553" s="269"/>
      <c r="F553" s="269"/>
      <c r="G553" s="307"/>
      <c r="H553" s="308"/>
      <c r="I553" s="275"/>
      <c r="J553" s="269"/>
      <c r="K553" s="269"/>
      <c r="L553" s="269"/>
      <c r="M553" s="269"/>
      <c r="N553" s="269"/>
      <c r="O553" s="269"/>
      <c r="P553" s="269"/>
      <c r="Q553" s="269"/>
      <c r="R553" s="269"/>
    </row>
    <row r="554">
      <c r="A554" s="269"/>
      <c r="B554" s="306"/>
      <c r="C554" s="271"/>
      <c r="D554" s="269"/>
      <c r="E554" s="269"/>
      <c r="F554" s="269"/>
      <c r="G554" s="307"/>
      <c r="H554" s="308"/>
      <c r="I554" s="275"/>
      <c r="J554" s="269"/>
      <c r="K554" s="269"/>
      <c r="L554" s="269"/>
      <c r="M554" s="269"/>
      <c r="N554" s="269"/>
      <c r="O554" s="269"/>
      <c r="P554" s="269"/>
      <c r="Q554" s="269"/>
      <c r="R554" s="269"/>
    </row>
    <row r="555">
      <c r="A555" s="269"/>
      <c r="B555" s="306"/>
      <c r="C555" s="271"/>
      <c r="D555" s="269"/>
      <c r="E555" s="269"/>
      <c r="F555" s="269"/>
      <c r="G555" s="307"/>
      <c r="H555" s="308"/>
      <c r="I555" s="275"/>
      <c r="J555" s="269"/>
      <c r="K555" s="269"/>
      <c r="L555" s="269"/>
      <c r="M555" s="269"/>
      <c r="N555" s="269"/>
      <c r="O555" s="269"/>
      <c r="P555" s="269"/>
      <c r="Q555" s="269"/>
      <c r="R555" s="269"/>
    </row>
    <row r="556">
      <c r="A556" s="269"/>
      <c r="B556" s="306"/>
      <c r="C556" s="271"/>
      <c r="D556" s="269"/>
      <c r="E556" s="269"/>
      <c r="F556" s="269"/>
      <c r="G556" s="307"/>
      <c r="H556" s="308"/>
      <c r="I556" s="275"/>
      <c r="J556" s="269"/>
      <c r="K556" s="269"/>
      <c r="L556" s="269"/>
      <c r="M556" s="269"/>
      <c r="N556" s="269"/>
      <c r="O556" s="269"/>
      <c r="P556" s="269"/>
      <c r="Q556" s="269"/>
      <c r="R556" s="269"/>
    </row>
    <row r="557">
      <c r="A557" s="269"/>
      <c r="B557" s="306"/>
      <c r="C557" s="271"/>
      <c r="D557" s="269"/>
      <c r="E557" s="269"/>
      <c r="F557" s="269"/>
      <c r="G557" s="307"/>
      <c r="H557" s="308"/>
      <c r="I557" s="275"/>
      <c r="J557" s="269"/>
      <c r="K557" s="269"/>
      <c r="L557" s="269"/>
      <c r="M557" s="269"/>
      <c r="N557" s="269"/>
      <c r="O557" s="269"/>
      <c r="P557" s="269"/>
      <c r="Q557" s="269"/>
      <c r="R557" s="269"/>
    </row>
    <row r="558">
      <c r="A558" s="269"/>
      <c r="B558" s="306"/>
      <c r="C558" s="271"/>
      <c r="D558" s="269"/>
      <c r="E558" s="269"/>
      <c r="F558" s="269"/>
      <c r="G558" s="307"/>
      <c r="H558" s="308"/>
      <c r="I558" s="275"/>
      <c r="J558" s="269"/>
      <c r="K558" s="269"/>
      <c r="L558" s="269"/>
      <c r="M558" s="269"/>
      <c r="N558" s="269"/>
      <c r="O558" s="269"/>
      <c r="P558" s="269"/>
      <c r="Q558" s="269"/>
      <c r="R558" s="269"/>
    </row>
    <row r="559">
      <c r="A559" s="269"/>
      <c r="B559" s="306"/>
      <c r="C559" s="271"/>
      <c r="D559" s="269"/>
      <c r="E559" s="269"/>
      <c r="F559" s="269"/>
      <c r="G559" s="307"/>
      <c r="H559" s="308"/>
      <c r="I559" s="275"/>
      <c r="J559" s="269"/>
      <c r="K559" s="269"/>
      <c r="L559" s="269"/>
      <c r="M559" s="269"/>
      <c r="N559" s="269"/>
      <c r="O559" s="269"/>
      <c r="P559" s="269"/>
      <c r="Q559" s="269"/>
      <c r="R559" s="269"/>
    </row>
    <row r="560">
      <c r="A560" s="269"/>
      <c r="B560" s="306"/>
      <c r="C560" s="271"/>
      <c r="D560" s="269"/>
      <c r="E560" s="269"/>
      <c r="F560" s="269"/>
      <c r="G560" s="307"/>
      <c r="H560" s="308"/>
      <c r="I560" s="275"/>
      <c r="J560" s="269"/>
      <c r="K560" s="269"/>
      <c r="L560" s="269"/>
      <c r="M560" s="269"/>
      <c r="N560" s="269"/>
      <c r="O560" s="269"/>
      <c r="P560" s="269"/>
      <c r="Q560" s="269"/>
      <c r="R560" s="269"/>
    </row>
    <row r="561">
      <c r="A561" s="269"/>
      <c r="B561" s="306"/>
      <c r="C561" s="271"/>
      <c r="D561" s="269"/>
      <c r="E561" s="269"/>
      <c r="F561" s="269"/>
      <c r="G561" s="307"/>
      <c r="H561" s="308"/>
      <c r="I561" s="275"/>
      <c r="J561" s="269"/>
      <c r="K561" s="269"/>
      <c r="L561" s="269"/>
      <c r="M561" s="269"/>
      <c r="N561" s="269"/>
      <c r="O561" s="269"/>
      <c r="P561" s="269"/>
      <c r="Q561" s="269"/>
      <c r="R561" s="269"/>
    </row>
    <row r="562">
      <c r="A562" s="269"/>
      <c r="B562" s="306"/>
      <c r="C562" s="271"/>
      <c r="D562" s="269"/>
      <c r="E562" s="269"/>
      <c r="F562" s="269"/>
      <c r="G562" s="307"/>
      <c r="H562" s="308"/>
      <c r="I562" s="275"/>
      <c r="J562" s="269"/>
      <c r="K562" s="269"/>
      <c r="L562" s="269"/>
      <c r="M562" s="269"/>
      <c r="N562" s="269"/>
      <c r="O562" s="269"/>
      <c r="P562" s="269"/>
      <c r="Q562" s="269"/>
      <c r="R562" s="269"/>
    </row>
    <row r="563">
      <c r="A563" s="269"/>
      <c r="B563" s="306"/>
      <c r="C563" s="271"/>
      <c r="D563" s="269"/>
      <c r="E563" s="269"/>
      <c r="F563" s="269"/>
      <c r="G563" s="307"/>
      <c r="H563" s="308"/>
      <c r="I563" s="275"/>
      <c r="J563" s="269"/>
      <c r="K563" s="269"/>
      <c r="L563" s="269"/>
      <c r="M563" s="269"/>
      <c r="N563" s="269"/>
      <c r="O563" s="269"/>
      <c r="P563" s="269"/>
      <c r="Q563" s="269"/>
      <c r="R563" s="269"/>
    </row>
    <row r="564">
      <c r="A564" s="269"/>
      <c r="B564" s="306"/>
      <c r="C564" s="271"/>
      <c r="D564" s="269"/>
      <c r="E564" s="269"/>
      <c r="F564" s="269"/>
      <c r="G564" s="307"/>
      <c r="H564" s="308"/>
      <c r="I564" s="275"/>
      <c r="J564" s="269"/>
      <c r="K564" s="269"/>
      <c r="L564" s="269"/>
      <c r="M564" s="269"/>
      <c r="N564" s="269"/>
      <c r="O564" s="269"/>
      <c r="P564" s="269"/>
      <c r="Q564" s="269"/>
      <c r="R564" s="269"/>
    </row>
    <row r="565">
      <c r="A565" s="269"/>
      <c r="B565" s="306"/>
      <c r="C565" s="271"/>
      <c r="D565" s="269"/>
      <c r="E565" s="269"/>
      <c r="F565" s="269"/>
      <c r="G565" s="307"/>
      <c r="H565" s="308"/>
      <c r="I565" s="275"/>
      <c r="J565" s="269"/>
      <c r="K565" s="269"/>
      <c r="L565" s="269"/>
      <c r="M565" s="269"/>
      <c r="N565" s="269"/>
      <c r="O565" s="269"/>
      <c r="P565" s="269"/>
      <c r="Q565" s="269"/>
      <c r="R565" s="269"/>
    </row>
    <row r="566">
      <c r="A566" s="269"/>
      <c r="B566" s="306"/>
      <c r="C566" s="271"/>
      <c r="D566" s="269"/>
      <c r="E566" s="269"/>
      <c r="F566" s="269"/>
      <c r="G566" s="307"/>
      <c r="H566" s="308"/>
      <c r="I566" s="275"/>
      <c r="J566" s="269"/>
      <c r="K566" s="269"/>
      <c r="L566" s="269"/>
      <c r="M566" s="269"/>
      <c r="N566" s="269"/>
      <c r="O566" s="269"/>
      <c r="P566" s="269"/>
      <c r="Q566" s="269"/>
      <c r="R566" s="269"/>
    </row>
    <row r="567">
      <c r="A567" s="269"/>
      <c r="B567" s="306"/>
      <c r="C567" s="271"/>
      <c r="D567" s="269"/>
      <c r="E567" s="269"/>
      <c r="F567" s="269"/>
      <c r="G567" s="307"/>
      <c r="H567" s="308"/>
      <c r="I567" s="275"/>
      <c r="J567" s="269"/>
      <c r="K567" s="269"/>
      <c r="L567" s="269"/>
      <c r="M567" s="269"/>
      <c r="N567" s="269"/>
      <c r="O567" s="269"/>
      <c r="P567" s="269"/>
      <c r="Q567" s="269"/>
      <c r="R567" s="269"/>
    </row>
    <row r="568">
      <c r="A568" s="269"/>
      <c r="B568" s="306"/>
      <c r="C568" s="271"/>
      <c r="D568" s="269"/>
      <c r="E568" s="269"/>
      <c r="F568" s="269"/>
      <c r="G568" s="307"/>
      <c r="H568" s="308"/>
      <c r="I568" s="275"/>
      <c r="J568" s="269"/>
      <c r="K568" s="269"/>
      <c r="L568" s="269"/>
      <c r="M568" s="269"/>
      <c r="N568" s="269"/>
      <c r="O568" s="269"/>
      <c r="P568" s="269"/>
      <c r="Q568" s="269"/>
      <c r="R568" s="269"/>
    </row>
    <row r="569">
      <c r="A569" s="269"/>
      <c r="B569" s="306"/>
      <c r="C569" s="271"/>
      <c r="D569" s="269"/>
      <c r="E569" s="269"/>
      <c r="F569" s="269"/>
      <c r="G569" s="307"/>
      <c r="H569" s="308"/>
      <c r="I569" s="275"/>
      <c r="J569" s="269"/>
      <c r="K569" s="269"/>
      <c r="L569" s="269"/>
      <c r="M569" s="269"/>
      <c r="N569" s="269"/>
      <c r="O569" s="269"/>
      <c r="P569" s="269"/>
      <c r="Q569" s="269"/>
      <c r="R569" s="269"/>
    </row>
    <row r="570">
      <c r="A570" s="269"/>
      <c r="B570" s="306"/>
      <c r="C570" s="271"/>
      <c r="D570" s="269"/>
      <c r="E570" s="269"/>
      <c r="F570" s="269"/>
      <c r="G570" s="307"/>
      <c r="H570" s="308"/>
      <c r="I570" s="275"/>
      <c r="J570" s="269"/>
      <c r="K570" s="269"/>
      <c r="L570" s="269"/>
      <c r="M570" s="269"/>
      <c r="N570" s="269"/>
      <c r="O570" s="269"/>
      <c r="P570" s="269"/>
      <c r="Q570" s="269"/>
      <c r="R570" s="269"/>
    </row>
    <row r="571">
      <c r="A571" s="269"/>
      <c r="B571" s="306"/>
      <c r="C571" s="271"/>
      <c r="D571" s="269"/>
      <c r="E571" s="269"/>
      <c r="F571" s="269"/>
      <c r="G571" s="307"/>
      <c r="H571" s="308"/>
      <c r="I571" s="275"/>
      <c r="J571" s="269"/>
      <c r="K571" s="269"/>
      <c r="L571" s="269"/>
      <c r="M571" s="269"/>
      <c r="N571" s="269"/>
      <c r="O571" s="269"/>
      <c r="P571" s="269"/>
      <c r="Q571" s="269"/>
      <c r="R571" s="269"/>
    </row>
    <row r="572">
      <c r="A572" s="269"/>
      <c r="B572" s="306"/>
      <c r="C572" s="271"/>
      <c r="D572" s="269"/>
      <c r="E572" s="269"/>
      <c r="F572" s="269"/>
      <c r="G572" s="307"/>
      <c r="H572" s="308"/>
      <c r="I572" s="275"/>
      <c r="J572" s="269"/>
      <c r="K572" s="269"/>
      <c r="L572" s="269"/>
      <c r="M572" s="269"/>
      <c r="N572" s="269"/>
      <c r="O572" s="269"/>
      <c r="P572" s="269"/>
      <c r="Q572" s="269"/>
      <c r="R572" s="269"/>
    </row>
    <row r="573">
      <c r="A573" s="269"/>
      <c r="B573" s="306"/>
      <c r="C573" s="271"/>
      <c r="D573" s="269"/>
      <c r="E573" s="269"/>
      <c r="F573" s="269"/>
      <c r="G573" s="307"/>
      <c r="H573" s="308"/>
      <c r="I573" s="275"/>
      <c r="J573" s="269"/>
      <c r="K573" s="269"/>
      <c r="L573" s="269"/>
      <c r="M573" s="269"/>
      <c r="N573" s="269"/>
      <c r="O573" s="269"/>
      <c r="P573" s="269"/>
      <c r="Q573" s="269"/>
      <c r="R573" s="269"/>
    </row>
    <row r="574">
      <c r="A574" s="269"/>
      <c r="B574" s="306"/>
      <c r="C574" s="271"/>
      <c r="D574" s="269"/>
      <c r="E574" s="269"/>
      <c r="F574" s="269"/>
      <c r="G574" s="307"/>
      <c r="H574" s="308"/>
      <c r="I574" s="275"/>
      <c r="J574" s="269"/>
      <c r="K574" s="269"/>
      <c r="L574" s="269"/>
      <c r="M574" s="269"/>
      <c r="N574" s="269"/>
      <c r="O574" s="269"/>
      <c r="P574" s="269"/>
      <c r="Q574" s="269"/>
      <c r="R574" s="269"/>
    </row>
    <row r="575">
      <c r="A575" s="269"/>
      <c r="B575" s="306"/>
      <c r="C575" s="271"/>
      <c r="D575" s="269"/>
      <c r="E575" s="269"/>
      <c r="F575" s="269"/>
      <c r="G575" s="307"/>
      <c r="H575" s="308"/>
      <c r="I575" s="275"/>
      <c r="J575" s="269"/>
      <c r="K575" s="269"/>
      <c r="L575" s="269"/>
      <c r="M575" s="269"/>
      <c r="N575" s="269"/>
      <c r="O575" s="269"/>
      <c r="P575" s="269"/>
      <c r="Q575" s="269"/>
      <c r="R575" s="269"/>
    </row>
    <row r="576">
      <c r="A576" s="269"/>
      <c r="B576" s="306"/>
      <c r="C576" s="271"/>
      <c r="D576" s="269"/>
      <c r="E576" s="269"/>
      <c r="F576" s="269"/>
      <c r="G576" s="307"/>
      <c r="H576" s="308"/>
      <c r="I576" s="275"/>
      <c r="J576" s="269"/>
      <c r="K576" s="269"/>
      <c r="L576" s="269"/>
      <c r="M576" s="269"/>
      <c r="N576" s="269"/>
      <c r="O576" s="269"/>
      <c r="P576" s="269"/>
      <c r="Q576" s="269"/>
      <c r="R576" s="269"/>
    </row>
    <row r="577">
      <c r="A577" s="269"/>
      <c r="B577" s="306"/>
      <c r="C577" s="271"/>
      <c r="D577" s="269"/>
      <c r="E577" s="269"/>
      <c r="F577" s="269"/>
      <c r="G577" s="307"/>
      <c r="H577" s="308"/>
      <c r="I577" s="275"/>
      <c r="J577" s="269"/>
      <c r="K577" s="269"/>
      <c r="L577" s="269"/>
      <c r="M577" s="269"/>
      <c r="N577" s="269"/>
      <c r="O577" s="269"/>
      <c r="P577" s="269"/>
      <c r="Q577" s="269"/>
      <c r="R577" s="269"/>
    </row>
    <row r="578">
      <c r="A578" s="269"/>
      <c r="B578" s="306"/>
      <c r="C578" s="271"/>
      <c r="D578" s="269"/>
      <c r="E578" s="269"/>
      <c r="F578" s="269"/>
      <c r="G578" s="307"/>
      <c r="H578" s="308"/>
      <c r="I578" s="275"/>
      <c r="J578" s="269"/>
      <c r="K578" s="269"/>
      <c r="L578" s="269"/>
      <c r="M578" s="269"/>
      <c r="N578" s="269"/>
      <c r="O578" s="269"/>
      <c r="P578" s="269"/>
      <c r="Q578" s="269"/>
      <c r="R578" s="269"/>
    </row>
    <row r="579">
      <c r="A579" s="269"/>
      <c r="B579" s="306"/>
      <c r="C579" s="271"/>
      <c r="D579" s="269"/>
      <c r="E579" s="269"/>
      <c r="F579" s="269"/>
      <c r="G579" s="307"/>
      <c r="H579" s="308"/>
      <c r="I579" s="275"/>
      <c r="J579" s="269"/>
      <c r="K579" s="269"/>
      <c r="L579" s="269"/>
      <c r="M579" s="269"/>
      <c r="N579" s="269"/>
      <c r="O579" s="269"/>
      <c r="P579" s="269"/>
      <c r="Q579" s="269"/>
      <c r="R579" s="269"/>
    </row>
    <row r="580">
      <c r="A580" s="269"/>
      <c r="B580" s="306"/>
      <c r="C580" s="271"/>
      <c r="D580" s="269"/>
      <c r="E580" s="269"/>
      <c r="F580" s="269"/>
      <c r="G580" s="307"/>
      <c r="H580" s="308"/>
      <c r="I580" s="275"/>
      <c r="J580" s="269"/>
      <c r="K580" s="269"/>
      <c r="L580" s="269"/>
      <c r="M580" s="269"/>
      <c r="N580" s="269"/>
      <c r="O580" s="269"/>
      <c r="P580" s="269"/>
      <c r="Q580" s="269"/>
      <c r="R580" s="269"/>
    </row>
    <row r="581">
      <c r="A581" s="269"/>
      <c r="B581" s="306"/>
      <c r="C581" s="271"/>
      <c r="D581" s="269"/>
      <c r="E581" s="269"/>
      <c r="F581" s="269"/>
      <c r="G581" s="307"/>
      <c r="H581" s="308"/>
      <c r="I581" s="275"/>
      <c r="J581" s="269"/>
      <c r="K581" s="269"/>
      <c r="L581" s="269"/>
      <c r="M581" s="269"/>
      <c r="N581" s="269"/>
      <c r="O581" s="269"/>
      <c r="P581" s="269"/>
      <c r="Q581" s="269"/>
      <c r="R581" s="269"/>
    </row>
    <row r="582">
      <c r="A582" s="269"/>
      <c r="B582" s="306"/>
      <c r="C582" s="271"/>
      <c r="D582" s="269"/>
      <c r="E582" s="269"/>
      <c r="F582" s="269"/>
      <c r="G582" s="307"/>
      <c r="H582" s="308"/>
      <c r="I582" s="275"/>
      <c r="J582" s="269"/>
      <c r="K582" s="269"/>
      <c r="L582" s="269"/>
      <c r="M582" s="269"/>
      <c r="N582" s="269"/>
      <c r="O582" s="269"/>
      <c r="P582" s="269"/>
      <c r="Q582" s="269"/>
      <c r="R582" s="269"/>
    </row>
    <row r="583">
      <c r="A583" s="269"/>
      <c r="B583" s="306"/>
      <c r="C583" s="271"/>
      <c r="D583" s="269"/>
      <c r="E583" s="269"/>
      <c r="F583" s="269"/>
      <c r="G583" s="307"/>
      <c r="H583" s="308"/>
      <c r="I583" s="275"/>
      <c r="J583" s="269"/>
      <c r="K583" s="269"/>
      <c r="L583" s="269"/>
      <c r="M583" s="269"/>
      <c r="N583" s="269"/>
      <c r="O583" s="269"/>
      <c r="P583" s="269"/>
      <c r="Q583" s="269"/>
      <c r="R583" s="269"/>
    </row>
    <row r="584">
      <c r="A584" s="269"/>
      <c r="B584" s="306"/>
      <c r="C584" s="271"/>
      <c r="D584" s="269"/>
      <c r="E584" s="269"/>
      <c r="F584" s="269"/>
      <c r="G584" s="307"/>
      <c r="H584" s="308"/>
      <c r="I584" s="275"/>
      <c r="J584" s="269"/>
      <c r="K584" s="269"/>
      <c r="L584" s="269"/>
      <c r="M584" s="269"/>
      <c r="N584" s="269"/>
      <c r="O584" s="269"/>
      <c r="P584" s="269"/>
      <c r="Q584" s="269"/>
      <c r="R584" s="269"/>
    </row>
    <row r="585">
      <c r="A585" s="269"/>
      <c r="B585" s="306"/>
      <c r="C585" s="271"/>
      <c r="D585" s="269"/>
      <c r="E585" s="269"/>
      <c r="F585" s="269"/>
      <c r="G585" s="307"/>
      <c r="H585" s="308"/>
      <c r="I585" s="275"/>
      <c r="J585" s="269"/>
      <c r="K585" s="269"/>
      <c r="L585" s="269"/>
      <c r="M585" s="269"/>
      <c r="N585" s="269"/>
      <c r="O585" s="269"/>
      <c r="P585" s="269"/>
      <c r="Q585" s="269"/>
      <c r="R585" s="269"/>
    </row>
    <row r="586">
      <c r="A586" s="269"/>
      <c r="B586" s="306"/>
      <c r="C586" s="271"/>
      <c r="D586" s="269"/>
      <c r="E586" s="269"/>
      <c r="F586" s="269"/>
      <c r="G586" s="307"/>
      <c r="H586" s="308"/>
      <c r="I586" s="275"/>
      <c r="J586" s="269"/>
      <c r="K586" s="269"/>
      <c r="L586" s="269"/>
      <c r="M586" s="269"/>
      <c r="N586" s="269"/>
      <c r="O586" s="269"/>
      <c r="P586" s="269"/>
      <c r="Q586" s="269"/>
      <c r="R586" s="269"/>
    </row>
    <row r="587">
      <c r="A587" s="269"/>
      <c r="B587" s="306"/>
      <c r="C587" s="271"/>
      <c r="D587" s="269"/>
      <c r="E587" s="269"/>
      <c r="F587" s="269"/>
      <c r="G587" s="307"/>
      <c r="H587" s="308"/>
      <c r="I587" s="275"/>
      <c r="J587" s="269"/>
      <c r="K587" s="269"/>
      <c r="L587" s="269"/>
      <c r="M587" s="269"/>
      <c r="N587" s="269"/>
      <c r="O587" s="269"/>
      <c r="P587" s="269"/>
      <c r="Q587" s="269"/>
      <c r="R587" s="269"/>
    </row>
    <row r="588">
      <c r="A588" s="269"/>
      <c r="B588" s="306"/>
      <c r="C588" s="271"/>
      <c r="D588" s="269"/>
      <c r="E588" s="269"/>
      <c r="F588" s="269"/>
      <c r="G588" s="307"/>
      <c r="H588" s="308"/>
      <c r="I588" s="275"/>
      <c r="J588" s="269"/>
      <c r="K588" s="269"/>
      <c r="L588" s="269"/>
      <c r="M588" s="269"/>
      <c r="N588" s="269"/>
      <c r="O588" s="269"/>
      <c r="P588" s="269"/>
      <c r="Q588" s="269"/>
      <c r="R588" s="269"/>
    </row>
    <row r="589">
      <c r="A589" s="269"/>
      <c r="B589" s="306"/>
      <c r="C589" s="271"/>
      <c r="D589" s="269"/>
      <c r="E589" s="269"/>
      <c r="F589" s="269"/>
      <c r="G589" s="307"/>
      <c r="H589" s="308"/>
      <c r="I589" s="275"/>
      <c r="J589" s="269"/>
      <c r="K589" s="269"/>
      <c r="L589" s="269"/>
      <c r="M589" s="269"/>
      <c r="N589" s="269"/>
      <c r="O589" s="269"/>
      <c r="P589" s="269"/>
      <c r="Q589" s="269"/>
      <c r="R589" s="269"/>
    </row>
    <row r="590">
      <c r="A590" s="269"/>
      <c r="B590" s="306"/>
      <c r="C590" s="271"/>
      <c r="D590" s="269"/>
      <c r="E590" s="269"/>
      <c r="F590" s="269"/>
      <c r="G590" s="307"/>
      <c r="H590" s="308"/>
      <c r="I590" s="275"/>
      <c r="J590" s="269"/>
      <c r="K590" s="269"/>
      <c r="L590" s="269"/>
      <c r="M590" s="269"/>
      <c r="N590" s="269"/>
      <c r="O590" s="269"/>
      <c r="P590" s="269"/>
      <c r="Q590" s="269"/>
      <c r="R590" s="269"/>
    </row>
    <row r="591">
      <c r="A591" s="269"/>
      <c r="B591" s="306"/>
      <c r="C591" s="271"/>
      <c r="D591" s="269"/>
      <c r="E591" s="269"/>
      <c r="F591" s="269"/>
      <c r="G591" s="307"/>
      <c r="H591" s="308"/>
      <c r="I591" s="275"/>
      <c r="J591" s="269"/>
      <c r="K591" s="269"/>
      <c r="L591" s="269"/>
      <c r="M591" s="269"/>
      <c r="N591" s="269"/>
      <c r="O591" s="269"/>
      <c r="P591" s="269"/>
      <c r="Q591" s="269"/>
      <c r="R591" s="269"/>
    </row>
    <row r="592">
      <c r="A592" s="269"/>
      <c r="B592" s="306"/>
      <c r="C592" s="271"/>
      <c r="D592" s="269"/>
      <c r="E592" s="269"/>
      <c r="F592" s="269"/>
      <c r="G592" s="307"/>
      <c r="H592" s="308"/>
      <c r="I592" s="275"/>
      <c r="J592" s="269"/>
      <c r="K592" s="269"/>
      <c r="L592" s="269"/>
      <c r="M592" s="269"/>
      <c r="N592" s="269"/>
      <c r="O592" s="269"/>
      <c r="P592" s="269"/>
      <c r="Q592" s="269"/>
      <c r="R592" s="269"/>
    </row>
    <row r="593">
      <c r="A593" s="269"/>
      <c r="B593" s="306"/>
      <c r="C593" s="271"/>
      <c r="D593" s="269"/>
      <c r="E593" s="269"/>
      <c r="F593" s="269"/>
      <c r="G593" s="307"/>
      <c r="H593" s="308"/>
      <c r="I593" s="275"/>
      <c r="J593" s="269"/>
      <c r="K593" s="269"/>
      <c r="L593" s="269"/>
      <c r="M593" s="269"/>
      <c r="N593" s="269"/>
      <c r="O593" s="269"/>
      <c r="P593" s="269"/>
      <c r="Q593" s="269"/>
      <c r="R593" s="269"/>
    </row>
    <row r="594">
      <c r="A594" s="269"/>
      <c r="B594" s="306"/>
      <c r="C594" s="271"/>
      <c r="D594" s="269"/>
      <c r="E594" s="269"/>
      <c r="F594" s="269"/>
      <c r="G594" s="307"/>
      <c r="H594" s="308"/>
      <c r="I594" s="275"/>
      <c r="J594" s="269"/>
      <c r="K594" s="269"/>
      <c r="L594" s="269"/>
      <c r="M594" s="269"/>
      <c r="N594" s="269"/>
      <c r="O594" s="269"/>
      <c r="P594" s="269"/>
      <c r="Q594" s="269"/>
      <c r="R594" s="269"/>
    </row>
    <row r="595">
      <c r="A595" s="269"/>
      <c r="B595" s="306"/>
      <c r="C595" s="271"/>
      <c r="D595" s="269"/>
      <c r="E595" s="269"/>
      <c r="F595" s="269"/>
      <c r="G595" s="307"/>
      <c r="H595" s="308"/>
      <c r="I595" s="275"/>
      <c r="J595" s="269"/>
      <c r="K595" s="269"/>
      <c r="L595" s="269"/>
      <c r="M595" s="269"/>
      <c r="N595" s="269"/>
      <c r="O595" s="269"/>
      <c r="P595" s="269"/>
      <c r="Q595" s="269"/>
      <c r="R595" s="269"/>
    </row>
    <row r="596">
      <c r="A596" s="269"/>
      <c r="B596" s="306"/>
      <c r="C596" s="271"/>
      <c r="D596" s="269"/>
      <c r="E596" s="269"/>
      <c r="F596" s="269"/>
      <c r="G596" s="307"/>
      <c r="H596" s="308"/>
      <c r="I596" s="275"/>
      <c r="J596" s="269"/>
      <c r="K596" s="269"/>
      <c r="L596" s="269"/>
      <c r="M596" s="269"/>
      <c r="N596" s="269"/>
      <c r="O596" s="269"/>
      <c r="P596" s="269"/>
      <c r="Q596" s="269"/>
      <c r="R596" s="269"/>
    </row>
    <row r="597">
      <c r="A597" s="269"/>
      <c r="B597" s="306"/>
      <c r="C597" s="271"/>
      <c r="D597" s="269"/>
      <c r="E597" s="269"/>
      <c r="F597" s="269"/>
      <c r="G597" s="307"/>
      <c r="H597" s="308"/>
      <c r="I597" s="275"/>
      <c r="J597" s="269"/>
      <c r="K597" s="269"/>
      <c r="L597" s="269"/>
      <c r="M597" s="269"/>
      <c r="N597" s="269"/>
      <c r="O597" s="269"/>
      <c r="P597" s="269"/>
      <c r="Q597" s="269"/>
      <c r="R597" s="269"/>
    </row>
    <row r="598">
      <c r="A598" s="269"/>
      <c r="B598" s="306"/>
      <c r="C598" s="271"/>
      <c r="D598" s="269"/>
      <c r="E598" s="269"/>
      <c r="F598" s="269"/>
      <c r="G598" s="307"/>
      <c r="H598" s="308"/>
      <c r="I598" s="275"/>
      <c r="J598" s="269"/>
      <c r="K598" s="269"/>
      <c r="L598" s="269"/>
      <c r="M598" s="269"/>
      <c r="N598" s="269"/>
      <c r="O598" s="269"/>
      <c r="P598" s="269"/>
      <c r="Q598" s="269"/>
      <c r="R598" s="269"/>
    </row>
    <row r="599">
      <c r="A599" s="269"/>
      <c r="B599" s="306"/>
      <c r="C599" s="271"/>
      <c r="D599" s="269"/>
      <c r="E599" s="269"/>
      <c r="F599" s="269"/>
      <c r="G599" s="307"/>
      <c r="H599" s="308"/>
      <c r="I599" s="275"/>
      <c r="J599" s="269"/>
      <c r="K599" s="269"/>
      <c r="L599" s="269"/>
      <c r="M599" s="269"/>
      <c r="N599" s="269"/>
      <c r="O599" s="269"/>
      <c r="P599" s="269"/>
      <c r="Q599" s="269"/>
      <c r="R599" s="269"/>
    </row>
    <row r="600">
      <c r="A600" s="269"/>
      <c r="B600" s="306"/>
      <c r="C600" s="271"/>
      <c r="D600" s="269"/>
      <c r="E600" s="269"/>
      <c r="F600" s="269"/>
      <c r="G600" s="307"/>
      <c r="H600" s="308"/>
      <c r="I600" s="275"/>
      <c r="J600" s="269"/>
      <c r="K600" s="269"/>
      <c r="L600" s="269"/>
      <c r="M600" s="269"/>
      <c r="N600" s="269"/>
      <c r="O600" s="269"/>
      <c r="P600" s="269"/>
      <c r="Q600" s="269"/>
      <c r="R600" s="269"/>
    </row>
    <row r="601">
      <c r="A601" s="269"/>
      <c r="B601" s="306"/>
      <c r="C601" s="271"/>
      <c r="D601" s="269"/>
      <c r="E601" s="269"/>
      <c r="F601" s="269"/>
      <c r="G601" s="307"/>
      <c r="H601" s="308"/>
      <c r="I601" s="275"/>
      <c r="J601" s="269"/>
      <c r="K601" s="269"/>
      <c r="L601" s="269"/>
      <c r="M601" s="269"/>
      <c r="N601" s="269"/>
      <c r="O601" s="269"/>
      <c r="P601" s="269"/>
      <c r="Q601" s="269"/>
      <c r="R601" s="269"/>
    </row>
    <row r="602">
      <c r="A602" s="269"/>
      <c r="B602" s="306"/>
      <c r="C602" s="271"/>
      <c r="D602" s="269"/>
      <c r="E602" s="269"/>
      <c r="F602" s="269"/>
      <c r="G602" s="307"/>
      <c r="H602" s="308"/>
      <c r="I602" s="275"/>
      <c r="J602" s="269"/>
      <c r="K602" s="269"/>
      <c r="L602" s="269"/>
      <c r="M602" s="269"/>
      <c r="N602" s="269"/>
      <c r="O602" s="269"/>
      <c r="P602" s="269"/>
      <c r="Q602" s="269"/>
      <c r="R602" s="269"/>
    </row>
    <row r="603">
      <c r="A603" s="269"/>
      <c r="B603" s="306"/>
      <c r="C603" s="271"/>
      <c r="D603" s="269"/>
      <c r="E603" s="269"/>
      <c r="F603" s="269"/>
      <c r="G603" s="307"/>
      <c r="H603" s="308"/>
      <c r="I603" s="275"/>
      <c r="J603" s="269"/>
      <c r="K603" s="269"/>
      <c r="L603" s="269"/>
      <c r="M603" s="269"/>
      <c r="N603" s="269"/>
      <c r="O603" s="269"/>
      <c r="P603" s="269"/>
      <c r="Q603" s="269"/>
      <c r="R603" s="269"/>
    </row>
    <row r="604">
      <c r="A604" s="269"/>
      <c r="B604" s="306"/>
      <c r="C604" s="271"/>
      <c r="D604" s="269"/>
      <c r="E604" s="269"/>
      <c r="F604" s="269"/>
      <c r="G604" s="307"/>
      <c r="H604" s="308"/>
      <c r="I604" s="275"/>
      <c r="J604" s="269"/>
      <c r="K604" s="269"/>
      <c r="L604" s="269"/>
      <c r="M604" s="269"/>
      <c r="N604" s="269"/>
      <c r="O604" s="269"/>
      <c r="P604" s="269"/>
      <c r="Q604" s="269"/>
      <c r="R604" s="269"/>
    </row>
    <row r="605">
      <c r="A605" s="269"/>
      <c r="B605" s="306"/>
      <c r="C605" s="271"/>
      <c r="D605" s="269"/>
      <c r="E605" s="269"/>
      <c r="F605" s="269"/>
      <c r="G605" s="307"/>
      <c r="H605" s="308"/>
      <c r="I605" s="275"/>
      <c r="J605" s="269"/>
      <c r="K605" s="269"/>
      <c r="L605" s="269"/>
      <c r="M605" s="269"/>
      <c r="N605" s="269"/>
      <c r="O605" s="269"/>
      <c r="P605" s="269"/>
      <c r="Q605" s="269"/>
      <c r="R605" s="269"/>
    </row>
    <row r="606">
      <c r="A606" s="269"/>
      <c r="B606" s="306"/>
      <c r="C606" s="271"/>
      <c r="D606" s="269"/>
      <c r="E606" s="269"/>
      <c r="F606" s="269"/>
      <c r="G606" s="307"/>
      <c r="H606" s="308"/>
      <c r="I606" s="275"/>
      <c r="J606" s="269"/>
      <c r="K606" s="269"/>
      <c r="L606" s="269"/>
      <c r="M606" s="269"/>
      <c r="N606" s="269"/>
      <c r="O606" s="269"/>
      <c r="P606" s="269"/>
      <c r="Q606" s="269"/>
      <c r="R606" s="269"/>
    </row>
    <row r="607">
      <c r="A607" s="269"/>
      <c r="B607" s="306"/>
      <c r="C607" s="271"/>
      <c r="D607" s="269"/>
      <c r="E607" s="269"/>
      <c r="F607" s="269"/>
      <c r="G607" s="307"/>
      <c r="H607" s="308"/>
      <c r="I607" s="275"/>
      <c r="J607" s="269"/>
      <c r="K607" s="269"/>
      <c r="L607" s="269"/>
      <c r="M607" s="269"/>
      <c r="N607" s="269"/>
      <c r="O607" s="269"/>
      <c r="P607" s="269"/>
      <c r="Q607" s="269"/>
      <c r="R607" s="269"/>
    </row>
    <row r="608">
      <c r="A608" s="269"/>
      <c r="B608" s="306"/>
      <c r="C608" s="271"/>
      <c r="D608" s="269"/>
      <c r="E608" s="269"/>
      <c r="F608" s="269"/>
      <c r="G608" s="307"/>
      <c r="H608" s="308"/>
      <c r="I608" s="275"/>
      <c r="J608" s="269"/>
      <c r="K608" s="269"/>
      <c r="L608" s="269"/>
      <c r="M608" s="269"/>
      <c r="N608" s="269"/>
      <c r="O608" s="269"/>
      <c r="P608" s="269"/>
      <c r="Q608" s="269"/>
      <c r="R608" s="269"/>
    </row>
    <row r="609">
      <c r="A609" s="269"/>
      <c r="B609" s="306"/>
      <c r="C609" s="271"/>
      <c r="D609" s="269"/>
      <c r="E609" s="269"/>
      <c r="F609" s="269"/>
      <c r="G609" s="307"/>
      <c r="H609" s="308"/>
      <c r="I609" s="275"/>
      <c r="J609" s="269"/>
      <c r="K609" s="269"/>
      <c r="L609" s="269"/>
      <c r="M609" s="269"/>
      <c r="N609" s="269"/>
      <c r="O609" s="269"/>
      <c r="P609" s="269"/>
      <c r="Q609" s="269"/>
      <c r="R609" s="269"/>
    </row>
    <row r="610">
      <c r="A610" s="269"/>
      <c r="B610" s="306"/>
      <c r="C610" s="271"/>
      <c r="D610" s="269"/>
      <c r="E610" s="269"/>
      <c r="F610" s="269"/>
      <c r="G610" s="307"/>
      <c r="H610" s="308"/>
      <c r="I610" s="275"/>
      <c r="J610" s="269"/>
      <c r="K610" s="269"/>
      <c r="L610" s="269"/>
      <c r="M610" s="269"/>
      <c r="N610" s="269"/>
      <c r="O610" s="269"/>
      <c r="P610" s="269"/>
      <c r="Q610" s="269"/>
      <c r="R610" s="269"/>
    </row>
    <row r="611">
      <c r="A611" s="269"/>
      <c r="B611" s="306"/>
      <c r="C611" s="271"/>
      <c r="D611" s="269"/>
      <c r="E611" s="269"/>
      <c r="F611" s="269"/>
      <c r="G611" s="307"/>
      <c r="H611" s="308"/>
      <c r="I611" s="275"/>
      <c r="J611" s="269"/>
      <c r="K611" s="269"/>
      <c r="L611" s="269"/>
      <c r="M611" s="269"/>
      <c r="N611" s="269"/>
      <c r="O611" s="269"/>
      <c r="P611" s="269"/>
      <c r="Q611" s="269"/>
      <c r="R611" s="269"/>
    </row>
    <row r="612">
      <c r="A612" s="269"/>
      <c r="B612" s="306"/>
      <c r="C612" s="271"/>
      <c r="D612" s="269"/>
      <c r="E612" s="269"/>
      <c r="F612" s="269"/>
      <c r="G612" s="307"/>
      <c r="H612" s="308"/>
      <c r="I612" s="275"/>
      <c r="J612" s="269"/>
      <c r="K612" s="269"/>
      <c r="L612" s="269"/>
      <c r="M612" s="269"/>
      <c r="N612" s="269"/>
      <c r="O612" s="269"/>
      <c r="P612" s="269"/>
      <c r="Q612" s="269"/>
      <c r="R612" s="269"/>
    </row>
    <row r="613">
      <c r="A613" s="269"/>
      <c r="B613" s="306"/>
      <c r="C613" s="271"/>
      <c r="D613" s="269"/>
      <c r="E613" s="269"/>
      <c r="F613" s="269"/>
      <c r="G613" s="307"/>
      <c r="H613" s="308"/>
      <c r="I613" s="275"/>
      <c r="J613" s="269"/>
      <c r="K613" s="269"/>
      <c r="L613" s="269"/>
      <c r="M613" s="269"/>
      <c r="N613" s="269"/>
      <c r="O613" s="269"/>
      <c r="P613" s="269"/>
      <c r="Q613" s="269"/>
      <c r="R613" s="269"/>
    </row>
    <row r="614">
      <c r="A614" s="269"/>
      <c r="B614" s="306"/>
      <c r="C614" s="271"/>
      <c r="D614" s="269"/>
      <c r="E614" s="269"/>
      <c r="F614" s="269"/>
      <c r="G614" s="307"/>
      <c r="H614" s="308"/>
      <c r="I614" s="275"/>
      <c r="J614" s="269"/>
      <c r="K614" s="269"/>
      <c r="L614" s="269"/>
      <c r="M614" s="269"/>
      <c r="N614" s="269"/>
      <c r="O614" s="269"/>
      <c r="P614" s="269"/>
      <c r="Q614" s="269"/>
      <c r="R614" s="269"/>
    </row>
    <row r="615">
      <c r="A615" s="269"/>
      <c r="B615" s="306"/>
      <c r="C615" s="271"/>
      <c r="D615" s="269"/>
      <c r="E615" s="269"/>
      <c r="F615" s="269"/>
      <c r="G615" s="307"/>
      <c r="H615" s="308"/>
      <c r="I615" s="275"/>
      <c r="J615" s="269"/>
      <c r="K615" s="269"/>
      <c r="L615" s="269"/>
      <c r="M615" s="269"/>
      <c r="N615" s="269"/>
      <c r="O615" s="269"/>
      <c r="P615" s="269"/>
      <c r="Q615" s="269"/>
      <c r="R615" s="269"/>
    </row>
    <row r="616">
      <c r="A616" s="269"/>
      <c r="B616" s="306"/>
      <c r="C616" s="271"/>
      <c r="D616" s="269"/>
      <c r="E616" s="269"/>
      <c r="F616" s="269"/>
      <c r="G616" s="307"/>
      <c r="H616" s="308"/>
      <c r="I616" s="275"/>
      <c r="J616" s="269"/>
      <c r="K616" s="269"/>
      <c r="L616" s="269"/>
      <c r="M616" s="269"/>
      <c r="N616" s="269"/>
      <c r="O616" s="269"/>
      <c r="P616" s="269"/>
      <c r="Q616" s="269"/>
      <c r="R616" s="269"/>
    </row>
    <row r="617">
      <c r="A617" s="269"/>
      <c r="B617" s="306"/>
      <c r="C617" s="271"/>
      <c r="D617" s="269"/>
      <c r="E617" s="269"/>
      <c r="F617" s="269"/>
      <c r="G617" s="307"/>
      <c r="H617" s="308"/>
      <c r="I617" s="275"/>
      <c r="J617" s="269"/>
      <c r="K617" s="269"/>
      <c r="L617" s="269"/>
      <c r="M617" s="269"/>
      <c r="N617" s="269"/>
      <c r="O617" s="269"/>
      <c r="P617" s="269"/>
      <c r="Q617" s="269"/>
      <c r="R617" s="269"/>
    </row>
    <row r="618">
      <c r="A618" s="269"/>
      <c r="B618" s="306"/>
      <c r="C618" s="271"/>
      <c r="D618" s="269"/>
      <c r="E618" s="269"/>
      <c r="F618" s="269"/>
      <c r="G618" s="307"/>
      <c r="H618" s="308"/>
      <c r="I618" s="275"/>
      <c r="J618" s="269"/>
      <c r="K618" s="269"/>
      <c r="L618" s="269"/>
      <c r="M618" s="269"/>
      <c r="N618" s="269"/>
      <c r="O618" s="269"/>
      <c r="P618" s="269"/>
      <c r="Q618" s="269"/>
      <c r="R618" s="269"/>
    </row>
    <row r="619">
      <c r="A619" s="269"/>
      <c r="B619" s="306"/>
      <c r="C619" s="271"/>
      <c r="D619" s="269"/>
      <c r="E619" s="269"/>
      <c r="F619" s="269"/>
      <c r="G619" s="307"/>
      <c r="H619" s="308"/>
      <c r="I619" s="275"/>
      <c r="J619" s="269"/>
      <c r="K619" s="269"/>
      <c r="L619" s="269"/>
      <c r="M619" s="269"/>
      <c r="N619" s="269"/>
      <c r="O619" s="269"/>
      <c r="P619" s="269"/>
      <c r="Q619" s="269"/>
      <c r="R619" s="269"/>
    </row>
    <row r="620">
      <c r="A620" s="269"/>
      <c r="B620" s="306"/>
      <c r="C620" s="271"/>
      <c r="D620" s="269"/>
      <c r="E620" s="269"/>
      <c r="F620" s="269"/>
      <c r="G620" s="307"/>
      <c r="H620" s="308"/>
      <c r="I620" s="275"/>
      <c r="J620" s="269"/>
      <c r="K620" s="269"/>
      <c r="L620" s="269"/>
      <c r="M620" s="269"/>
      <c r="N620" s="269"/>
      <c r="O620" s="269"/>
      <c r="P620" s="269"/>
      <c r="Q620" s="269"/>
      <c r="R620" s="269"/>
    </row>
    <row r="621">
      <c r="A621" s="269"/>
      <c r="B621" s="306"/>
      <c r="C621" s="271"/>
      <c r="D621" s="269"/>
      <c r="E621" s="269"/>
      <c r="F621" s="269"/>
      <c r="G621" s="307"/>
      <c r="H621" s="308"/>
      <c r="I621" s="275"/>
      <c r="J621" s="269"/>
      <c r="K621" s="269"/>
      <c r="L621" s="269"/>
      <c r="M621" s="269"/>
      <c r="N621" s="269"/>
      <c r="O621" s="269"/>
      <c r="P621" s="269"/>
      <c r="Q621" s="269"/>
      <c r="R621" s="269"/>
    </row>
    <row r="622">
      <c r="A622" s="269"/>
      <c r="B622" s="306"/>
      <c r="C622" s="271"/>
      <c r="D622" s="269"/>
      <c r="E622" s="269"/>
      <c r="F622" s="269"/>
      <c r="G622" s="307"/>
      <c r="H622" s="308"/>
      <c r="I622" s="275"/>
      <c r="J622" s="269"/>
      <c r="K622" s="269"/>
      <c r="L622" s="269"/>
      <c r="M622" s="269"/>
      <c r="N622" s="269"/>
      <c r="O622" s="269"/>
      <c r="P622" s="269"/>
      <c r="Q622" s="269"/>
      <c r="R622" s="269"/>
    </row>
    <row r="623">
      <c r="A623" s="269"/>
      <c r="B623" s="306"/>
      <c r="C623" s="271"/>
      <c r="D623" s="269"/>
      <c r="E623" s="269"/>
      <c r="F623" s="269"/>
      <c r="G623" s="307"/>
      <c r="H623" s="308"/>
      <c r="I623" s="275"/>
      <c r="J623" s="269"/>
      <c r="K623" s="269"/>
      <c r="L623" s="269"/>
      <c r="M623" s="269"/>
      <c r="N623" s="269"/>
      <c r="O623" s="269"/>
      <c r="P623" s="269"/>
      <c r="Q623" s="269"/>
      <c r="R623" s="269"/>
    </row>
    <row r="624">
      <c r="A624" s="269"/>
      <c r="B624" s="306"/>
      <c r="C624" s="271"/>
      <c r="D624" s="269"/>
      <c r="E624" s="269"/>
      <c r="F624" s="269"/>
      <c r="G624" s="307"/>
      <c r="H624" s="308"/>
      <c r="I624" s="275"/>
      <c r="J624" s="269"/>
      <c r="K624" s="269"/>
      <c r="L624" s="269"/>
      <c r="M624" s="269"/>
      <c r="N624" s="269"/>
      <c r="O624" s="269"/>
      <c r="P624" s="269"/>
      <c r="Q624" s="269"/>
      <c r="R624" s="269"/>
    </row>
    <row r="625">
      <c r="A625" s="269"/>
      <c r="B625" s="306"/>
      <c r="C625" s="271"/>
      <c r="D625" s="269"/>
      <c r="E625" s="269"/>
      <c r="F625" s="269"/>
      <c r="G625" s="307"/>
      <c r="H625" s="308"/>
      <c r="I625" s="275"/>
      <c r="J625" s="269"/>
      <c r="K625" s="269"/>
      <c r="L625" s="269"/>
      <c r="M625" s="269"/>
      <c r="N625" s="269"/>
      <c r="O625" s="269"/>
      <c r="P625" s="269"/>
      <c r="Q625" s="269"/>
      <c r="R625" s="269"/>
    </row>
    <row r="626">
      <c r="A626" s="269"/>
      <c r="B626" s="306"/>
      <c r="C626" s="271"/>
      <c r="D626" s="269"/>
      <c r="E626" s="269"/>
      <c r="F626" s="269"/>
      <c r="G626" s="307"/>
      <c r="H626" s="308"/>
      <c r="I626" s="275"/>
      <c r="J626" s="269"/>
      <c r="K626" s="269"/>
      <c r="L626" s="269"/>
      <c r="M626" s="269"/>
      <c r="N626" s="269"/>
      <c r="O626" s="269"/>
      <c r="P626" s="269"/>
      <c r="Q626" s="269"/>
      <c r="R626" s="269"/>
    </row>
    <row r="627">
      <c r="A627" s="269"/>
      <c r="B627" s="306"/>
      <c r="C627" s="271"/>
      <c r="D627" s="269"/>
      <c r="E627" s="269"/>
      <c r="F627" s="269"/>
      <c r="G627" s="307"/>
      <c r="H627" s="308"/>
      <c r="I627" s="275"/>
      <c r="J627" s="269"/>
      <c r="K627" s="269"/>
      <c r="L627" s="269"/>
      <c r="M627" s="269"/>
      <c r="N627" s="269"/>
      <c r="O627" s="269"/>
      <c r="P627" s="269"/>
      <c r="Q627" s="269"/>
      <c r="R627" s="269"/>
    </row>
    <row r="628">
      <c r="A628" s="269"/>
      <c r="B628" s="306"/>
      <c r="C628" s="271"/>
      <c r="D628" s="269"/>
      <c r="E628" s="269"/>
      <c r="F628" s="269"/>
      <c r="G628" s="307"/>
      <c r="H628" s="308"/>
      <c r="I628" s="275"/>
      <c r="J628" s="269"/>
      <c r="K628" s="269"/>
      <c r="L628" s="269"/>
      <c r="M628" s="269"/>
      <c r="N628" s="269"/>
      <c r="O628" s="269"/>
      <c r="P628" s="269"/>
      <c r="Q628" s="269"/>
      <c r="R628" s="269"/>
    </row>
    <row r="629">
      <c r="A629" s="269"/>
      <c r="B629" s="306"/>
      <c r="C629" s="271"/>
      <c r="D629" s="269"/>
      <c r="E629" s="269"/>
      <c r="F629" s="269"/>
      <c r="G629" s="307"/>
      <c r="H629" s="308"/>
      <c r="I629" s="275"/>
      <c r="J629" s="269"/>
      <c r="K629" s="269"/>
      <c r="L629" s="269"/>
      <c r="M629" s="269"/>
      <c r="N629" s="269"/>
      <c r="O629" s="269"/>
      <c r="P629" s="269"/>
      <c r="Q629" s="269"/>
      <c r="R629" s="269"/>
    </row>
    <row r="630">
      <c r="A630" s="269"/>
      <c r="B630" s="306"/>
      <c r="C630" s="271"/>
      <c r="D630" s="269"/>
      <c r="E630" s="269"/>
      <c r="F630" s="269"/>
      <c r="G630" s="307"/>
      <c r="H630" s="308"/>
      <c r="I630" s="275"/>
      <c r="J630" s="269"/>
      <c r="K630" s="269"/>
      <c r="L630" s="269"/>
      <c r="M630" s="269"/>
      <c r="N630" s="269"/>
      <c r="O630" s="269"/>
      <c r="P630" s="269"/>
      <c r="Q630" s="269"/>
      <c r="R630" s="269"/>
    </row>
    <row r="631">
      <c r="A631" s="269"/>
      <c r="B631" s="306"/>
      <c r="C631" s="271"/>
      <c r="D631" s="269"/>
      <c r="E631" s="269"/>
      <c r="F631" s="269"/>
      <c r="G631" s="307"/>
      <c r="H631" s="308"/>
      <c r="I631" s="275"/>
      <c r="J631" s="269"/>
      <c r="K631" s="269"/>
      <c r="L631" s="269"/>
      <c r="M631" s="269"/>
      <c r="N631" s="269"/>
      <c r="O631" s="269"/>
      <c r="P631" s="269"/>
      <c r="Q631" s="269"/>
      <c r="R631" s="269"/>
    </row>
    <row r="632">
      <c r="A632" s="269"/>
      <c r="B632" s="306"/>
      <c r="C632" s="271"/>
      <c r="D632" s="269"/>
      <c r="E632" s="269"/>
      <c r="F632" s="269"/>
      <c r="G632" s="307"/>
      <c r="H632" s="308"/>
      <c r="I632" s="275"/>
      <c r="J632" s="269"/>
      <c r="K632" s="269"/>
      <c r="L632" s="269"/>
      <c r="M632" s="269"/>
      <c r="N632" s="269"/>
      <c r="O632" s="269"/>
      <c r="P632" s="269"/>
      <c r="Q632" s="269"/>
      <c r="R632" s="269"/>
    </row>
    <row r="633">
      <c r="A633" s="269"/>
      <c r="B633" s="306"/>
      <c r="C633" s="271"/>
      <c r="D633" s="269"/>
      <c r="E633" s="269"/>
      <c r="F633" s="269"/>
      <c r="G633" s="307"/>
      <c r="H633" s="308"/>
      <c r="I633" s="275"/>
      <c r="J633" s="269"/>
      <c r="K633" s="269"/>
      <c r="L633" s="269"/>
      <c r="M633" s="269"/>
      <c r="N633" s="269"/>
      <c r="O633" s="269"/>
      <c r="P633" s="269"/>
      <c r="Q633" s="269"/>
      <c r="R633" s="269"/>
    </row>
    <row r="634">
      <c r="A634" s="269"/>
      <c r="B634" s="306"/>
      <c r="C634" s="271"/>
      <c r="D634" s="269"/>
      <c r="E634" s="269"/>
      <c r="F634" s="269"/>
      <c r="G634" s="307"/>
      <c r="H634" s="308"/>
      <c r="I634" s="275"/>
      <c r="J634" s="269"/>
      <c r="K634" s="269"/>
      <c r="L634" s="269"/>
      <c r="M634" s="269"/>
      <c r="N634" s="269"/>
      <c r="O634" s="269"/>
      <c r="P634" s="269"/>
      <c r="Q634" s="269"/>
      <c r="R634" s="269"/>
    </row>
    <row r="635">
      <c r="A635" s="269"/>
      <c r="B635" s="306"/>
      <c r="C635" s="271"/>
      <c r="D635" s="269"/>
      <c r="E635" s="269"/>
      <c r="F635" s="269"/>
      <c r="G635" s="307"/>
      <c r="H635" s="308"/>
      <c r="I635" s="275"/>
      <c r="J635" s="269"/>
      <c r="K635" s="269"/>
      <c r="L635" s="269"/>
      <c r="M635" s="269"/>
      <c r="N635" s="269"/>
      <c r="O635" s="269"/>
      <c r="P635" s="269"/>
      <c r="Q635" s="269"/>
      <c r="R635" s="269"/>
    </row>
    <row r="636">
      <c r="A636" s="269"/>
      <c r="B636" s="306"/>
      <c r="C636" s="271"/>
      <c r="D636" s="269"/>
      <c r="E636" s="269"/>
      <c r="F636" s="269"/>
      <c r="G636" s="307"/>
      <c r="H636" s="308"/>
      <c r="I636" s="275"/>
      <c r="J636" s="269"/>
      <c r="K636" s="269"/>
      <c r="L636" s="269"/>
      <c r="M636" s="269"/>
      <c r="N636" s="269"/>
      <c r="O636" s="269"/>
      <c r="P636" s="269"/>
      <c r="Q636" s="269"/>
      <c r="R636" s="269"/>
    </row>
    <row r="637">
      <c r="A637" s="269"/>
      <c r="B637" s="306"/>
      <c r="C637" s="271"/>
      <c r="D637" s="269"/>
      <c r="E637" s="269"/>
      <c r="F637" s="269"/>
      <c r="G637" s="307"/>
      <c r="H637" s="308"/>
      <c r="I637" s="275"/>
      <c r="J637" s="269"/>
      <c r="K637" s="269"/>
      <c r="L637" s="269"/>
      <c r="M637" s="269"/>
      <c r="N637" s="269"/>
      <c r="O637" s="269"/>
      <c r="P637" s="269"/>
      <c r="Q637" s="269"/>
      <c r="R637" s="269"/>
    </row>
    <row r="638">
      <c r="A638" s="269"/>
      <c r="B638" s="306"/>
      <c r="C638" s="271"/>
      <c r="D638" s="269"/>
      <c r="E638" s="269"/>
      <c r="F638" s="269"/>
      <c r="G638" s="307"/>
      <c r="H638" s="308"/>
      <c r="I638" s="275"/>
      <c r="J638" s="269"/>
      <c r="K638" s="269"/>
      <c r="L638" s="269"/>
      <c r="M638" s="269"/>
      <c r="N638" s="269"/>
      <c r="O638" s="269"/>
      <c r="P638" s="269"/>
      <c r="Q638" s="269"/>
      <c r="R638" s="269"/>
    </row>
    <row r="639">
      <c r="A639" s="269"/>
      <c r="B639" s="306"/>
      <c r="C639" s="271"/>
      <c r="D639" s="269"/>
      <c r="E639" s="269"/>
      <c r="F639" s="269"/>
      <c r="G639" s="307"/>
      <c r="H639" s="308"/>
      <c r="I639" s="275"/>
      <c r="J639" s="269"/>
      <c r="K639" s="269"/>
      <c r="L639" s="269"/>
      <c r="M639" s="269"/>
      <c r="N639" s="269"/>
      <c r="O639" s="269"/>
      <c r="P639" s="269"/>
      <c r="Q639" s="269"/>
      <c r="R639" s="269"/>
    </row>
    <row r="640">
      <c r="A640" s="269"/>
      <c r="B640" s="306"/>
      <c r="C640" s="271"/>
      <c r="D640" s="269"/>
      <c r="E640" s="269"/>
      <c r="F640" s="269"/>
      <c r="G640" s="307"/>
      <c r="H640" s="308"/>
      <c r="I640" s="275"/>
      <c r="J640" s="269"/>
      <c r="K640" s="269"/>
      <c r="L640" s="269"/>
      <c r="M640" s="269"/>
      <c r="N640" s="269"/>
      <c r="O640" s="269"/>
      <c r="P640" s="269"/>
      <c r="Q640" s="269"/>
      <c r="R640" s="269"/>
    </row>
    <row r="641">
      <c r="A641" s="269"/>
      <c r="B641" s="306"/>
      <c r="C641" s="271"/>
      <c r="D641" s="269"/>
      <c r="E641" s="269"/>
      <c r="F641" s="269"/>
      <c r="G641" s="307"/>
      <c r="H641" s="308"/>
      <c r="I641" s="275"/>
      <c r="J641" s="269"/>
      <c r="K641" s="269"/>
      <c r="L641" s="269"/>
      <c r="M641" s="269"/>
      <c r="N641" s="269"/>
      <c r="O641" s="269"/>
      <c r="P641" s="269"/>
      <c r="Q641" s="269"/>
      <c r="R641" s="269"/>
    </row>
    <row r="642">
      <c r="A642" s="269"/>
      <c r="B642" s="306"/>
      <c r="C642" s="271"/>
      <c r="D642" s="269"/>
      <c r="E642" s="269"/>
      <c r="F642" s="269"/>
      <c r="G642" s="307"/>
      <c r="H642" s="308"/>
      <c r="I642" s="275"/>
      <c r="J642" s="269"/>
      <c r="K642" s="269"/>
      <c r="L642" s="269"/>
      <c r="M642" s="269"/>
      <c r="N642" s="269"/>
      <c r="O642" s="269"/>
      <c r="P642" s="269"/>
      <c r="Q642" s="269"/>
      <c r="R642" s="269"/>
    </row>
    <row r="643">
      <c r="A643" s="269"/>
      <c r="B643" s="306"/>
      <c r="C643" s="271"/>
      <c r="D643" s="269"/>
      <c r="E643" s="269"/>
      <c r="F643" s="269"/>
      <c r="G643" s="307"/>
      <c r="H643" s="308"/>
      <c r="I643" s="275"/>
      <c r="J643" s="269"/>
      <c r="K643" s="269"/>
      <c r="L643" s="269"/>
      <c r="M643" s="269"/>
      <c r="N643" s="269"/>
      <c r="O643" s="269"/>
      <c r="P643" s="269"/>
      <c r="Q643" s="269"/>
      <c r="R643" s="269"/>
    </row>
    <row r="644">
      <c r="A644" s="269"/>
      <c r="B644" s="306"/>
      <c r="C644" s="271"/>
      <c r="D644" s="269"/>
      <c r="E644" s="269"/>
      <c r="F644" s="269"/>
      <c r="G644" s="307"/>
      <c r="H644" s="308"/>
      <c r="I644" s="275"/>
      <c r="J644" s="269"/>
      <c r="K644" s="269"/>
      <c r="L644" s="269"/>
      <c r="M644" s="269"/>
      <c r="N644" s="269"/>
      <c r="O644" s="269"/>
      <c r="P644" s="269"/>
      <c r="Q644" s="269"/>
      <c r="R644" s="269"/>
    </row>
    <row r="645">
      <c r="A645" s="269"/>
      <c r="B645" s="306"/>
      <c r="C645" s="271"/>
      <c r="D645" s="269"/>
      <c r="E645" s="269"/>
      <c r="F645" s="269"/>
      <c r="G645" s="307"/>
      <c r="H645" s="308"/>
      <c r="I645" s="275"/>
      <c r="J645" s="269"/>
      <c r="K645" s="269"/>
      <c r="L645" s="269"/>
      <c r="M645" s="269"/>
      <c r="N645" s="269"/>
      <c r="O645" s="269"/>
      <c r="P645" s="269"/>
      <c r="Q645" s="269"/>
      <c r="R645" s="269"/>
    </row>
    <row r="646">
      <c r="A646" s="269"/>
      <c r="B646" s="306"/>
      <c r="C646" s="271"/>
      <c r="D646" s="269"/>
      <c r="E646" s="269"/>
      <c r="F646" s="269"/>
      <c r="G646" s="307"/>
      <c r="H646" s="308"/>
      <c r="I646" s="275"/>
      <c r="J646" s="269"/>
      <c r="K646" s="269"/>
      <c r="L646" s="269"/>
      <c r="M646" s="269"/>
      <c r="N646" s="269"/>
      <c r="O646" s="269"/>
      <c r="P646" s="269"/>
      <c r="Q646" s="269"/>
      <c r="R646" s="269"/>
    </row>
    <row r="647">
      <c r="A647" s="269"/>
      <c r="B647" s="306"/>
      <c r="C647" s="271"/>
      <c r="D647" s="269"/>
      <c r="E647" s="269"/>
      <c r="F647" s="269"/>
      <c r="G647" s="307"/>
      <c r="H647" s="308"/>
      <c r="I647" s="275"/>
      <c r="J647" s="269"/>
      <c r="K647" s="269"/>
      <c r="L647" s="269"/>
      <c r="M647" s="269"/>
      <c r="N647" s="269"/>
      <c r="O647" s="269"/>
      <c r="P647" s="269"/>
      <c r="Q647" s="269"/>
      <c r="R647" s="269"/>
    </row>
    <row r="648">
      <c r="A648" s="269"/>
      <c r="B648" s="306"/>
      <c r="C648" s="271"/>
      <c r="D648" s="269"/>
      <c r="E648" s="269"/>
      <c r="F648" s="269"/>
      <c r="G648" s="307"/>
      <c r="H648" s="308"/>
      <c r="I648" s="275"/>
      <c r="J648" s="269"/>
      <c r="K648" s="269"/>
      <c r="L648" s="269"/>
      <c r="M648" s="269"/>
      <c r="N648" s="269"/>
      <c r="O648" s="269"/>
      <c r="P648" s="269"/>
      <c r="Q648" s="269"/>
      <c r="R648" s="269"/>
    </row>
    <row r="649">
      <c r="A649" s="269"/>
      <c r="B649" s="306"/>
      <c r="C649" s="271"/>
      <c r="D649" s="269"/>
      <c r="E649" s="269"/>
      <c r="F649" s="269"/>
      <c r="G649" s="307"/>
      <c r="H649" s="308"/>
      <c r="I649" s="275"/>
      <c r="J649" s="269"/>
      <c r="K649" s="269"/>
      <c r="L649" s="269"/>
      <c r="M649" s="269"/>
      <c r="N649" s="269"/>
      <c r="O649" s="269"/>
      <c r="P649" s="269"/>
      <c r="Q649" s="269"/>
      <c r="R649" s="269"/>
    </row>
    <row r="650">
      <c r="A650" s="269"/>
      <c r="B650" s="306"/>
      <c r="C650" s="271"/>
      <c r="D650" s="269"/>
      <c r="E650" s="269"/>
      <c r="F650" s="269"/>
      <c r="G650" s="307"/>
      <c r="H650" s="308"/>
      <c r="I650" s="275"/>
      <c r="J650" s="269"/>
      <c r="K650" s="269"/>
      <c r="L650" s="269"/>
      <c r="M650" s="269"/>
      <c r="N650" s="269"/>
      <c r="O650" s="269"/>
      <c r="P650" s="269"/>
      <c r="Q650" s="269"/>
      <c r="R650" s="269"/>
    </row>
    <row r="651">
      <c r="A651" s="269"/>
      <c r="B651" s="306"/>
      <c r="C651" s="271"/>
      <c r="D651" s="269"/>
      <c r="E651" s="269"/>
      <c r="F651" s="269"/>
      <c r="G651" s="307"/>
      <c r="H651" s="308"/>
      <c r="I651" s="275"/>
      <c r="J651" s="269"/>
      <c r="K651" s="269"/>
      <c r="L651" s="269"/>
      <c r="M651" s="269"/>
      <c r="N651" s="269"/>
      <c r="O651" s="269"/>
      <c r="P651" s="269"/>
      <c r="Q651" s="269"/>
      <c r="R651" s="269"/>
    </row>
    <row r="652">
      <c r="A652" s="269"/>
      <c r="B652" s="306"/>
      <c r="C652" s="271"/>
      <c r="D652" s="269"/>
      <c r="E652" s="269"/>
      <c r="F652" s="269"/>
      <c r="G652" s="307"/>
      <c r="H652" s="308"/>
      <c r="I652" s="275"/>
      <c r="J652" s="269"/>
      <c r="K652" s="269"/>
      <c r="L652" s="269"/>
      <c r="M652" s="269"/>
      <c r="N652" s="269"/>
      <c r="O652" s="269"/>
      <c r="P652" s="269"/>
      <c r="Q652" s="269"/>
      <c r="R652" s="269"/>
    </row>
    <row r="653">
      <c r="A653" s="269"/>
      <c r="B653" s="306"/>
      <c r="C653" s="271"/>
      <c r="D653" s="269"/>
      <c r="E653" s="269"/>
      <c r="F653" s="269"/>
      <c r="G653" s="307"/>
      <c r="H653" s="308"/>
      <c r="I653" s="275"/>
      <c r="J653" s="269"/>
      <c r="K653" s="269"/>
      <c r="L653" s="269"/>
      <c r="M653" s="269"/>
      <c r="N653" s="269"/>
      <c r="O653" s="269"/>
      <c r="P653" s="269"/>
      <c r="Q653" s="269"/>
      <c r="R653" s="269"/>
    </row>
    <row r="654">
      <c r="A654" s="269"/>
      <c r="B654" s="306"/>
      <c r="C654" s="271"/>
      <c r="D654" s="269"/>
      <c r="E654" s="269"/>
      <c r="F654" s="269"/>
      <c r="G654" s="307"/>
      <c r="H654" s="308"/>
      <c r="I654" s="275"/>
      <c r="J654" s="269"/>
      <c r="K654" s="269"/>
      <c r="L654" s="269"/>
      <c r="M654" s="269"/>
      <c r="N654" s="269"/>
      <c r="O654" s="269"/>
      <c r="P654" s="269"/>
      <c r="Q654" s="269"/>
      <c r="R654" s="269"/>
    </row>
    <row r="655">
      <c r="A655" s="269"/>
      <c r="B655" s="306"/>
      <c r="C655" s="271"/>
      <c r="D655" s="269"/>
      <c r="E655" s="269"/>
      <c r="F655" s="269"/>
      <c r="G655" s="307"/>
      <c r="H655" s="308"/>
      <c r="I655" s="275"/>
      <c r="J655" s="269"/>
      <c r="K655" s="269"/>
      <c r="L655" s="269"/>
      <c r="M655" s="269"/>
      <c r="N655" s="269"/>
      <c r="O655" s="269"/>
      <c r="P655" s="269"/>
      <c r="Q655" s="269"/>
      <c r="R655" s="269"/>
    </row>
    <row r="656">
      <c r="A656" s="269"/>
      <c r="B656" s="306"/>
      <c r="C656" s="271"/>
      <c r="D656" s="269"/>
      <c r="E656" s="269"/>
      <c r="F656" s="269"/>
      <c r="G656" s="307"/>
      <c r="H656" s="308"/>
      <c r="I656" s="275"/>
      <c r="J656" s="269"/>
      <c r="K656" s="269"/>
      <c r="L656" s="269"/>
      <c r="M656" s="269"/>
      <c r="N656" s="269"/>
      <c r="O656" s="269"/>
      <c r="P656" s="269"/>
      <c r="Q656" s="269"/>
      <c r="R656" s="269"/>
    </row>
    <row r="657">
      <c r="A657" s="269"/>
      <c r="B657" s="306"/>
      <c r="C657" s="271"/>
      <c r="D657" s="269"/>
      <c r="E657" s="269"/>
      <c r="F657" s="269"/>
      <c r="G657" s="307"/>
      <c r="H657" s="308"/>
      <c r="I657" s="275"/>
      <c r="J657" s="269"/>
      <c r="K657" s="269"/>
      <c r="L657" s="269"/>
      <c r="M657" s="269"/>
      <c r="N657" s="269"/>
      <c r="O657" s="269"/>
      <c r="P657" s="269"/>
      <c r="Q657" s="269"/>
      <c r="R657" s="269"/>
    </row>
    <row r="658">
      <c r="A658" s="269"/>
      <c r="B658" s="306"/>
      <c r="C658" s="271"/>
      <c r="D658" s="269"/>
      <c r="E658" s="269"/>
      <c r="F658" s="269"/>
      <c r="G658" s="307"/>
      <c r="H658" s="308"/>
      <c r="I658" s="275"/>
      <c r="J658" s="269"/>
      <c r="K658" s="269"/>
      <c r="L658" s="269"/>
      <c r="M658" s="269"/>
      <c r="N658" s="269"/>
      <c r="O658" s="269"/>
      <c r="P658" s="269"/>
      <c r="Q658" s="269"/>
      <c r="R658" s="269"/>
    </row>
    <row r="659">
      <c r="A659" s="269"/>
      <c r="B659" s="306"/>
      <c r="C659" s="271"/>
      <c r="D659" s="269"/>
      <c r="E659" s="269"/>
      <c r="F659" s="269"/>
      <c r="G659" s="307"/>
      <c r="H659" s="308"/>
      <c r="I659" s="275"/>
      <c r="J659" s="269"/>
      <c r="K659" s="269"/>
      <c r="L659" s="269"/>
      <c r="M659" s="269"/>
      <c r="N659" s="269"/>
      <c r="O659" s="269"/>
      <c r="P659" s="269"/>
      <c r="Q659" s="269"/>
      <c r="R659" s="269"/>
    </row>
    <row r="660">
      <c r="A660" s="269"/>
      <c r="B660" s="306"/>
      <c r="C660" s="271"/>
      <c r="D660" s="269"/>
      <c r="E660" s="269"/>
      <c r="F660" s="269"/>
      <c r="G660" s="307"/>
      <c r="H660" s="308"/>
      <c r="I660" s="275"/>
      <c r="J660" s="269"/>
      <c r="K660" s="269"/>
      <c r="L660" s="269"/>
      <c r="M660" s="269"/>
      <c r="N660" s="269"/>
      <c r="O660" s="269"/>
      <c r="P660" s="269"/>
      <c r="Q660" s="269"/>
      <c r="R660" s="269"/>
    </row>
    <row r="661">
      <c r="A661" s="269"/>
      <c r="B661" s="306"/>
      <c r="C661" s="271"/>
      <c r="D661" s="269"/>
      <c r="E661" s="269"/>
      <c r="F661" s="269"/>
      <c r="G661" s="307"/>
      <c r="H661" s="308"/>
      <c r="I661" s="275"/>
      <c r="J661" s="269"/>
      <c r="K661" s="269"/>
      <c r="L661" s="269"/>
      <c r="M661" s="269"/>
      <c r="N661" s="269"/>
      <c r="O661" s="269"/>
      <c r="P661" s="269"/>
      <c r="Q661" s="269"/>
      <c r="R661" s="269"/>
    </row>
    <row r="662">
      <c r="A662" s="269"/>
      <c r="B662" s="306"/>
      <c r="C662" s="271"/>
      <c r="D662" s="269"/>
      <c r="E662" s="269"/>
      <c r="F662" s="269"/>
      <c r="G662" s="307"/>
      <c r="H662" s="308"/>
      <c r="I662" s="275"/>
      <c r="J662" s="269"/>
      <c r="K662" s="269"/>
      <c r="L662" s="269"/>
      <c r="M662" s="269"/>
      <c r="N662" s="269"/>
      <c r="O662" s="269"/>
      <c r="P662" s="269"/>
      <c r="Q662" s="269"/>
      <c r="R662" s="269"/>
    </row>
    <row r="663">
      <c r="A663" s="269"/>
      <c r="B663" s="306"/>
      <c r="C663" s="271"/>
      <c r="D663" s="269"/>
      <c r="E663" s="269"/>
      <c r="F663" s="269"/>
      <c r="G663" s="307"/>
      <c r="H663" s="308"/>
      <c r="I663" s="275"/>
      <c r="J663" s="269"/>
      <c r="K663" s="269"/>
      <c r="L663" s="269"/>
      <c r="M663" s="269"/>
      <c r="N663" s="269"/>
      <c r="O663" s="269"/>
      <c r="P663" s="269"/>
      <c r="Q663" s="269"/>
      <c r="R663" s="269"/>
    </row>
    <row r="664">
      <c r="A664" s="269"/>
      <c r="B664" s="306"/>
      <c r="C664" s="271"/>
      <c r="D664" s="269"/>
      <c r="E664" s="269"/>
      <c r="F664" s="269"/>
      <c r="G664" s="307"/>
      <c r="H664" s="308"/>
      <c r="I664" s="275"/>
      <c r="J664" s="269"/>
      <c r="K664" s="269"/>
      <c r="L664" s="269"/>
      <c r="M664" s="269"/>
      <c r="N664" s="269"/>
      <c r="O664" s="269"/>
      <c r="P664" s="269"/>
      <c r="Q664" s="269"/>
      <c r="R664" s="269"/>
    </row>
    <row r="665">
      <c r="A665" s="269"/>
      <c r="B665" s="306"/>
      <c r="C665" s="271"/>
      <c r="D665" s="269"/>
      <c r="E665" s="269"/>
      <c r="F665" s="269"/>
      <c r="G665" s="307"/>
      <c r="H665" s="308"/>
      <c r="I665" s="275"/>
      <c r="J665" s="269"/>
      <c r="K665" s="269"/>
      <c r="L665" s="269"/>
      <c r="M665" s="269"/>
      <c r="N665" s="269"/>
      <c r="O665" s="269"/>
      <c r="P665" s="269"/>
      <c r="Q665" s="269"/>
      <c r="R665" s="269"/>
    </row>
    <row r="666">
      <c r="A666" s="269"/>
      <c r="B666" s="306"/>
      <c r="C666" s="271"/>
      <c r="D666" s="269"/>
      <c r="E666" s="269"/>
      <c r="F666" s="269"/>
      <c r="G666" s="307"/>
      <c r="H666" s="308"/>
      <c r="I666" s="275"/>
      <c r="J666" s="269"/>
      <c r="K666" s="269"/>
      <c r="L666" s="269"/>
      <c r="M666" s="269"/>
      <c r="N666" s="269"/>
      <c r="O666" s="269"/>
      <c r="P666" s="269"/>
      <c r="Q666" s="269"/>
      <c r="R666" s="269"/>
    </row>
    <row r="667">
      <c r="A667" s="269"/>
      <c r="B667" s="306"/>
      <c r="C667" s="271"/>
      <c r="D667" s="269"/>
      <c r="E667" s="269"/>
      <c r="F667" s="269"/>
      <c r="G667" s="307"/>
      <c r="H667" s="308"/>
      <c r="I667" s="275"/>
      <c r="J667" s="269"/>
      <c r="K667" s="269"/>
      <c r="L667" s="269"/>
      <c r="M667" s="269"/>
      <c r="N667" s="269"/>
      <c r="O667" s="269"/>
      <c r="P667" s="269"/>
      <c r="Q667" s="269"/>
      <c r="R667" s="269"/>
    </row>
    <row r="668">
      <c r="A668" s="269"/>
      <c r="B668" s="306"/>
      <c r="C668" s="271"/>
      <c r="D668" s="269"/>
      <c r="E668" s="269"/>
      <c r="F668" s="269"/>
      <c r="G668" s="307"/>
      <c r="H668" s="308"/>
      <c r="I668" s="275"/>
      <c r="J668" s="269"/>
      <c r="K668" s="269"/>
      <c r="L668" s="269"/>
      <c r="M668" s="269"/>
      <c r="N668" s="269"/>
      <c r="O668" s="269"/>
      <c r="P668" s="269"/>
      <c r="Q668" s="269"/>
      <c r="R668" s="269"/>
    </row>
    <row r="669">
      <c r="A669" s="269"/>
      <c r="B669" s="306"/>
      <c r="C669" s="271"/>
      <c r="D669" s="269"/>
      <c r="E669" s="269"/>
      <c r="F669" s="269"/>
      <c r="G669" s="307"/>
      <c r="H669" s="308"/>
      <c r="I669" s="275"/>
      <c r="J669" s="269"/>
      <c r="K669" s="269"/>
      <c r="L669" s="269"/>
      <c r="M669" s="269"/>
      <c r="N669" s="269"/>
      <c r="O669" s="269"/>
      <c r="P669" s="269"/>
      <c r="Q669" s="269"/>
      <c r="R669" s="269"/>
    </row>
    <row r="670">
      <c r="A670" s="269"/>
      <c r="B670" s="306"/>
      <c r="C670" s="271"/>
      <c r="D670" s="269"/>
      <c r="E670" s="269"/>
      <c r="F670" s="269"/>
      <c r="G670" s="307"/>
      <c r="H670" s="308"/>
      <c r="I670" s="275"/>
      <c r="J670" s="269"/>
      <c r="K670" s="269"/>
      <c r="L670" s="269"/>
      <c r="M670" s="269"/>
      <c r="N670" s="269"/>
      <c r="O670" s="269"/>
      <c r="P670" s="269"/>
      <c r="Q670" s="269"/>
      <c r="R670" s="269"/>
    </row>
    <row r="671">
      <c r="A671" s="269"/>
      <c r="B671" s="306"/>
      <c r="C671" s="271"/>
      <c r="D671" s="269"/>
      <c r="E671" s="269"/>
      <c r="F671" s="269"/>
      <c r="G671" s="307"/>
      <c r="H671" s="308"/>
      <c r="I671" s="275"/>
      <c r="J671" s="269"/>
      <c r="K671" s="269"/>
      <c r="L671" s="269"/>
      <c r="M671" s="269"/>
      <c r="N671" s="269"/>
      <c r="O671" s="269"/>
      <c r="P671" s="269"/>
      <c r="Q671" s="269"/>
      <c r="R671" s="269"/>
    </row>
    <row r="672">
      <c r="A672" s="269"/>
      <c r="B672" s="306"/>
      <c r="C672" s="271"/>
      <c r="D672" s="269"/>
      <c r="E672" s="269"/>
      <c r="F672" s="269"/>
      <c r="G672" s="307"/>
      <c r="H672" s="308"/>
      <c r="I672" s="275"/>
      <c r="J672" s="269"/>
      <c r="K672" s="269"/>
      <c r="L672" s="269"/>
      <c r="M672" s="269"/>
      <c r="N672" s="269"/>
      <c r="O672" s="269"/>
      <c r="P672" s="269"/>
      <c r="Q672" s="269"/>
      <c r="R672" s="269"/>
    </row>
    <row r="673">
      <c r="A673" s="269"/>
      <c r="B673" s="306"/>
      <c r="C673" s="271"/>
      <c r="D673" s="269"/>
      <c r="E673" s="269"/>
      <c r="F673" s="269"/>
      <c r="G673" s="307"/>
      <c r="H673" s="308"/>
      <c r="I673" s="275"/>
      <c r="J673" s="269"/>
      <c r="K673" s="269"/>
      <c r="L673" s="269"/>
      <c r="M673" s="269"/>
      <c r="N673" s="269"/>
      <c r="O673" s="269"/>
      <c r="P673" s="269"/>
      <c r="Q673" s="269"/>
      <c r="R673" s="269"/>
    </row>
    <row r="674">
      <c r="A674" s="269"/>
      <c r="B674" s="306"/>
      <c r="C674" s="271"/>
      <c r="D674" s="269"/>
      <c r="E674" s="269"/>
      <c r="F674" s="269"/>
      <c r="G674" s="307"/>
      <c r="H674" s="308"/>
      <c r="I674" s="275"/>
      <c r="J674" s="269"/>
      <c r="K674" s="269"/>
      <c r="L674" s="269"/>
      <c r="M674" s="269"/>
      <c r="N674" s="269"/>
      <c r="O674" s="269"/>
      <c r="P674" s="269"/>
      <c r="Q674" s="269"/>
      <c r="R674" s="269"/>
    </row>
    <row r="675">
      <c r="A675" s="269"/>
      <c r="B675" s="306"/>
      <c r="C675" s="271"/>
      <c r="D675" s="269"/>
      <c r="E675" s="269"/>
      <c r="F675" s="269"/>
      <c r="G675" s="307"/>
      <c r="H675" s="308"/>
      <c r="I675" s="275"/>
      <c r="J675" s="269"/>
      <c r="K675" s="269"/>
      <c r="L675" s="269"/>
      <c r="M675" s="269"/>
      <c r="N675" s="269"/>
      <c r="O675" s="269"/>
      <c r="P675" s="269"/>
      <c r="Q675" s="269"/>
      <c r="R675" s="269"/>
    </row>
    <row r="676">
      <c r="A676" s="269"/>
      <c r="B676" s="306"/>
      <c r="C676" s="271"/>
      <c r="D676" s="269"/>
      <c r="E676" s="269"/>
      <c r="F676" s="269"/>
      <c r="G676" s="307"/>
      <c r="H676" s="308"/>
      <c r="I676" s="275"/>
      <c r="J676" s="269"/>
      <c r="K676" s="269"/>
      <c r="L676" s="269"/>
      <c r="M676" s="269"/>
      <c r="N676" s="269"/>
      <c r="O676" s="269"/>
      <c r="P676" s="269"/>
      <c r="Q676" s="269"/>
      <c r="R676" s="269"/>
    </row>
    <row r="677">
      <c r="A677" s="269"/>
      <c r="B677" s="306"/>
      <c r="C677" s="271"/>
      <c r="D677" s="269"/>
      <c r="E677" s="269"/>
      <c r="F677" s="269"/>
      <c r="G677" s="307"/>
      <c r="H677" s="308"/>
      <c r="I677" s="275"/>
      <c r="J677" s="269"/>
      <c r="K677" s="269"/>
      <c r="L677" s="269"/>
      <c r="M677" s="269"/>
      <c r="N677" s="269"/>
      <c r="O677" s="269"/>
      <c r="P677" s="269"/>
      <c r="Q677" s="269"/>
      <c r="R677" s="269"/>
    </row>
    <row r="678">
      <c r="A678" s="269"/>
      <c r="B678" s="306"/>
      <c r="C678" s="271"/>
      <c r="D678" s="269"/>
      <c r="E678" s="269"/>
      <c r="F678" s="269"/>
      <c r="G678" s="307"/>
      <c r="H678" s="308"/>
      <c r="I678" s="275"/>
      <c r="J678" s="269"/>
      <c r="K678" s="269"/>
      <c r="L678" s="269"/>
      <c r="M678" s="269"/>
      <c r="N678" s="269"/>
      <c r="O678" s="269"/>
      <c r="P678" s="269"/>
      <c r="Q678" s="269"/>
      <c r="R678" s="269"/>
    </row>
    <row r="679">
      <c r="A679" s="269"/>
      <c r="B679" s="306"/>
      <c r="C679" s="271"/>
      <c r="D679" s="269"/>
      <c r="E679" s="269"/>
      <c r="F679" s="269"/>
      <c r="G679" s="307"/>
      <c r="H679" s="308"/>
      <c r="I679" s="275"/>
      <c r="J679" s="269"/>
      <c r="K679" s="269"/>
      <c r="L679" s="269"/>
      <c r="M679" s="269"/>
      <c r="N679" s="269"/>
      <c r="O679" s="269"/>
      <c r="P679" s="269"/>
      <c r="Q679" s="269"/>
      <c r="R679" s="269"/>
    </row>
    <row r="680">
      <c r="A680" s="269"/>
      <c r="B680" s="306"/>
      <c r="C680" s="271"/>
      <c r="D680" s="269"/>
      <c r="E680" s="269"/>
      <c r="F680" s="269"/>
      <c r="G680" s="307"/>
      <c r="H680" s="308"/>
      <c r="I680" s="275"/>
      <c r="J680" s="269"/>
      <c r="K680" s="269"/>
      <c r="L680" s="269"/>
      <c r="M680" s="269"/>
      <c r="N680" s="269"/>
      <c r="O680" s="269"/>
      <c r="P680" s="269"/>
      <c r="Q680" s="269"/>
      <c r="R680" s="269"/>
    </row>
    <row r="681">
      <c r="A681" s="269"/>
      <c r="B681" s="306"/>
      <c r="C681" s="271"/>
      <c r="D681" s="269"/>
      <c r="E681" s="269"/>
      <c r="F681" s="269"/>
      <c r="G681" s="307"/>
      <c r="H681" s="308"/>
      <c r="I681" s="275"/>
      <c r="J681" s="269"/>
      <c r="K681" s="269"/>
      <c r="L681" s="269"/>
      <c r="M681" s="269"/>
      <c r="N681" s="269"/>
      <c r="O681" s="269"/>
      <c r="P681" s="269"/>
      <c r="Q681" s="269"/>
      <c r="R681" s="269"/>
    </row>
    <row r="682">
      <c r="A682" s="269"/>
      <c r="B682" s="306"/>
      <c r="C682" s="271"/>
      <c r="D682" s="269"/>
      <c r="E682" s="269"/>
      <c r="F682" s="269"/>
      <c r="G682" s="307"/>
      <c r="H682" s="308"/>
      <c r="I682" s="275"/>
      <c r="J682" s="269"/>
      <c r="K682" s="269"/>
      <c r="L682" s="269"/>
      <c r="M682" s="269"/>
      <c r="N682" s="269"/>
      <c r="O682" s="269"/>
      <c r="P682" s="269"/>
      <c r="Q682" s="269"/>
      <c r="R682" s="269"/>
    </row>
    <row r="683">
      <c r="A683" s="269"/>
      <c r="B683" s="306"/>
      <c r="C683" s="271"/>
      <c r="D683" s="269"/>
      <c r="E683" s="269"/>
      <c r="F683" s="269"/>
      <c r="G683" s="307"/>
      <c r="H683" s="308"/>
      <c r="I683" s="275"/>
      <c r="J683" s="269"/>
      <c r="K683" s="269"/>
      <c r="L683" s="269"/>
      <c r="M683" s="269"/>
      <c r="N683" s="269"/>
      <c r="O683" s="269"/>
      <c r="P683" s="269"/>
      <c r="Q683" s="269"/>
      <c r="R683" s="269"/>
    </row>
    <row r="684">
      <c r="A684" s="269"/>
      <c r="B684" s="306"/>
      <c r="C684" s="271"/>
      <c r="D684" s="269"/>
      <c r="E684" s="269"/>
      <c r="F684" s="269"/>
      <c r="G684" s="307"/>
      <c r="H684" s="308"/>
      <c r="I684" s="275"/>
      <c r="J684" s="269"/>
      <c r="K684" s="269"/>
      <c r="L684" s="269"/>
      <c r="M684" s="269"/>
      <c r="N684" s="269"/>
      <c r="O684" s="269"/>
      <c r="P684" s="269"/>
      <c r="Q684" s="269"/>
      <c r="R684" s="269"/>
    </row>
    <row r="685">
      <c r="A685" s="269"/>
      <c r="B685" s="306"/>
      <c r="C685" s="271"/>
      <c r="D685" s="269"/>
      <c r="E685" s="269"/>
      <c r="F685" s="269"/>
      <c r="G685" s="307"/>
      <c r="H685" s="308"/>
      <c r="I685" s="275"/>
      <c r="J685" s="269"/>
      <c r="K685" s="269"/>
      <c r="L685" s="269"/>
      <c r="M685" s="269"/>
      <c r="N685" s="269"/>
      <c r="O685" s="269"/>
      <c r="P685" s="269"/>
      <c r="Q685" s="269"/>
      <c r="R685" s="269"/>
    </row>
    <row r="686">
      <c r="A686" s="269"/>
      <c r="B686" s="306"/>
      <c r="C686" s="271"/>
      <c r="D686" s="269"/>
      <c r="E686" s="269"/>
      <c r="F686" s="269"/>
      <c r="G686" s="307"/>
      <c r="H686" s="308"/>
      <c r="I686" s="275"/>
      <c r="J686" s="269"/>
      <c r="K686" s="269"/>
      <c r="L686" s="269"/>
      <c r="M686" s="269"/>
      <c r="N686" s="269"/>
      <c r="O686" s="269"/>
      <c r="P686" s="269"/>
      <c r="Q686" s="269"/>
      <c r="R686" s="269"/>
    </row>
    <row r="687">
      <c r="A687" s="269"/>
      <c r="B687" s="306"/>
      <c r="C687" s="271"/>
      <c r="D687" s="269"/>
      <c r="E687" s="269"/>
      <c r="F687" s="269"/>
      <c r="G687" s="307"/>
      <c r="H687" s="308"/>
      <c r="I687" s="275"/>
      <c r="J687" s="269"/>
      <c r="K687" s="269"/>
      <c r="L687" s="269"/>
      <c r="M687" s="269"/>
      <c r="N687" s="269"/>
      <c r="O687" s="269"/>
      <c r="P687" s="269"/>
      <c r="Q687" s="269"/>
      <c r="R687" s="269"/>
    </row>
    <row r="688">
      <c r="A688" s="269"/>
      <c r="B688" s="306"/>
      <c r="C688" s="271"/>
      <c r="D688" s="269"/>
      <c r="E688" s="269"/>
      <c r="F688" s="269"/>
      <c r="G688" s="307"/>
      <c r="H688" s="308"/>
      <c r="I688" s="275"/>
      <c r="J688" s="269"/>
      <c r="K688" s="269"/>
      <c r="L688" s="269"/>
      <c r="M688" s="269"/>
      <c r="N688" s="269"/>
      <c r="O688" s="269"/>
      <c r="P688" s="269"/>
      <c r="Q688" s="269"/>
      <c r="R688" s="269"/>
    </row>
    <row r="689">
      <c r="A689" s="269"/>
      <c r="B689" s="306"/>
      <c r="C689" s="271"/>
      <c r="D689" s="269"/>
      <c r="E689" s="269"/>
      <c r="F689" s="269"/>
      <c r="G689" s="307"/>
      <c r="H689" s="308"/>
      <c r="I689" s="275"/>
      <c r="J689" s="269"/>
      <c r="K689" s="269"/>
      <c r="L689" s="269"/>
      <c r="M689" s="269"/>
      <c r="N689" s="269"/>
      <c r="O689" s="269"/>
      <c r="P689" s="269"/>
      <c r="Q689" s="269"/>
      <c r="R689" s="269"/>
    </row>
    <row r="690">
      <c r="A690" s="269"/>
      <c r="B690" s="306"/>
      <c r="C690" s="271"/>
      <c r="D690" s="269"/>
      <c r="E690" s="269"/>
      <c r="F690" s="269"/>
      <c r="G690" s="307"/>
      <c r="H690" s="308"/>
      <c r="I690" s="275"/>
      <c r="J690" s="269"/>
      <c r="K690" s="269"/>
      <c r="L690" s="269"/>
      <c r="M690" s="269"/>
      <c r="N690" s="269"/>
      <c r="O690" s="269"/>
      <c r="P690" s="269"/>
      <c r="Q690" s="269"/>
      <c r="R690" s="269"/>
    </row>
    <row r="691">
      <c r="A691" s="269"/>
      <c r="B691" s="306"/>
      <c r="C691" s="271"/>
      <c r="D691" s="269"/>
      <c r="E691" s="269"/>
      <c r="F691" s="269"/>
      <c r="G691" s="307"/>
      <c r="H691" s="308"/>
      <c r="I691" s="275"/>
      <c r="J691" s="269"/>
      <c r="K691" s="269"/>
      <c r="L691" s="269"/>
      <c r="M691" s="269"/>
      <c r="N691" s="269"/>
      <c r="O691" s="269"/>
      <c r="P691" s="269"/>
      <c r="Q691" s="269"/>
      <c r="R691" s="269"/>
    </row>
    <row r="692">
      <c r="A692" s="269"/>
      <c r="B692" s="306"/>
      <c r="C692" s="271"/>
      <c r="D692" s="269"/>
      <c r="E692" s="269"/>
      <c r="F692" s="269"/>
      <c r="G692" s="307"/>
      <c r="H692" s="308"/>
      <c r="I692" s="275"/>
      <c r="J692" s="269"/>
      <c r="K692" s="269"/>
      <c r="L692" s="269"/>
      <c r="M692" s="269"/>
      <c r="N692" s="269"/>
      <c r="O692" s="269"/>
      <c r="P692" s="269"/>
      <c r="Q692" s="269"/>
      <c r="R692" s="269"/>
    </row>
    <row r="693">
      <c r="A693" s="269"/>
      <c r="B693" s="306"/>
      <c r="C693" s="271"/>
      <c r="D693" s="269"/>
      <c r="E693" s="269"/>
      <c r="F693" s="269"/>
      <c r="G693" s="307"/>
      <c r="H693" s="308"/>
      <c r="I693" s="275"/>
      <c r="J693" s="269"/>
      <c r="K693" s="269"/>
      <c r="L693" s="269"/>
      <c r="M693" s="269"/>
      <c r="N693" s="269"/>
      <c r="O693" s="269"/>
      <c r="P693" s="269"/>
      <c r="Q693" s="269"/>
      <c r="R693" s="269"/>
    </row>
    <row r="694">
      <c r="A694" s="269"/>
      <c r="B694" s="306"/>
      <c r="C694" s="271"/>
      <c r="D694" s="269"/>
      <c r="E694" s="269"/>
      <c r="F694" s="269"/>
      <c r="G694" s="307"/>
      <c r="H694" s="308"/>
      <c r="I694" s="275"/>
      <c r="J694" s="269"/>
      <c r="K694" s="269"/>
      <c r="L694" s="269"/>
      <c r="M694" s="269"/>
      <c r="N694" s="269"/>
      <c r="O694" s="269"/>
      <c r="P694" s="269"/>
      <c r="Q694" s="269"/>
      <c r="R694" s="269"/>
    </row>
    <row r="695">
      <c r="A695" s="269"/>
      <c r="B695" s="306"/>
      <c r="C695" s="271"/>
      <c r="D695" s="269"/>
      <c r="E695" s="269"/>
      <c r="F695" s="269"/>
      <c r="G695" s="307"/>
      <c r="H695" s="308"/>
      <c r="I695" s="275"/>
      <c r="J695" s="269"/>
      <c r="K695" s="269"/>
      <c r="L695" s="269"/>
      <c r="M695" s="269"/>
      <c r="N695" s="269"/>
      <c r="O695" s="269"/>
      <c r="P695" s="269"/>
      <c r="Q695" s="269"/>
      <c r="R695" s="269"/>
    </row>
    <row r="696">
      <c r="A696" s="269"/>
      <c r="B696" s="306"/>
      <c r="C696" s="271"/>
      <c r="D696" s="269"/>
      <c r="E696" s="269"/>
      <c r="F696" s="269"/>
      <c r="G696" s="307"/>
      <c r="H696" s="308"/>
      <c r="I696" s="275"/>
      <c r="J696" s="269"/>
      <c r="K696" s="269"/>
      <c r="L696" s="269"/>
      <c r="M696" s="269"/>
      <c r="N696" s="269"/>
      <c r="O696" s="269"/>
      <c r="P696" s="269"/>
      <c r="Q696" s="269"/>
      <c r="R696" s="269"/>
    </row>
    <row r="697">
      <c r="A697" s="269"/>
      <c r="B697" s="306"/>
      <c r="C697" s="271"/>
      <c r="D697" s="269"/>
      <c r="E697" s="269"/>
      <c r="F697" s="269"/>
      <c r="G697" s="307"/>
      <c r="H697" s="308"/>
      <c r="I697" s="275"/>
      <c r="J697" s="269"/>
      <c r="K697" s="269"/>
      <c r="L697" s="269"/>
      <c r="M697" s="269"/>
      <c r="N697" s="269"/>
      <c r="O697" s="269"/>
      <c r="P697" s="269"/>
      <c r="Q697" s="269"/>
      <c r="R697" s="269"/>
    </row>
    <row r="698">
      <c r="A698" s="269"/>
      <c r="B698" s="306"/>
      <c r="C698" s="271"/>
      <c r="D698" s="269"/>
      <c r="E698" s="269"/>
      <c r="F698" s="269"/>
      <c r="G698" s="307"/>
      <c r="H698" s="308"/>
      <c r="I698" s="275"/>
      <c r="J698" s="269"/>
      <c r="K698" s="269"/>
      <c r="L698" s="269"/>
      <c r="M698" s="269"/>
      <c r="N698" s="269"/>
      <c r="O698" s="269"/>
      <c r="P698" s="269"/>
      <c r="Q698" s="269"/>
      <c r="R698" s="269"/>
    </row>
    <row r="699">
      <c r="A699" s="269"/>
      <c r="B699" s="306"/>
      <c r="C699" s="271"/>
      <c r="D699" s="269"/>
      <c r="E699" s="269"/>
      <c r="F699" s="269"/>
      <c r="G699" s="307"/>
      <c r="H699" s="308"/>
      <c r="I699" s="275"/>
      <c r="J699" s="269"/>
      <c r="K699" s="269"/>
      <c r="L699" s="269"/>
      <c r="M699" s="269"/>
      <c r="N699" s="269"/>
      <c r="O699" s="269"/>
      <c r="P699" s="269"/>
      <c r="Q699" s="269"/>
      <c r="R699" s="269"/>
    </row>
    <row r="700">
      <c r="A700" s="269"/>
      <c r="B700" s="306"/>
      <c r="C700" s="271"/>
      <c r="D700" s="269"/>
      <c r="E700" s="269"/>
      <c r="F700" s="269"/>
      <c r="G700" s="307"/>
      <c r="H700" s="308"/>
      <c r="I700" s="275"/>
      <c r="J700" s="269"/>
      <c r="K700" s="269"/>
      <c r="L700" s="269"/>
      <c r="M700" s="269"/>
      <c r="N700" s="269"/>
      <c r="O700" s="269"/>
      <c r="P700" s="269"/>
      <c r="Q700" s="269"/>
      <c r="R700" s="269"/>
    </row>
    <row r="701">
      <c r="A701" s="269"/>
      <c r="B701" s="306"/>
      <c r="C701" s="271"/>
      <c r="D701" s="269"/>
      <c r="E701" s="269"/>
      <c r="F701" s="269"/>
      <c r="G701" s="307"/>
      <c r="H701" s="308"/>
      <c r="I701" s="275"/>
      <c r="J701" s="269"/>
      <c r="K701" s="269"/>
      <c r="L701" s="269"/>
      <c r="M701" s="269"/>
      <c r="N701" s="269"/>
      <c r="O701" s="269"/>
      <c r="P701" s="269"/>
      <c r="Q701" s="269"/>
      <c r="R701" s="269"/>
    </row>
    <row r="702">
      <c r="A702" s="269"/>
      <c r="B702" s="306"/>
      <c r="C702" s="271"/>
      <c r="D702" s="269"/>
      <c r="E702" s="269"/>
      <c r="F702" s="269"/>
      <c r="G702" s="307"/>
      <c r="H702" s="308"/>
      <c r="I702" s="275"/>
      <c r="J702" s="269"/>
      <c r="K702" s="269"/>
      <c r="L702" s="269"/>
      <c r="M702" s="269"/>
      <c r="N702" s="269"/>
      <c r="O702" s="269"/>
      <c r="P702" s="269"/>
      <c r="Q702" s="269"/>
      <c r="R702" s="269"/>
    </row>
    <row r="703">
      <c r="A703" s="269"/>
      <c r="B703" s="306"/>
      <c r="C703" s="271"/>
      <c r="D703" s="269"/>
      <c r="E703" s="269"/>
      <c r="F703" s="269"/>
      <c r="G703" s="307"/>
      <c r="H703" s="308"/>
      <c r="I703" s="275"/>
      <c r="J703" s="269"/>
      <c r="K703" s="269"/>
      <c r="L703" s="269"/>
      <c r="M703" s="269"/>
      <c r="N703" s="269"/>
      <c r="O703" s="269"/>
      <c r="P703" s="269"/>
      <c r="Q703" s="269"/>
      <c r="R703" s="269"/>
    </row>
    <row r="704">
      <c r="A704" s="269"/>
      <c r="B704" s="306"/>
      <c r="C704" s="271"/>
      <c r="D704" s="269"/>
      <c r="E704" s="269"/>
      <c r="F704" s="269"/>
      <c r="G704" s="307"/>
      <c r="H704" s="308"/>
      <c r="I704" s="275"/>
      <c r="J704" s="269"/>
      <c r="K704" s="269"/>
      <c r="L704" s="269"/>
      <c r="M704" s="269"/>
      <c r="N704" s="269"/>
      <c r="O704" s="269"/>
      <c r="P704" s="269"/>
      <c r="Q704" s="269"/>
      <c r="R704" s="269"/>
    </row>
    <row r="705">
      <c r="A705" s="269"/>
      <c r="B705" s="306"/>
      <c r="C705" s="271"/>
      <c r="D705" s="269"/>
      <c r="E705" s="269"/>
      <c r="F705" s="269"/>
      <c r="G705" s="307"/>
      <c r="H705" s="308"/>
      <c r="I705" s="275"/>
      <c r="J705" s="269"/>
      <c r="K705" s="269"/>
      <c r="L705" s="269"/>
      <c r="M705" s="269"/>
      <c r="N705" s="269"/>
      <c r="O705" s="269"/>
      <c r="P705" s="269"/>
      <c r="Q705" s="269"/>
      <c r="R705" s="269"/>
    </row>
    <row r="706">
      <c r="A706" s="269"/>
      <c r="B706" s="306"/>
      <c r="C706" s="271"/>
      <c r="D706" s="269"/>
      <c r="E706" s="269"/>
      <c r="F706" s="269"/>
      <c r="G706" s="307"/>
      <c r="H706" s="308"/>
      <c r="I706" s="275"/>
      <c r="J706" s="269"/>
      <c r="K706" s="269"/>
      <c r="L706" s="269"/>
      <c r="M706" s="269"/>
      <c r="N706" s="269"/>
      <c r="O706" s="269"/>
      <c r="P706" s="269"/>
      <c r="Q706" s="269"/>
      <c r="R706" s="269"/>
    </row>
    <row r="707">
      <c r="A707" s="269"/>
      <c r="B707" s="306"/>
      <c r="C707" s="271"/>
      <c r="D707" s="269"/>
      <c r="E707" s="269"/>
      <c r="F707" s="269"/>
      <c r="G707" s="307"/>
      <c r="H707" s="308"/>
      <c r="I707" s="275"/>
      <c r="J707" s="269"/>
      <c r="K707" s="269"/>
      <c r="L707" s="269"/>
      <c r="M707" s="269"/>
      <c r="N707" s="269"/>
      <c r="O707" s="269"/>
      <c r="P707" s="269"/>
      <c r="Q707" s="269"/>
      <c r="R707" s="269"/>
    </row>
    <row r="708">
      <c r="A708" s="269"/>
      <c r="B708" s="306"/>
      <c r="C708" s="271"/>
      <c r="D708" s="269"/>
      <c r="E708" s="269"/>
      <c r="F708" s="269"/>
      <c r="G708" s="307"/>
      <c r="H708" s="308"/>
      <c r="I708" s="275"/>
      <c r="J708" s="269"/>
      <c r="K708" s="269"/>
      <c r="L708" s="269"/>
      <c r="M708" s="269"/>
      <c r="N708" s="269"/>
      <c r="O708" s="269"/>
      <c r="P708" s="269"/>
      <c r="Q708" s="269"/>
      <c r="R708" s="269"/>
    </row>
    <row r="709">
      <c r="A709" s="269"/>
      <c r="B709" s="306"/>
      <c r="C709" s="271"/>
      <c r="D709" s="269"/>
      <c r="E709" s="269"/>
      <c r="F709" s="269"/>
      <c r="G709" s="307"/>
      <c r="H709" s="308"/>
      <c r="I709" s="275"/>
      <c r="J709" s="269"/>
      <c r="K709" s="269"/>
      <c r="L709" s="269"/>
      <c r="M709" s="269"/>
      <c r="N709" s="269"/>
      <c r="O709" s="269"/>
      <c r="P709" s="269"/>
      <c r="Q709" s="269"/>
      <c r="R709" s="269"/>
    </row>
    <row r="710">
      <c r="A710" s="269"/>
      <c r="B710" s="306"/>
      <c r="C710" s="271"/>
      <c r="D710" s="269"/>
      <c r="E710" s="269"/>
      <c r="F710" s="269"/>
      <c r="G710" s="307"/>
      <c r="H710" s="308"/>
      <c r="I710" s="275"/>
      <c r="J710" s="269"/>
      <c r="K710" s="269"/>
      <c r="L710" s="269"/>
      <c r="M710" s="269"/>
      <c r="N710" s="269"/>
      <c r="O710" s="269"/>
      <c r="P710" s="269"/>
      <c r="Q710" s="269"/>
      <c r="R710" s="269"/>
    </row>
    <row r="711">
      <c r="A711" s="269"/>
      <c r="B711" s="306"/>
      <c r="C711" s="271"/>
      <c r="D711" s="269"/>
      <c r="E711" s="269"/>
      <c r="F711" s="269"/>
      <c r="G711" s="307"/>
      <c r="H711" s="308"/>
      <c r="I711" s="275"/>
      <c r="J711" s="269"/>
      <c r="K711" s="269"/>
      <c r="L711" s="269"/>
      <c r="M711" s="269"/>
      <c r="N711" s="269"/>
      <c r="O711" s="269"/>
      <c r="P711" s="269"/>
      <c r="Q711" s="269"/>
      <c r="R711" s="269"/>
    </row>
    <row r="712">
      <c r="A712" s="269"/>
      <c r="B712" s="306"/>
      <c r="C712" s="271"/>
      <c r="D712" s="269"/>
      <c r="E712" s="269"/>
      <c r="F712" s="269"/>
      <c r="G712" s="307"/>
      <c r="H712" s="308"/>
      <c r="I712" s="275"/>
      <c r="J712" s="269"/>
      <c r="K712" s="269"/>
      <c r="L712" s="269"/>
      <c r="M712" s="269"/>
      <c r="N712" s="269"/>
      <c r="O712" s="269"/>
      <c r="P712" s="269"/>
      <c r="Q712" s="269"/>
      <c r="R712" s="269"/>
    </row>
    <row r="713">
      <c r="A713" s="269"/>
      <c r="B713" s="306"/>
      <c r="C713" s="271"/>
      <c r="D713" s="269"/>
      <c r="E713" s="269"/>
      <c r="F713" s="269"/>
      <c r="G713" s="307"/>
      <c r="H713" s="308"/>
      <c r="I713" s="275"/>
      <c r="J713" s="269"/>
      <c r="K713" s="269"/>
      <c r="L713" s="269"/>
      <c r="M713" s="269"/>
      <c r="N713" s="269"/>
      <c r="O713" s="269"/>
      <c r="P713" s="269"/>
      <c r="Q713" s="269"/>
      <c r="R713" s="269"/>
    </row>
    <row r="714">
      <c r="A714" s="269"/>
      <c r="B714" s="306"/>
      <c r="C714" s="271"/>
      <c r="D714" s="269"/>
      <c r="E714" s="269"/>
      <c r="F714" s="269"/>
      <c r="G714" s="307"/>
      <c r="H714" s="308"/>
      <c r="I714" s="275"/>
      <c r="J714" s="269"/>
      <c r="K714" s="269"/>
      <c r="L714" s="269"/>
      <c r="M714" s="269"/>
      <c r="N714" s="269"/>
      <c r="O714" s="269"/>
      <c r="P714" s="269"/>
      <c r="Q714" s="269"/>
      <c r="R714" s="269"/>
    </row>
    <row r="715">
      <c r="A715" s="269"/>
      <c r="B715" s="306"/>
      <c r="C715" s="271"/>
      <c r="D715" s="269"/>
      <c r="E715" s="269"/>
      <c r="F715" s="269"/>
      <c r="G715" s="307"/>
      <c r="H715" s="308"/>
      <c r="I715" s="275"/>
      <c r="J715" s="269"/>
      <c r="K715" s="269"/>
      <c r="L715" s="269"/>
      <c r="M715" s="269"/>
      <c r="N715" s="269"/>
      <c r="O715" s="269"/>
      <c r="P715" s="269"/>
      <c r="Q715" s="269"/>
      <c r="R715" s="269"/>
    </row>
    <row r="716">
      <c r="A716" s="269"/>
      <c r="B716" s="306"/>
      <c r="C716" s="271"/>
      <c r="D716" s="269"/>
      <c r="E716" s="269"/>
      <c r="F716" s="269"/>
      <c r="G716" s="307"/>
      <c r="H716" s="308"/>
      <c r="I716" s="275"/>
      <c r="J716" s="269"/>
      <c r="K716" s="269"/>
      <c r="L716" s="269"/>
      <c r="M716" s="269"/>
      <c r="N716" s="269"/>
      <c r="O716" s="269"/>
      <c r="P716" s="269"/>
      <c r="Q716" s="269"/>
      <c r="R716" s="269"/>
    </row>
    <row r="717">
      <c r="A717" s="269"/>
      <c r="B717" s="306"/>
      <c r="C717" s="271"/>
      <c r="D717" s="269"/>
      <c r="E717" s="269"/>
      <c r="F717" s="269"/>
      <c r="G717" s="307"/>
      <c r="H717" s="308"/>
      <c r="I717" s="275"/>
      <c r="J717" s="269"/>
      <c r="K717" s="269"/>
      <c r="L717" s="269"/>
      <c r="M717" s="269"/>
      <c r="N717" s="269"/>
      <c r="O717" s="269"/>
      <c r="P717" s="269"/>
      <c r="Q717" s="269"/>
      <c r="R717" s="269"/>
    </row>
    <row r="718">
      <c r="A718" s="269"/>
      <c r="B718" s="306"/>
      <c r="C718" s="271"/>
      <c r="D718" s="269"/>
      <c r="E718" s="269"/>
      <c r="F718" s="269"/>
      <c r="G718" s="307"/>
      <c r="H718" s="308"/>
      <c r="I718" s="275"/>
      <c r="J718" s="269"/>
      <c r="K718" s="269"/>
      <c r="L718" s="269"/>
      <c r="M718" s="269"/>
      <c r="N718" s="269"/>
      <c r="O718" s="269"/>
      <c r="P718" s="269"/>
      <c r="Q718" s="269"/>
      <c r="R718" s="269"/>
    </row>
    <row r="719">
      <c r="A719" s="269"/>
      <c r="B719" s="306"/>
      <c r="C719" s="271"/>
      <c r="D719" s="269"/>
      <c r="E719" s="269"/>
      <c r="F719" s="269"/>
      <c r="G719" s="307"/>
      <c r="H719" s="308"/>
      <c r="I719" s="275"/>
      <c r="J719" s="269"/>
      <c r="K719" s="269"/>
      <c r="L719" s="269"/>
      <c r="M719" s="269"/>
      <c r="N719" s="269"/>
      <c r="O719" s="269"/>
      <c r="P719" s="269"/>
      <c r="Q719" s="269"/>
      <c r="R719" s="269"/>
    </row>
    <row r="720">
      <c r="A720" s="269"/>
      <c r="B720" s="306"/>
      <c r="C720" s="271"/>
      <c r="D720" s="269"/>
      <c r="E720" s="269"/>
      <c r="F720" s="269"/>
      <c r="G720" s="307"/>
      <c r="H720" s="308"/>
      <c r="I720" s="275"/>
      <c r="J720" s="269"/>
      <c r="K720" s="269"/>
      <c r="L720" s="269"/>
      <c r="M720" s="269"/>
      <c r="N720" s="269"/>
      <c r="O720" s="269"/>
      <c r="P720" s="269"/>
      <c r="Q720" s="269"/>
      <c r="R720" s="269"/>
    </row>
    <row r="721">
      <c r="A721" s="269"/>
      <c r="B721" s="306"/>
      <c r="C721" s="271"/>
      <c r="D721" s="269"/>
      <c r="E721" s="269"/>
      <c r="F721" s="269"/>
      <c r="G721" s="307"/>
      <c r="H721" s="308"/>
      <c r="I721" s="275"/>
      <c r="J721" s="269"/>
      <c r="K721" s="269"/>
      <c r="L721" s="269"/>
      <c r="M721" s="269"/>
      <c r="N721" s="269"/>
      <c r="O721" s="269"/>
      <c r="P721" s="269"/>
      <c r="Q721" s="269"/>
      <c r="R721" s="269"/>
    </row>
    <row r="722">
      <c r="A722" s="269"/>
      <c r="B722" s="306"/>
      <c r="C722" s="271"/>
      <c r="D722" s="269"/>
      <c r="E722" s="269"/>
      <c r="F722" s="269"/>
      <c r="G722" s="307"/>
      <c r="H722" s="308"/>
      <c r="I722" s="275"/>
      <c r="J722" s="269"/>
      <c r="K722" s="269"/>
      <c r="L722" s="269"/>
      <c r="M722" s="269"/>
      <c r="N722" s="269"/>
      <c r="O722" s="269"/>
      <c r="P722" s="269"/>
      <c r="Q722" s="269"/>
      <c r="R722" s="269"/>
    </row>
    <row r="723">
      <c r="A723" s="269"/>
      <c r="B723" s="306"/>
      <c r="C723" s="271"/>
      <c r="D723" s="269"/>
      <c r="E723" s="269"/>
      <c r="F723" s="269"/>
      <c r="G723" s="307"/>
      <c r="H723" s="308"/>
      <c r="I723" s="275"/>
      <c r="J723" s="269"/>
      <c r="K723" s="269"/>
      <c r="L723" s="269"/>
      <c r="M723" s="269"/>
      <c r="N723" s="269"/>
      <c r="O723" s="269"/>
      <c r="P723" s="269"/>
      <c r="Q723" s="269"/>
      <c r="R723" s="269"/>
    </row>
    <row r="724">
      <c r="A724" s="269"/>
      <c r="B724" s="306"/>
      <c r="C724" s="271"/>
      <c r="D724" s="269"/>
      <c r="E724" s="269"/>
      <c r="F724" s="269"/>
      <c r="G724" s="307"/>
      <c r="H724" s="308"/>
      <c r="I724" s="275"/>
      <c r="J724" s="269"/>
      <c r="K724" s="269"/>
      <c r="L724" s="269"/>
      <c r="M724" s="269"/>
      <c r="N724" s="269"/>
      <c r="O724" s="269"/>
      <c r="P724" s="269"/>
      <c r="Q724" s="269"/>
      <c r="R724" s="269"/>
    </row>
    <row r="725">
      <c r="A725" s="269"/>
      <c r="B725" s="306"/>
      <c r="C725" s="271"/>
      <c r="D725" s="269"/>
      <c r="E725" s="269"/>
      <c r="F725" s="269"/>
      <c r="G725" s="307"/>
      <c r="H725" s="308"/>
      <c r="I725" s="275"/>
      <c r="J725" s="269"/>
      <c r="K725" s="269"/>
      <c r="L725" s="269"/>
      <c r="M725" s="269"/>
      <c r="N725" s="269"/>
      <c r="O725" s="269"/>
      <c r="P725" s="269"/>
      <c r="Q725" s="269"/>
      <c r="R725" s="269"/>
    </row>
    <row r="726">
      <c r="A726" s="269"/>
      <c r="B726" s="306"/>
      <c r="C726" s="271"/>
      <c r="D726" s="269"/>
      <c r="E726" s="269"/>
      <c r="F726" s="269"/>
      <c r="G726" s="307"/>
      <c r="H726" s="308"/>
      <c r="I726" s="275"/>
      <c r="J726" s="269"/>
      <c r="K726" s="269"/>
      <c r="L726" s="269"/>
      <c r="M726" s="269"/>
      <c r="N726" s="269"/>
      <c r="O726" s="269"/>
      <c r="P726" s="269"/>
      <c r="Q726" s="269"/>
      <c r="R726" s="269"/>
    </row>
    <row r="727">
      <c r="A727" s="269"/>
      <c r="B727" s="306"/>
      <c r="C727" s="271"/>
      <c r="D727" s="269"/>
      <c r="E727" s="269"/>
      <c r="F727" s="269"/>
      <c r="G727" s="307"/>
      <c r="H727" s="308"/>
      <c r="I727" s="275"/>
      <c r="J727" s="269"/>
      <c r="K727" s="269"/>
      <c r="L727" s="269"/>
      <c r="M727" s="269"/>
      <c r="N727" s="269"/>
      <c r="O727" s="269"/>
      <c r="P727" s="269"/>
      <c r="Q727" s="269"/>
      <c r="R727" s="269"/>
    </row>
    <row r="728">
      <c r="A728" s="269"/>
      <c r="B728" s="306"/>
      <c r="C728" s="271"/>
      <c r="D728" s="269"/>
      <c r="E728" s="269"/>
      <c r="F728" s="269"/>
      <c r="G728" s="307"/>
      <c r="H728" s="308"/>
      <c r="I728" s="275"/>
      <c r="J728" s="269"/>
      <c r="K728" s="269"/>
      <c r="L728" s="269"/>
      <c r="M728" s="269"/>
      <c r="N728" s="269"/>
      <c r="O728" s="269"/>
      <c r="P728" s="269"/>
      <c r="Q728" s="269"/>
      <c r="R728" s="269"/>
    </row>
    <row r="729">
      <c r="A729" s="269"/>
      <c r="B729" s="306"/>
      <c r="C729" s="271"/>
      <c r="D729" s="269"/>
      <c r="E729" s="269"/>
      <c r="F729" s="269"/>
      <c r="G729" s="307"/>
      <c r="H729" s="308"/>
      <c r="I729" s="275"/>
      <c r="J729" s="269"/>
      <c r="K729" s="269"/>
      <c r="L729" s="269"/>
      <c r="M729" s="269"/>
      <c r="N729" s="269"/>
      <c r="O729" s="269"/>
      <c r="P729" s="269"/>
      <c r="Q729" s="269"/>
      <c r="R729" s="269"/>
    </row>
    <row r="730">
      <c r="A730" s="269"/>
      <c r="B730" s="306"/>
      <c r="C730" s="271"/>
      <c r="D730" s="269"/>
      <c r="E730" s="269"/>
      <c r="F730" s="269"/>
      <c r="G730" s="307"/>
      <c r="H730" s="308"/>
      <c r="I730" s="275"/>
      <c r="J730" s="269"/>
      <c r="K730" s="269"/>
      <c r="L730" s="269"/>
      <c r="M730" s="269"/>
      <c r="N730" s="269"/>
      <c r="O730" s="269"/>
      <c r="P730" s="269"/>
      <c r="Q730" s="269"/>
      <c r="R730" s="269"/>
    </row>
    <row r="731">
      <c r="A731" s="269"/>
      <c r="B731" s="306"/>
      <c r="C731" s="271"/>
      <c r="D731" s="269"/>
      <c r="E731" s="269"/>
      <c r="F731" s="269"/>
      <c r="G731" s="307"/>
      <c r="H731" s="308"/>
      <c r="I731" s="275"/>
      <c r="J731" s="269"/>
      <c r="K731" s="269"/>
      <c r="L731" s="269"/>
      <c r="M731" s="269"/>
      <c r="N731" s="269"/>
      <c r="O731" s="269"/>
      <c r="P731" s="269"/>
      <c r="Q731" s="269"/>
      <c r="R731" s="269"/>
    </row>
    <row r="732">
      <c r="A732" s="269"/>
      <c r="B732" s="306"/>
      <c r="C732" s="271"/>
      <c r="D732" s="269"/>
      <c r="E732" s="269"/>
      <c r="F732" s="269"/>
      <c r="G732" s="307"/>
      <c r="H732" s="308"/>
      <c r="I732" s="275"/>
      <c r="J732" s="269"/>
      <c r="K732" s="269"/>
      <c r="L732" s="269"/>
      <c r="M732" s="269"/>
      <c r="N732" s="269"/>
      <c r="O732" s="269"/>
      <c r="P732" s="269"/>
      <c r="Q732" s="269"/>
      <c r="R732" s="269"/>
    </row>
    <row r="733">
      <c r="A733" s="269"/>
      <c r="B733" s="306"/>
      <c r="C733" s="271"/>
      <c r="D733" s="269"/>
      <c r="E733" s="269"/>
      <c r="F733" s="269"/>
      <c r="G733" s="307"/>
      <c r="H733" s="308"/>
      <c r="I733" s="275"/>
      <c r="J733" s="269"/>
      <c r="K733" s="269"/>
      <c r="L733" s="269"/>
      <c r="M733" s="269"/>
      <c r="N733" s="269"/>
      <c r="O733" s="269"/>
      <c r="P733" s="269"/>
      <c r="Q733" s="269"/>
      <c r="R733" s="269"/>
    </row>
    <row r="734">
      <c r="A734" s="269"/>
      <c r="B734" s="306"/>
      <c r="C734" s="271"/>
      <c r="D734" s="269"/>
      <c r="E734" s="269"/>
      <c r="F734" s="269"/>
      <c r="G734" s="307"/>
      <c r="H734" s="308"/>
      <c r="I734" s="275"/>
      <c r="J734" s="269"/>
      <c r="K734" s="269"/>
      <c r="L734" s="269"/>
      <c r="M734" s="269"/>
      <c r="N734" s="269"/>
      <c r="O734" s="269"/>
      <c r="P734" s="269"/>
      <c r="Q734" s="269"/>
      <c r="R734" s="269"/>
    </row>
    <row r="735">
      <c r="A735" s="269"/>
      <c r="B735" s="306"/>
      <c r="C735" s="271"/>
      <c r="D735" s="269"/>
      <c r="E735" s="269"/>
      <c r="F735" s="269"/>
      <c r="G735" s="307"/>
      <c r="H735" s="308"/>
      <c r="I735" s="275"/>
      <c r="J735" s="269"/>
      <c r="K735" s="269"/>
      <c r="L735" s="269"/>
      <c r="M735" s="269"/>
      <c r="N735" s="269"/>
      <c r="O735" s="269"/>
      <c r="P735" s="269"/>
      <c r="Q735" s="269"/>
      <c r="R735" s="269"/>
    </row>
    <row r="736">
      <c r="A736" s="269"/>
      <c r="B736" s="306"/>
      <c r="C736" s="271"/>
      <c r="D736" s="269"/>
      <c r="E736" s="269"/>
      <c r="F736" s="269"/>
      <c r="G736" s="307"/>
      <c r="H736" s="308"/>
      <c r="I736" s="275"/>
      <c r="J736" s="269"/>
      <c r="K736" s="269"/>
      <c r="L736" s="269"/>
      <c r="M736" s="269"/>
      <c r="N736" s="269"/>
      <c r="O736" s="269"/>
      <c r="P736" s="269"/>
      <c r="Q736" s="269"/>
      <c r="R736" s="269"/>
    </row>
    <row r="737">
      <c r="A737" s="269"/>
      <c r="B737" s="306"/>
      <c r="C737" s="271"/>
      <c r="D737" s="269"/>
      <c r="E737" s="269"/>
      <c r="F737" s="269"/>
      <c r="G737" s="307"/>
      <c r="H737" s="308"/>
      <c r="I737" s="275"/>
      <c r="J737" s="269"/>
      <c r="K737" s="269"/>
      <c r="L737" s="269"/>
      <c r="M737" s="269"/>
      <c r="N737" s="269"/>
      <c r="O737" s="269"/>
      <c r="P737" s="269"/>
      <c r="Q737" s="269"/>
      <c r="R737" s="269"/>
    </row>
    <row r="738">
      <c r="A738" s="269"/>
      <c r="B738" s="306"/>
      <c r="C738" s="271"/>
      <c r="D738" s="269"/>
      <c r="E738" s="269"/>
      <c r="F738" s="269"/>
      <c r="G738" s="307"/>
      <c r="H738" s="308"/>
      <c r="I738" s="275"/>
      <c r="J738" s="269"/>
      <c r="K738" s="269"/>
      <c r="L738" s="269"/>
      <c r="M738" s="269"/>
      <c r="N738" s="269"/>
      <c r="O738" s="269"/>
      <c r="P738" s="269"/>
      <c r="Q738" s="269"/>
      <c r="R738" s="269"/>
    </row>
    <row r="739">
      <c r="A739" s="269"/>
      <c r="B739" s="306"/>
      <c r="C739" s="271"/>
      <c r="D739" s="269"/>
      <c r="E739" s="269"/>
      <c r="F739" s="269"/>
      <c r="G739" s="307"/>
      <c r="H739" s="308"/>
      <c r="I739" s="275"/>
      <c r="J739" s="269"/>
      <c r="K739" s="269"/>
      <c r="L739" s="269"/>
      <c r="M739" s="269"/>
      <c r="N739" s="269"/>
      <c r="O739" s="269"/>
      <c r="P739" s="269"/>
      <c r="Q739" s="269"/>
      <c r="R739" s="269"/>
    </row>
    <row r="740">
      <c r="A740" s="269"/>
      <c r="B740" s="306"/>
      <c r="C740" s="271"/>
      <c r="D740" s="269"/>
      <c r="E740" s="269"/>
      <c r="F740" s="269"/>
      <c r="G740" s="307"/>
      <c r="H740" s="308"/>
      <c r="I740" s="275"/>
      <c r="J740" s="269"/>
      <c r="K740" s="269"/>
      <c r="L740" s="269"/>
      <c r="M740" s="269"/>
      <c r="N740" s="269"/>
      <c r="O740" s="269"/>
      <c r="P740" s="269"/>
      <c r="Q740" s="269"/>
      <c r="R740" s="269"/>
    </row>
    <row r="741">
      <c r="A741" s="269"/>
      <c r="B741" s="306"/>
      <c r="C741" s="271"/>
      <c r="D741" s="269"/>
      <c r="E741" s="269"/>
      <c r="F741" s="269"/>
      <c r="G741" s="307"/>
      <c r="H741" s="308"/>
      <c r="I741" s="275"/>
      <c r="J741" s="269"/>
      <c r="K741" s="269"/>
      <c r="L741" s="269"/>
      <c r="M741" s="269"/>
      <c r="N741" s="269"/>
      <c r="O741" s="269"/>
      <c r="P741" s="269"/>
      <c r="Q741" s="269"/>
      <c r="R741" s="269"/>
    </row>
    <row r="742">
      <c r="A742" s="269"/>
      <c r="B742" s="306"/>
      <c r="C742" s="271"/>
      <c r="D742" s="269"/>
      <c r="E742" s="269"/>
      <c r="F742" s="269"/>
      <c r="G742" s="307"/>
      <c r="H742" s="308"/>
      <c r="I742" s="275"/>
      <c r="J742" s="269"/>
      <c r="K742" s="269"/>
      <c r="L742" s="269"/>
      <c r="M742" s="269"/>
      <c r="N742" s="269"/>
      <c r="O742" s="269"/>
      <c r="P742" s="269"/>
      <c r="Q742" s="269"/>
      <c r="R742" s="269"/>
    </row>
    <row r="743">
      <c r="A743" s="269"/>
      <c r="B743" s="306"/>
      <c r="C743" s="271"/>
      <c r="D743" s="269"/>
      <c r="E743" s="269"/>
      <c r="F743" s="269"/>
      <c r="G743" s="307"/>
      <c r="H743" s="308"/>
      <c r="I743" s="275"/>
      <c r="J743" s="269"/>
      <c r="K743" s="269"/>
      <c r="L743" s="269"/>
      <c r="M743" s="269"/>
      <c r="N743" s="269"/>
      <c r="O743" s="269"/>
      <c r="P743" s="269"/>
      <c r="Q743" s="269"/>
      <c r="R743" s="269"/>
    </row>
    <row r="744">
      <c r="A744" s="269"/>
      <c r="B744" s="306"/>
      <c r="C744" s="271"/>
      <c r="D744" s="269"/>
      <c r="E744" s="269"/>
      <c r="F744" s="269"/>
      <c r="G744" s="307"/>
      <c r="H744" s="308"/>
      <c r="I744" s="275"/>
      <c r="J744" s="269"/>
      <c r="K744" s="269"/>
      <c r="L744" s="269"/>
      <c r="M744" s="269"/>
      <c r="N744" s="269"/>
      <c r="O744" s="269"/>
      <c r="P744" s="269"/>
      <c r="Q744" s="269"/>
      <c r="R744" s="269"/>
    </row>
    <row r="745">
      <c r="A745" s="269"/>
      <c r="B745" s="306"/>
      <c r="C745" s="271"/>
      <c r="D745" s="269"/>
      <c r="E745" s="269"/>
      <c r="F745" s="269"/>
      <c r="G745" s="307"/>
      <c r="H745" s="308"/>
      <c r="I745" s="275"/>
      <c r="J745" s="269"/>
      <c r="K745" s="269"/>
      <c r="L745" s="269"/>
      <c r="M745" s="269"/>
      <c r="N745" s="269"/>
      <c r="O745" s="269"/>
      <c r="P745" s="269"/>
      <c r="Q745" s="269"/>
      <c r="R745" s="269"/>
    </row>
    <row r="746">
      <c r="A746" s="269"/>
      <c r="B746" s="306"/>
      <c r="C746" s="271"/>
      <c r="D746" s="269"/>
      <c r="E746" s="269"/>
      <c r="F746" s="269"/>
      <c r="G746" s="307"/>
      <c r="H746" s="308"/>
      <c r="I746" s="275"/>
      <c r="J746" s="269"/>
      <c r="K746" s="269"/>
      <c r="L746" s="269"/>
      <c r="M746" s="269"/>
      <c r="N746" s="269"/>
      <c r="O746" s="269"/>
      <c r="P746" s="269"/>
      <c r="Q746" s="269"/>
      <c r="R746" s="269"/>
    </row>
    <row r="747">
      <c r="A747" s="269"/>
      <c r="B747" s="306"/>
      <c r="C747" s="271"/>
      <c r="D747" s="269"/>
      <c r="E747" s="269"/>
      <c r="F747" s="269"/>
      <c r="G747" s="307"/>
      <c r="H747" s="308"/>
      <c r="I747" s="275"/>
      <c r="J747" s="269"/>
      <c r="K747" s="269"/>
      <c r="L747" s="269"/>
      <c r="M747" s="269"/>
      <c r="N747" s="269"/>
      <c r="O747" s="269"/>
      <c r="P747" s="269"/>
      <c r="Q747" s="269"/>
      <c r="R747" s="269"/>
    </row>
    <row r="748">
      <c r="A748" s="269"/>
      <c r="B748" s="306"/>
      <c r="C748" s="271"/>
      <c r="D748" s="269"/>
      <c r="E748" s="269"/>
      <c r="F748" s="269"/>
      <c r="G748" s="307"/>
      <c r="H748" s="308"/>
      <c r="I748" s="275"/>
      <c r="J748" s="269"/>
      <c r="K748" s="269"/>
      <c r="L748" s="269"/>
      <c r="M748" s="269"/>
      <c r="N748" s="269"/>
      <c r="O748" s="269"/>
      <c r="P748" s="269"/>
      <c r="Q748" s="269"/>
      <c r="R748" s="269"/>
    </row>
    <row r="749">
      <c r="A749" s="269"/>
      <c r="B749" s="306"/>
      <c r="C749" s="271"/>
      <c r="D749" s="269"/>
      <c r="E749" s="269"/>
      <c r="F749" s="269"/>
      <c r="G749" s="307"/>
      <c r="H749" s="308"/>
      <c r="I749" s="275"/>
      <c r="J749" s="269"/>
      <c r="K749" s="269"/>
      <c r="L749" s="269"/>
      <c r="M749" s="269"/>
      <c r="N749" s="269"/>
      <c r="O749" s="269"/>
      <c r="P749" s="269"/>
      <c r="Q749" s="269"/>
      <c r="R749" s="269"/>
    </row>
    <row r="750">
      <c r="A750" s="269"/>
      <c r="B750" s="306"/>
      <c r="C750" s="271"/>
      <c r="D750" s="269"/>
      <c r="E750" s="269"/>
      <c r="F750" s="269"/>
      <c r="G750" s="307"/>
      <c r="H750" s="308"/>
      <c r="I750" s="275"/>
      <c r="J750" s="269"/>
      <c r="K750" s="269"/>
      <c r="L750" s="269"/>
      <c r="M750" s="269"/>
      <c r="N750" s="269"/>
      <c r="O750" s="269"/>
      <c r="P750" s="269"/>
      <c r="Q750" s="269"/>
      <c r="R750" s="269"/>
    </row>
    <row r="751">
      <c r="A751" s="269"/>
      <c r="B751" s="306"/>
      <c r="C751" s="271"/>
      <c r="D751" s="269"/>
      <c r="E751" s="269"/>
      <c r="F751" s="269"/>
      <c r="G751" s="307"/>
      <c r="H751" s="308"/>
      <c r="I751" s="275"/>
      <c r="J751" s="269"/>
      <c r="K751" s="269"/>
      <c r="L751" s="269"/>
      <c r="M751" s="269"/>
      <c r="N751" s="269"/>
      <c r="O751" s="269"/>
      <c r="P751" s="269"/>
      <c r="Q751" s="269"/>
      <c r="R751" s="269"/>
    </row>
    <row r="752">
      <c r="A752" s="269"/>
      <c r="B752" s="306"/>
      <c r="C752" s="271"/>
      <c r="D752" s="269"/>
      <c r="E752" s="269"/>
      <c r="F752" s="269"/>
      <c r="G752" s="307"/>
      <c r="H752" s="308"/>
      <c r="I752" s="275"/>
      <c r="J752" s="269"/>
      <c r="K752" s="269"/>
      <c r="L752" s="269"/>
      <c r="M752" s="269"/>
      <c r="N752" s="269"/>
      <c r="O752" s="269"/>
      <c r="P752" s="269"/>
      <c r="Q752" s="269"/>
      <c r="R752" s="269"/>
    </row>
    <row r="753">
      <c r="A753" s="269"/>
      <c r="B753" s="306"/>
      <c r="C753" s="271"/>
      <c r="D753" s="269"/>
      <c r="E753" s="269"/>
      <c r="F753" s="269"/>
      <c r="G753" s="307"/>
      <c r="H753" s="308"/>
      <c r="I753" s="275"/>
      <c r="J753" s="269"/>
      <c r="K753" s="269"/>
      <c r="L753" s="269"/>
      <c r="M753" s="269"/>
      <c r="N753" s="269"/>
      <c r="O753" s="269"/>
      <c r="P753" s="269"/>
      <c r="Q753" s="269"/>
      <c r="R753" s="269"/>
    </row>
    <row r="754">
      <c r="A754" s="269"/>
      <c r="B754" s="306"/>
      <c r="C754" s="271"/>
      <c r="D754" s="269"/>
      <c r="E754" s="269"/>
      <c r="F754" s="269"/>
      <c r="G754" s="307"/>
      <c r="H754" s="308"/>
      <c r="I754" s="275"/>
      <c r="J754" s="269"/>
      <c r="K754" s="269"/>
      <c r="L754" s="269"/>
      <c r="M754" s="269"/>
      <c r="N754" s="269"/>
      <c r="O754" s="269"/>
      <c r="P754" s="269"/>
      <c r="Q754" s="269"/>
      <c r="R754" s="269"/>
    </row>
    <row r="755">
      <c r="A755" s="269"/>
      <c r="B755" s="306"/>
      <c r="C755" s="271"/>
      <c r="D755" s="269"/>
      <c r="E755" s="269"/>
      <c r="F755" s="269"/>
      <c r="G755" s="307"/>
      <c r="H755" s="308"/>
      <c r="I755" s="275"/>
      <c r="J755" s="269"/>
      <c r="K755" s="269"/>
      <c r="L755" s="269"/>
      <c r="M755" s="269"/>
      <c r="N755" s="269"/>
      <c r="O755" s="269"/>
      <c r="P755" s="269"/>
      <c r="Q755" s="269"/>
      <c r="R755" s="269"/>
    </row>
    <row r="756">
      <c r="A756" s="269"/>
      <c r="B756" s="306"/>
      <c r="C756" s="271"/>
      <c r="D756" s="269"/>
      <c r="E756" s="269"/>
      <c r="F756" s="269"/>
      <c r="G756" s="307"/>
      <c r="H756" s="308"/>
      <c r="I756" s="275"/>
      <c r="J756" s="269"/>
      <c r="K756" s="269"/>
      <c r="L756" s="269"/>
      <c r="M756" s="269"/>
      <c r="N756" s="269"/>
      <c r="O756" s="269"/>
      <c r="P756" s="269"/>
      <c r="Q756" s="269"/>
      <c r="R756" s="269"/>
    </row>
    <row r="757">
      <c r="A757" s="269"/>
      <c r="B757" s="306"/>
      <c r="C757" s="271"/>
      <c r="D757" s="269"/>
      <c r="E757" s="269"/>
      <c r="F757" s="269"/>
      <c r="G757" s="307"/>
      <c r="H757" s="308"/>
      <c r="I757" s="275"/>
      <c r="J757" s="269"/>
      <c r="K757" s="269"/>
      <c r="L757" s="269"/>
      <c r="M757" s="269"/>
      <c r="N757" s="269"/>
      <c r="O757" s="269"/>
      <c r="P757" s="269"/>
      <c r="Q757" s="269"/>
      <c r="R757" s="269"/>
    </row>
    <row r="758">
      <c r="A758" s="269"/>
      <c r="B758" s="306"/>
      <c r="C758" s="271"/>
      <c r="D758" s="269"/>
      <c r="E758" s="269"/>
      <c r="F758" s="269"/>
      <c r="G758" s="307"/>
      <c r="H758" s="308"/>
      <c r="I758" s="275"/>
      <c r="J758" s="269"/>
      <c r="K758" s="269"/>
      <c r="L758" s="269"/>
      <c r="M758" s="269"/>
      <c r="N758" s="269"/>
      <c r="O758" s="269"/>
      <c r="P758" s="269"/>
      <c r="Q758" s="269"/>
      <c r="R758" s="269"/>
    </row>
    <row r="759">
      <c r="A759" s="269"/>
      <c r="B759" s="306"/>
      <c r="C759" s="271"/>
      <c r="D759" s="269"/>
      <c r="E759" s="269"/>
      <c r="F759" s="269"/>
      <c r="G759" s="307"/>
      <c r="H759" s="308"/>
      <c r="I759" s="275"/>
      <c r="J759" s="269"/>
      <c r="K759" s="269"/>
      <c r="L759" s="269"/>
      <c r="M759" s="269"/>
      <c r="N759" s="269"/>
      <c r="O759" s="269"/>
      <c r="P759" s="269"/>
      <c r="Q759" s="269"/>
      <c r="R759" s="269"/>
    </row>
    <row r="760">
      <c r="A760" s="269"/>
      <c r="B760" s="306"/>
      <c r="C760" s="271"/>
      <c r="D760" s="269"/>
      <c r="E760" s="269"/>
      <c r="F760" s="269"/>
      <c r="G760" s="307"/>
      <c r="H760" s="308"/>
      <c r="I760" s="275"/>
      <c r="J760" s="269"/>
      <c r="K760" s="269"/>
      <c r="L760" s="269"/>
      <c r="M760" s="269"/>
      <c r="N760" s="269"/>
      <c r="O760" s="269"/>
      <c r="P760" s="269"/>
      <c r="Q760" s="269"/>
      <c r="R760" s="269"/>
    </row>
    <row r="761">
      <c r="A761" s="269"/>
      <c r="B761" s="306"/>
      <c r="C761" s="271"/>
      <c r="D761" s="269"/>
      <c r="E761" s="269"/>
      <c r="F761" s="269"/>
      <c r="G761" s="307"/>
      <c r="H761" s="308"/>
      <c r="I761" s="275"/>
      <c r="J761" s="269"/>
      <c r="K761" s="269"/>
      <c r="L761" s="269"/>
      <c r="M761" s="269"/>
      <c r="N761" s="269"/>
      <c r="O761" s="269"/>
      <c r="P761" s="269"/>
      <c r="Q761" s="269"/>
      <c r="R761" s="269"/>
    </row>
    <row r="762">
      <c r="A762" s="269"/>
      <c r="B762" s="306"/>
      <c r="C762" s="271"/>
      <c r="D762" s="269"/>
      <c r="E762" s="269"/>
      <c r="F762" s="269"/>
      <c r="G762" s="307"/>
      <c r="H762" s="308"/>
      <c r="I762" s="275"/>
      <c r="J762" s="269"/>
      <c r="K762" s="269"/>
      <c r="L762" s="269"/>
      <c r="M762" s="269"/>
      <c r="N762" s="269"/>
      <c r="O762" s="269"/>
      <c r="P762" s="269"/>
      <c r="Q762" s="269"/>
      <c r="R762" s="269"/>
    </row>
    <row r="763">
      <c r="A763" s="269"/>
      <c r="B763" s="306"/>
      <c r="C763" s="271"/>
      <c r="D763" s="269"/>
      <c r="E763" s="269"/>
      <c r="F763" s="269"/>
      <c r="G763" s="307"/>
      <c r="H763" s="308"/>
      <c r="I763" s="275"/>
      <c r="J763" s="269"/>
      <c r="K763" s="269"/>
      <c r="L763" s="269"/>
      <c r="M763" s="269"/>
      <c r="N763" s="269"/>
      <c r="O763" s="269"/>
      <c r="P763" s="269"/>
      <c r="Q763" s="269"/>
      <c r="R763" s="269"/>
    </row>
    <row r="764">
      <c r="A764" s="269"/>
      <c r="B764" s="306"/>
      <c r="C764" s="271"/>
      <c r="D764" s="269"/>
      <c r="E764" s="269"/>
      <c r="F764" s="269"/>
      <c r="G764" s="307"/>
      <c r="H764" s="308"/>
      <c r="I764" s="275"/>
      <c r="J764" s="269"/>
      <c r="K764" s="269"/>
      <c r="L764" s="269"/>
      <c r="M764" s="269"/>
      <c r="N764" s="269"/>
      <c r="O764" s="269"/>
      <c r="P764" s="269"/>
      <c r="Q764" s="269"/>
      <c r="R764" s="269"/>
    </row>
    <row r="765">
      <c r="A765" s="269"/>
      <c r="B765" s="306"/>
      <c r="C765" s="271"/>
      <c r="D765" s="269"/>
      <c r="E765" s="269"/>
      <c r="F765" s="269"/>
      <c r="G765" s="307"/>
      <c r="H765" s="308"/>
      <c r="I765" s="275"/>
      <c r="J765" s="269"/>
      <c r="K765" s="269"/>
      <c r="L765" s="269"/>
      <c r="M765" s="269"/>
      <c r="N765" s="269"/>
      <c r="O765" s="269"/>
      <c r="P765" s="269"/>
      <c r="Q765" s="269"/>
      <c r="R765" s="269"/>
    </row>
    <row r="766">
      <c r="A766" s="269"/>
      <c r="B766" s="306"/>
      <c r="C766" s="271"/>
      <c r="D766" s="269"/>
      <c r="E766" s="269"/>
      <c r="F766" s="269"/>
      <c r="G766" s="307"/>
      <c r="H766" s="308"/>
      <c r="I766" s="275"/>
      <c r="J766" s="269"/>
      <c r="K766" s="269"/>
      <c r="L766" s="269"/>
      <c r="M766" s="269"/>
      <c r="N766" s="269"/>
      <c r="O766" s="269"/>
      <c r="P766" s="269"/>
      <c r="Q766" s="269"/>
      <c r="R766" s="269"/>
    </row>
    <row r="767">
      <c r="A767" s="269"/>
      <c r="B767" s="306"/>
      <c r="C767" s="271"/>
      <c r="D767" s="269"/>
      <c r="E767" s="269"/>
      <c r="F767" s="269"/>
      <c r="G767" s="307"/>
      <c r="H767" s="308"/>
      <c r="I767" s="275"/>
      <c r="J767" s="269"/>
      <c r="K767" s="269"/>
      <c r="L767" s="269"/>
      <c r="M767" s="269"/>
      <c r="N767" s="269"/>
      <c r="O767" s="269"/>
      <c r="P767" s="269"/>
      <c r="Q767" s="269"/>
      <c r="R767" s="269"/>
    </row>
    <row r="768">
      <c r="A768" s="269"/>
      <c r="B768" s="306"/>
      <c r="C768" s="271"/>
      <c r="D768" s="269"/>
      <c r="E768" s="269"/>
      <c r="F768" s="269"/>
      <c r="G768" s="307"/>
      <c r="H768" s="308"/>
      <c r="I768" s="275"/>
      <c r="J768" s="269"/>
      <c r="K768" s="269"/>
      <c r="L768" s="269"/>
      <c r="M768" s="269"/>
      <c r="N768" s="269"/>
      <c r="O768" s="269"/>
      <c r="P768" s="269"/>
      <c r="Q768" s="269"/>
      <c r="R768" s="269"/>
    </row>
    <row r="769">
      <c r="A769" s="269"/>
      <c r="B769" s="306"/>
      <c r="C769" s="271"/>
      <c r="D769" s="269"/>
      <c r="E769" s="269"/>
      <c r="F769" s="269"/>
      <c r="G769" s="307"/>
      <c r="H769" s="308"/>
      <c r="I769" s="275"/>
      <c r="J769" s="269"/>
      <c r="K769" s="269"/>
      <c r="L769" s="269"/>
      <c r="M769" s="269"/>
      <c r="N769" s="269"/>
      <c r="O769" s="269"/>
      <c r="P769" s="269"/>
      <c r="Q769" s="269"/>
      <c r="R769" s="269"/>
    </row>
    <row r="770">
      <c r="A770" s="269"/>
      <c r="B770" s="306"/>
      <c r="C770" s="271"/>
      <c r="D770" s="269"/>
      <c r="E770" s="269"/>
      <c r="F770" s="269"/>
      <c r="G770" s="307"/>
      <c r="H770" s="308"/>
      <c r="I770" s="275"/>
      <c r="J770" s="269"/>
      <c r="K770" s="269"/>
      <c r="L770" s="269"/>
      <c r="M770" s="269"/>
      <c r="N770" s="269"/>
      <c r="O770" s="269"/>
      <c r="P770" s="269"/>
      <c r="Q770" s="269"/>
      <c r="R770" s="269"/>
    </row>
    <row r="771">
      <c r="A771" s="269"/>
      <c r="B771" s="306"/>
      <c r="C771" s="271"/>
      <c r="D771" s="269"/>
      <c r="E771" s="269"/>
      <c r="F771" s="269"/>
      <c r="G771" s="307"/>
      <c r="H771" s="308"/>
      <c r="I771" s="275"/>
      <c r="J771" s="269"/>
      <c r="K771" s="269"/>
      <c r="L771" s="269"/>
      <c r="M771" s="269"/>
      <c r="N771" s="269"/>
      <c r="O771" s="269"/>
      <c r="P771" s="269"/>
      <c r="Q771" s="269"/>
      <c r="R771" s="269"/>
    </row>
    <row r="772">
      <c r="A772" s="269"/>
      <c r="B772" s="306"/>
      <c r="C772" s="271"/>
      <c r="D772" s="269"/>
      <c r="E772" s="269"/>
      <c r="F772" s="269"/>
      <c r="G772" s="307"/>
      <c r="H772" s="308"/>
      <c r="I772" s="275"/>
      <c r="J772" s="269"/>
      <c r="K772" s="269"/>
      <c r="L772" s="269"/>
      <c r="M772" s="269"/>
      <c r="N772" s="269"/>
      <c r="O772" s="269"/>
      <c r="P772" s="269"/>
      <c r="Q772" s="269"/>
      <c r="R772" s="269"/>
    </row>
    <row r="773">
      <c r="A773" s="269"/>
      <c r="B773" s="306"/>
      <c r="C773" s="271"/>
      <c r="D773" s="269"/>
      <c r="E773" s="269"/>
      <c r="F773" s="269"/>
      <c r="G773" s="307"/>
      <c r="H773" s="308"/>
      <c r="I773" s="275"/>
      <c r="J773" s="269"/>
      <c r="K773" s="269"/>
      <c r="L773" s="269"/>
      <c r="M773" s="269"/>
      <c r="N773" s="269"/>
      <c r="O773" s="269"/>
      <c r="P773" s="269"/>
      <c r="Q773" s="269"/>
      <c r="R773" s="269"/>
    </row>
    <row r="774">
      <c r="A774" s="269"/>
      <c r="B774" s="306"/>
      <c r="C774" s="271"/>
      <c r="D774" s="269"/>
      <c r="E774" s="269"/>
      <c r="F774" s="269"/>
      <c r="G774" s="307"/>
      <c r="H774" s="308"/>
      <c r="I774" s="275"/>
      <c r="J774" s="269"/>
      <c r="K774" s="269"/>
      <c r="L774" s="269"/>
      <c r="M774" s="269"/>
      <c r="N774" s="269"/>
      <c r="O774" s="269"/>
      <c r="P774" s="269"/>
      <c r="Q774" s="269"/>
      <c r="R774" s="269"/>
    </row>
    <row r="775">
      <c r="A775" s="269"/>
      <c r="B775" s="306"/>
      <c r="C775" s="271"/>
      <c r="D775" s="269"/>
      <c r="E775" s="269"/>
      <c r="F775" s="269"/>
      <c r="G775" s="307"/>
      <c r="H775" s="308"/>
      <c r="I775" s="275"/>
      <c r="J775" s="269"/>
      <c r="K775" s="269"/>
      <c r="L775" s="269"/>
      <c r="M775" s="269"/>
      <c r="N775" s="269"/>
      <c r="O775" s="269"/>
      <c r="P775" s="269"/>
      <c r="Q775" s="269"/>
      <c r="R775" s="269"/>
    </row>
    <row r="776">
      <c r="A776" s="269"/>
      <c r="B776" s="306"/>
      <c r="C776" s="271"/>
      <c r="D776" s="269"/>
      <c r="E776" s="269"/>
      <c r="F776" s="269"/>
      <c r="G776" s="307"/>
      <c r="H776" s="308"/>
      <c r="I776" s="275"/>
      <c r="J776" s="269"/>
      <c r="K776" s="269"/>
      <c r="L776" s="269"/>
      <c r="M776" s="269"/>
      <c r="N776" s="269"/>
      <c r="O776" s="269"/>
      <c r="P776" s="269"/>
      <c r="Q776" s="269"/>
      <c r="R776" s="269"/>
    </row>
    <row r="777">
      <c r="A777" s="269"/>
      <c r="B777" s="306"/>
      <c r="C777" s="271"/>
      <c r="D777" s="269"/>
      <c r="E777" s="269"/>
      <c r="F777" s="269"/>
      <c r="G777" s="307"/>
      <c r="H777" s="308"/>
      <c r="I777" s="275"/>
      <c r="J777" s="269"/>
      <c r="K777" s="269"/>
      <c r="L777" s="269"/>
      <c r="M777" s="269"/>
      <c r="N777" s="269"/>
      <c r="O777" s="269"/>
      <c r="P777" s="269"/>
      <c r="Q777" s="269"/>
      <c r="R777" s="269"/>
    </row>
    <row r="778">
      <c r="A778" s="269"/>
      <c r="B778" s="306"/>
      <c r="C778" s="271"/>
      <c r="D778" s="269"/>
      <c r="E778" s="269"/>
      <c r="F778" s="269"/>
      <c r="G778" s="307"/>
      <c r="H778" s="308"/>
      <c r="I778" s="275"/>
      <c r="J778" s="269"/>
      <c r="K778" s="269"/>
      <c r="L778" s="269"/>
      <c r="M778" s="269"/>
      <c r="N778" s="269"/>
      <c r="O778" s="269"/>
      <c r="P778" s="269"/>
      <c r="Q778" s="269"/>
      <c r="R778" s="269"/>
    </row>
    <row r="779">
      <c r="A779" s="269"/>
      <c r="B779" s="306"/>
      <c r="C779" s="271"/>
      <c r="D779" s="269"/>
      <c r="E779" s="269"/>
      <c r="F779" s="269"/>
      <c r="G779" s="307"/>
      <c r="H779" s="308"/>
      <c r="I779" s="275"/>
      <c r="J779" s="269"/>
      <c r="K779" s="269"/>
      <c r="L779" s="269"/>
      <c r="M779" s="269"/>
      <c r="N779" s="269"/>
      <c r="O779" s="269"/>
      <c r="P779" s="269"/>
      <c r="Q779" s="269"/>
      <c r="R779" s="269"/>
    </row>
    <row r="780">
      <c r="A780" s="269"/>
      <c r="B780" s="306"/>
      <c r="C780" s="271"/>
      <c r="D780" s="269"/>
      <c r="E780" s="269"/>
      <c r="F780" s="269"/>
      <c r="G780" s="307"/>
      <c r="H780" s="308"/>
      <c r="I780" s="275"/>
      <c r="J780" s="269"/>
      <c r="K780" s="269"/>
      <c r="L780" s="269"/>
      <c r="M780" s="269"/>
      <c r="N780" s="269"/>
      <c r="O780" s="269"/>
      <c r="P780" s="269"/>
      <c r="Q780" s="269"/>
      <c r="R780" s="269"/>
    </row>
    <row r="781">
      <c r="A781" s="269"/>
      <c r="B781" s="306"/>
      <c r="C781" s="271"/>
      <c r="D781" s="269"/>
      <c r="E781" s="269"/>
      <c r="F781" s="269"/>
      <c r="G781" s="307"/>
      <c r="H781" s="308"/>
      <c r="I781" s="275"/>
      <c r="J781" s="269"/>
      <c r="K781" s="269"/>
      <c r="L781" s="269"/>
      <c r="M781" s="269"/>
      <c r="N781" s="269"/>
      <c r="O781" s="269"/>
      <c r="P781" s="269"/>
      <c r="Q781" s="269"/>
      <c r="R781" s="269"/>
    </row>
    <row r="782">
      <c r="A782" s="269"/>
      <c r="B782" s="306"/>
      <c r="C782" s="271"/>
      <c r="D782" s="269"/>
      <c r="E782" s="269"/>
      <c r="F782" s="269"/>
      <c r="G782" s="307"/>
      <c r="H782" s="308"/>
      <c r="I782" s="275"/>
      <c r="J782" s="269"/>
      <c r="K782" s="269"/>
      <c r="L782" s="269"/>
      <c r="M782" s="269"/>
      <c r="N782" s="269"/>
      <c r="O782" s="269"/>
      <c r="P782" s="269"/>
      <c r="Q782" s="269"/>
      <c r="R782" s="269"/>
    </row>
    <row r="783">
      <c r="A783" s="269"/>
      <c r="B783" s="306"/>
      <c r="C783" s="271"/>
      <c r="D783" s="269"/>
      <c r="E783" s="269"/>
      <c r="F783" s="269"/>
      <c r="G783" s="307"/>
      <c r="H783" s="308"/>
      <c r="I783" s="275"/>
      <c r="J783" s="269"/>
      <c r="K783" s="269"/>
      <c r="L783" s="269"/>
      <c r="M783" s="269"/>
      <c r="N783" s="269"/>
      <c r="O783" s="269"/>
      <c r="P783" s="269"/>
      <c r="Q783" s="269"/>
      <c r="R783" s="269"/>
    </row>
    <row r="784">
      <c r="A784" s="269"/>
      <c r="B784" s="306"/>
      <c r="C784" s="271"/>
      <c r="D784" s="269"/>
      <c r="E784" s="269"/>
      <c r="F784" s="269"/>
      <c r="G784" s="307"/>
      <c r="H784" s="308"/>
      <c r="I784" s="275"/>
      <c r="J784" s="269"/>
      <c r="K784" s="269"/>
      <c r="L784" s="269"/>
      <c r="M784" s="269"/>
      <c r="N784" s="269"/>
      <c r="O784" s="269"/>
      <c r="P784" s="269"/>
      <c r="Q784" s="269"/>
      <c r="R784" s="269"/>
    </row>
    <row r="785">
      <c r="A785" s="269"/>
      <c r="B785" s="306"/>
      <c r="C785" s="271"/>
      <c r="D785" s="269"/>
      <c r="E785" s="269"/>
      <c r="F785" s="269"/>
      <c r="G785" s="307"/>
      <c r="H785" s="308"/>
      <c r="I785" s="275"/>
      <c r="J785" s="269"/>
      <c r="K785" s="269"/>
      <c r="L785" s="269"/>
      <c r="M785" s="269"/>
      <c r="N785" s="269"/>
      <c r="O785" s="269"/>
      <c r="P785" s="269"/>
      <c r="Q785" s="269"/>
      <c r="R785" s="269"/>
    </row>
    <row r="786">
      <c r="A786" s="269"/>
      <c r="B786" s="306"/>
      <c r="C786" s="271"/>
      <c r="D786" s="269"/>
      <c r="E786" s="269"/>
      <c r="F786" s="269"/>
      <c r="G786" s="307"/>
      <c r="H786" s="308"/>
      <c r="I786" s="275"/>
      <c r="J786" s="269"/>
      <c r="K786" s="269"/>
      <c r="L786" s="269"/>
      <c r="M786" s="269"/>
      <c r="N786" s="269"/>
      <c r="O786" s="269"/>
      <c r="P786" s="269"/>
      <c r="Q786" s="269"/>
      <c r="R786" s="269"/>
    </row>
    <row r="787">
      <c r="A787" s="269"/>
      <c r="B787" s="306"/>
      <c r="C787" s="271"/>
      <c r="D787" s="269"/>
      <c r="E787" s="269"/>
      <c r="F787" s="269"/>
      <c r="G787" s="307"/>
      <c r="H787" s="308"/>
      <c r="I787" s="275"/>
      <c r="J787" s="269"/>
      <c r="K787" s="269"/>
      <c r="L787" s="269"/>
      <c r="M787" s="269"/>
      <c r="N787" s="269"/>
      <c r="O787" s="269"/>
      <c r="P787" s="269"/>
      <c r="Q787" s="269"/>
      <c r="R787" s="269"/>
    </row>
    <row r="788">
      <c r="A788" s="269"/>
      <c r="B788" s="306"/>
      <c r="C788" s="271"/>
      <c r="D788" s="269"/>
      <c r="E788" s="269"/>
      <c r="F788" s="269"/>
      <c r="G788" s="307"/>
      <c r="H788" s="308"/>
      <c r="I788" s="275"/>
      <c r="J788" s="269"/>
      <c r="K788" s="269"/>
      <c r="L788" s="269"/>
      <c r="M788" s="269"/>
      <c r="N788" s="269"/>
      <c r="O788" s="269"/>
      <c r="P788" s="269"/>
      <c r="Q788" s="269"/>
      <c r="R788" s="269"/>
    </row>
    <row r="789">
      <c r="A789" s="269"/>
      <c r="B789" s="306"/>
      <c r="C789" s="271"/>
      <c r="D789" s="269"/>
      <c r="E789" s="269"/>
      <c r="F789" s="269"/>
      <c r="G789" s="307"/>
      <c r="H789" s="308"/>
      <c r="I789" s="275"/>
      <c r="J789" s="269"/>
      <c r="K789" s="269"/>
      <c r="L789" s="269"/>
      <c r="M789" s="269"/>
      <c r="N789" s="269"/>
      <c r="O789" s="269"/>
      <c r="P789" s="269"/>
      <c r="Q789" s="269"/>
      <c r="R789" s="269"/>
    </row>
    <row r="790">
      <c r="A790" s="269"/>
      <c r="B790" s="306"/>
      <c r="C790" s="271"/>
      <c r="D790" s="269"/>
      <c r="E790" s="269"/>
      <c r="F790" s="269"/>
      <c r="G790" s="307"/>
      <c r="H790" s="308"/>
      <c r="I790" s="275"/>
      <c r="J790" s="269"/>
      <c r="K790" s="269"/>
      <c r="L790" s="269"/>
      <c r="M790" s="269"/>
      <c r="N790" s="269"/>
      <c r="O790" s="269"/>
      <c r="P790" s="269"/>
      <c r="Q790" s="269"/>
      <c r="R790" s="269"/>
    </row>
    <row r="791">
      <c r="A791" s="269"/>
      <c r="B791" s="306"/>
      <c r="C791" s="271"/>
      <c r="D791" s="269"/>
      <c r="E791" s="269"/>
      <c r="F791" s="269"/>
      <c r="G791" s="307"/>
      <c r="H791" s="308"/>
      <c r="I791" s="275"/>
      <c r="J791" s="269"/>
      <c r="K791" s="269"/>
      <c r="L791" s="269"/>
      <c r="M791" s="269"/>
      <c r="N791" s="269"/>
      <c r="O791" s="269"/>
      <c r="P791" s="269"/>
      <c r="Q791" s="269"/>
      <c r="R791" s="269"/>
    </row>
    <row r="792">
      <c r="A792" s="269"/>
      <c r="B792" s="306"/>
      <c r="C792" s="271"/>
      <c r="D792" s="269"/>
      <c r="E792" s="269"/>
      <c r="F792" s="269"/>
      <c r="G792" s="307"/>
      <c r="H792" s="308"/>
      <c r="I792" s="275"/>
      <c r="J792" s="269"/>
      <c r="K792" s="269"/>
      <c r="L792" s="269"/>
      <c r="M792" s="269"/>
      <c r="N792" s="269"/>
      <c r="O792" s="269"/>
      <c r="P792" s="269"/>
      <c r="Q792" s="269"/>
      <c r="R792" s="269"/>
    </row>
    <row r="793">
      <c r="A793" s="269"/>
      <c r="B793" s="306"/>
      <c r="C793" s="271"/>
      <c r="D793" s="269"/>
      <c r="E793" s="269"/>
      <c r="F793" s="269"/>
      <c r="G793" s="307"/>
      <c r="H793" s="308"/>
      <c r="I793" s="275"/>
      <c r="J793" s="269"/>
      <c r="K793" s="269"/>
      <c r="L793" s="269"/>
      <c r="M793" s="269"/>
      <c r="N793" s="269"/>
      <c r="O793" s="269"/>
      <c r="P793" s="269"/>
      <c r="Q793" s="269"/>
      <c r="R793" s="269"/>
    </row>
    <row r="794">
      <c r="A794" s="269"/>
      <c r="B794" s="306"/>
      <c r="C794" s="271"/>
      <c r="D794" s="269"/>
      <c r="E794" s="269"/>
      <c r="F794" s="269"/>
      <c r="G794" s="307"/>
      <c r="H794" s="308"/>
      <c r="I794" s="275"/>
      <c r="J794" s="269"/>
      <c r="K794" s="269"/>
      <c r="L794" s="269"/>
      <c r="M794" s="269"/>
      <c r="N794" s="269"/>
      <c r="O794" s="269"/>
      <c r="P794" s="269"/>
      <c r="Q794" s="269"/>
      <c r="R794" s="269"/>
    </row>
    <row r="795">
      <c r="A795" s="269"/>
      <c r="B795" s="306"/>
      <c r="C795" s="271"/>
      <c r="D795" s="269"/>
      <c r="E795" s="269"/>
      <c r="F795" s="269"/>
      <c r="G795" s="307"/>
      <c r="H795" s="308"/>
      <c r="I795" s="275"/>
      <c r="J795" s="269"/>
      <c r="K795" s="269"/>
      <c r="L795" s="269"/>
      <c r="M795" s="269"/>
      <c r="N795" s="269"/>
      <c r="O795" s="269"/>
      <c r="P795" s="269"/>
      <c r="Q795" s="269"/>
      <c r="R795" s="269"/>
    </row>
    <row r="796">
      <c r="A796" s="269"/>
      <c r="B796" s="306"/>
      <c r="C796" s="271"/>
      <c r="D796" s="269"/>
      <c r="E796" s="269"/>
      <c r="F796" s="269"/>
      <c r="G796" s="307"/>
      <c r="H796" s="308"/>
      <c r="I796" s="275"/>
      <c r="J796" s="269"/>
      <c r="K796" s="269"/>
      <c r="L796" s="269"/>
      <c r="M796" s="269"/>
      <c r="N796" s="269"/>
      <c r="O796" s="269"/>
      <c r="P796" s="269"/>
      <c r="Q796" s="269"/>
      <c r="R796" s="269"/>
    </row>
    <row r="797">
      <c r="A797" s="269"/>
      <c r="B797" s="306"/>
      <c r="C797" s="271"/>
      <c r="D797" s="269"/>
      <c r="E797" s="269"/>
      <c r="F797" s="269"/>
      <c r="G797" s="307"/>
      <c r="H797" s="308"/>
      <c r="I797" s="275"/>
      <c r="J797" s="269"/>
      <c r="K797" s="269"/>
      <c r="L797" s="269"/>
      <c r="M797" s="269"/>
      <c r="N797" s="269"/>
      <c r="O797" s="269"/>
      <c r="P797" s="269"/>
      <c r="Q797" s="269"/>
      <c r="R797" s="269"/>
    </row>
    <row r="798">
      <c r="A798" s="269"/>
      <c r="B798" s="306"/>
      <c r="C798" s="271"/>
      <c r="D798" s="269"/>
      <c r="E798" s="269"/>
      <c r="F798" s="269"/>
      <c r="G798" s="307"/>
      <c r="H798" s="308"/>
      <c r="I798" s="275"/>
      <c r="J798" s="269"/>
      <c r="K798" s="269"/>
      <c r="L798" s="269"/>
      <c r="M798" s="269"/>
      <c r="N798" s="269"/>
      <c r="O798" s="269"/>
      <c r="P798" s="269"/>
      <c r="Q798" s="269"/>
      <c r="R798" s="269"/>
    </row>
    <row r="799">
      <c r="A799" s="269"/>
      <c r="B799" s="306"/>
      <c r="C799" s="271"/>
      <c r="D799" s="269"/>
      <c r="E799" s="269"/>
      <c r="F799" s="269"/>
      <c r="G799" s="307"/>
      <c r="H799" s="308"/>
      <c r="I799" s="275"/>
      <c r="J799" s="269"/>
      <c r="K799" s="269"/>
      <c r="L799" s="269"/>
      <c r="M799" s="269"/>
      <c r="N799" s="269"/>
      <c r="O799" s="269"/>
      <c r="P799" s="269"/>
      <c r="Q799" s="269"/>
      <c r="R799" s="269"/>
    </row>
    <row r="800">
      <c r="A800" s="269"/>
      <c r="B800" s="306"/>
      <c r="C800" s="271"/>
      <c r="D800" s="269"/>
      <c r="E800" s="269"/>
      <c r="F800" s="269"/>
      <c r="G800" s="307"/>
      <c r="H800" s="308"/>
      <c r="I800" s="275"/>
      <c r="J800" s="269"/>
      <c r="K800" s="269"/>
      <c r="L800" s="269"/>
      <c r="M800" s="269"/>
      <c r="N800" s="269"/>
      <c r="O800" s="269"/>
      <c r="P800" s="269"/>
      <c r="Q800" s="269"/>
      <c r="R800" s="269"/>
    </row>
    <row r="801">
      <c r="A801" s="269"/>
      <c r="B801" s="306"/>
      <c r="C801" s="271"/>
      <c r="D801" s="269"/>
      <c r="E801" s="269"/>
      <c r="F801" s="269"/>
      <c r="G801" s="307"/>
      <c r="H801" s="308"/>
      <c r="I801" s="275"/>
      <c r="J801" s="269"/>
      <c r="K801" s="269"/>
      <c r="L801" s="269"/>
      <c r="M801" s="269"/>
      <c r="N801" s="269"/>
      <c r="O801" s="269"/>
      <c r="P801" s="269"/>
      <c r="Q801" s="269"/>
      <c r="R801" s="269"/>
    </row>
    <row r="802">
      <c r="A802" s="269"/>
      <c r="B802" s="306"/>
      <c r="C802" s="271"/>
      <c r="D802" s="269"/>
      <c r="E802" s="269"/>
      <c r="F802" s="269"/>
      <c r="G802" s="307"/>
      <c r="H802" s="308"/>
      <c r="I802" s="275"/>
      <c r="J802" s="269"/>
      <c r="K802" s="269"/>
      <c r="L802" s="269"/>
      <c r="M802" s="269"/>
      <c r="N802" s="269"/>
      <c r="O802" s="269"/>
      <c r="P802" s="269"/>
      <c r="Q802" s="269"/>
      <c r="R802" s="269"/>
    </row>
    <row r="803">
      <c r="A803" s="269"/>
      <c r="B803" s="306"/>
      <c r="C803" s="271"/>
      <c r="D803" s="269"/>
      <c r="E803" s="269"/>
      <c r="F803" s="269"/>
      <c r="G803" s="307"/>
      <c r="H803" s="308"/>
      <c r="I803" s="275"/>
      <c r="J803" s="269"/>
      <c r="K803" s="269"/>
      <c r="L803" s="269"/>
      <c r="M803" s="269"/>
      <c r="N803" s="269"/>
      <c r="O803" s="269"/>
      <c r="P803" s="269"/>
      <c r="Q803" s="269"/>
      <c r="R803" s="269"/>
    </row>
    <row r="804">
      <c r="A804" s="269"/>
      <c r="B804" s="306"/>
      <c r="C804" s="271"/>
      <c r="D804" s="269"/>
      <c r="E804" s="269"/>
      <c r="F804" s="269"/>
      <c r="G804" s="307"/>
      <c r="H804" s="308"/>
      <c r="I804" s="275"/>
      <c r="J804" s="269"/>
      <c r="K804" s="269"/>
      <c r="L804" s="269"/>
      <c r="M804" s="269"/>
      <c r="N804" s="269"/>
      <c r="O804" s="269"/>
      <c r="P804" s="269"/>
      <c r="Q804" s="269"/>
      <c r="R804" s="269"/>
    </row>
    <row r="805">
      <c r="A805" s="269"/>
      <c r="B805" s="306"/>
      <c r="C805" s="271"/>
      <c r="D805" s="269"/>
      <c r="E805" s="269"/>
      <c r="F805" s="269"/>
      <c r="G805" s="307"/>
      <c r="H805" s="308"/>
      <c r="I805" s="275"/>
      <c r="J805" s="269"/>
      <c r="K805" s="269"/>
      <c r="L805" s="269"/>
      <c r="M805" s="269"/>
      <c r="N805" s="269"/>
      <c r="O805" s="269"/>
      <c r="P805" s="269"/>
      <c r="Q805" s="269"/>
      <c r="R805" s="269"/>
    </row>
    <row r="806">
      <c r="A806" s="269"/>
      <c r="B806" s="306"/>
      <c r="C806" s="271"/>
      <c r="D806" s="269"/>
      <c r="E806" s="269"/>
      <c r="F806" s="269"/>
      <c r="G806" s="307"/>
      <c r="H806" s="308"/>
      <c r="I806" s="275"/>
      <c r="J806" s="269"/>
      <c r="K806" s="269"/>
      <c r="L806" s="269"/>
      <c r="M806" s="269"/>
      <c r="N806" s="269"/>
      <c r="O806" s="269"/>
      <c r="P806" s="269"/>
      <c r="Q806" s="269"/>
      <c r="R806" s="269"/>
    </row>
    <row r="807">
      <c r="A807" s="269"/>
      <c r="B807" s="306"/>
      <c r="C807" s="271"/>
      <c r="D807" s="269"/>
      <c r="E807" s="269"/>
      <c r="F807" s="269"/>
      <c r="G807" s="307"/>
      <c r="H807" s="308"/>
      <c r="I807" s="275"/>
      <c r="J807" s="269"/>
      <c r="K807" s="269"/>
      <c r="L807" s="269"/>
      <c r="M807" s="269"/>
      <c r="N807" s="269"/>
      <c r="O807" s="269"/>
      <c r="P807" s="269"/>
      <c r="Q807" s="269"/>
      <c r="R807" s="269"/>
    </row>
    <row r="808">
      <c r="A808" s="269"/>
      <c r="B808" s="306"/>
      <c r="C808" s="271"/>
      <c r="D808" s="269"/>
      <c r="E808" s="269"/>
      <c r="F808" s="269"/>
      <c r="G808" s="307"/>
      <c r="H808" s="308"/>
      <c r="I808" s="275"/>
      <c r="J808" s="269"/>
      <c r="K808" s="269"/>
      <c r="L808" s="269"/>
      <c r="M808" s="269"/>
      <c r="N808" s="269"/>
      <c r="O808" s="269"/>
      <c r="P808" s="269"/>
      <c r="Q808" s="269"/>
      <c r="R808" s="269"/>
    </row>
    <row r="809">
      <c r="A809" s="269"/>
      <c r="B809" s="306"/>
      <c r="C809" s="271"/>
      <c r="D809" s="269"/>
      <c r="E809" s="269"/>
      <c r="F809" s="269"/>
      <c r="G809" s="307"/>
      <c r="H809" s="308"/>
      <c r="I809" s="275"/>
      <c r="J809" s="269"/>
      <c r="K809" s="269"/>
      <c r="L809" s="269"/>
      <c r="M809" s="269"/>
      <c r="N809" s="269"/>
      <c r="O809" s="269"/>
      <c r="P809" s="269"/>
      <c r="Q809" s="269"/>
      <c r="R809" s="269"/>
    </row>
    <row r="810">
      <c r="A810" s="269"/>
      <c r="B810" s="306"/>
      <c r="C810" s="271"/>
      <c r="D810" s="269"/>
      <c r="E810" s="269"/>
      <c r="F810" s="269"/>
      <c r="G810" s="307"/>
      <c r="H810" s="308"/>
      <c r="I810" s="275"/>
      <c r="J810" s="269"/>
      <c r="K810" s="269"/>
      <c r="L810" s="269"/>
      <c r="M810" s="269"/>
      <c r="N810" s="269"/>
      <c r="O810" s="269"/>
      <c r="P810" s="269"/>
      <c r="Q810" s="269"/>
      <c r="R810" s="269"/>
    </row>
    <row r="811">
      <c r="A811" s="269"/>
      <c r="B811" s="306"/>
      <c r="C811" s="271"/>
      <c r="D811" s="269"/>
      <c r="E811" s="269"/>
      <c r="F811" s="269"/>
      <c r="G811" s="307"/>
      <c r="H811" s="308"/>
      <c r="I811" s="275"/>
      <c r="J811" s="269"/>
      <c r="K811" s="269"/>
      <c r="L811" s="269"/>
      <c r="M811" s="269"/>
      <c r="N811" s="269"/>
      <c r="O811" s="269"/>
      <c r="P811" s="269"/>
      <c r="Q811" s="269"/>
      <c r="R811" s="269"/>
    </row>
    <row r="812">
      <c r="A812" s="269"/>
      <c r="B812" s="306"/>
      <c r="C812" s="271"/>
      <c r="D812" s="269"/>
      <c r="E812" s="269"/>
      <c r="F812" s="269"/>
      <c r="G812" s="307"/>
      <c r="H812" s="308"/>
      <c r="I812" s="275"/>
      <c r="J812" s="269"/>
      <c r="K812" s="269"/>
      <c r="L812" s="269"/>
      <c r="M812" s="269"/>
      <c r="N812" s="269"/>
      <c r="O812" s="269"/>
      <c r="P812" s="269"/>
      <c r="Q812" s="269"/>
      <c r="R812" s="269"/>
    </row>
    <row r="813">
      <c r="A813" s="269"/>
      <c r="B813" s="306"/>
      <c r="C813" s="271"/>
      <c r="D813" s="269"/>
      <c r="E813" s="269"/>
      <c r="F813" s="269"/>
      <c r="G813" s="307"/>
      <c r="H813" s="308"/>
      <c r="I813" s="275"/>
      <c r="J813" s="269"/>
      <c r="K813" s="269"/>
      <c r="L813" s="269"/>
      <c r="M813" s="269"/>
      <c r="N813" s="269"/>
      <c r="O813" s="269"/>
      <c r="P813" s="269"/>
      <c r="Q813" s="269"/>
      <c r="R813" s="269"/>
    </row>
    <row r="814">
      <c r="A814" s="269"/>
      <c r="B814" s="306"/>
      <c r="C814" s="271"/>
      <c r="D814" s="269"/>
      <c r="E814" s="269"/>
      <c r="F814" s="269"/>
      <c r="G814" s="307"/>
      <c r="H814" s="308"/>
      <c r="I814" s="275"/>
      <c r="J814" s="269"/>
      <c r="K814" s="269"/>
      <c r="L814" s="269"/>
      <c r="M814" s="269"/>
      <c r="N814" s="269"/>
      <c r="O814" s="269"/>
      <c r="P814" s="269"/>
      <c r="Q814" s="269"/>
      <c r="R814" s="269"/>
    </row>
    <row r="815">
      <c r="A815" s="269"/>
      <c r="B815" s="306"/>
      <c r="C815" s="271"/>
      <c r="D815" s="269"/>
      <c r="E815" s="269"/>
      <c r="F815" s="269"/>
      <c r="G815" s="307"/>
      <c r="H815" s="308"/>
      <c r="I815" s="275"/>
      <c r="J815" s="269"/>
      <c r="K815" s="269"/>
      <c r="L815" s="269"/>
      <c r="M815" s="269"/>
      <c r="N815" s="269"/>
      <c r="O815" s="269"/>
      <c r="P815" s="269"/>
      <c r="Q815" s="269"/>
      <c r="R815" s="269"/>
    </row>
    <row r="816">
      <c r="A816" s="269"/>
      <c r="B816" s="306"/>
      <c r="C816" s="271"/>
      <c r="D816" s="269"/>
      <c r="E816" s="269"/>
      <c r="F816" s="269"/>
      <c r="G816" s="307"/>
      <c r="H816" s="308"/>
      <c r="I816" s="275"/>
      <c r="J816" s="269"/>
      <c r="K816" s="269"/>
      <c r="L816" s="269"/>
      <c r="M816" s="269"/>
      <c r="N816" s="269"/>
      <c r="O816" s="269"/>
      <c r="P816" s="269"/>
      <c r="Q816" s="269"/>
      <c r="R816" s="269"/>
    </row>
    <row r="817">
      <c r="A817" s="269"/>
      <c r="B817" s="306"/>
      <c r="C817" s="271"/>
      <c r="D817" s="269"/>
      <c r="E817" s="269"/>
      <c r="F817" s="269"/>
      <c r="G817" s="307"/>
      <c r="H817" s="308"/>
      <c r="I817" s="275"/>
      <c r="J817" s="269"/>
      <c r="K817" s="269"/>
      <c r="L817" s="269"/>
      <c r="M817" s="269"/>
      <c r="N817" s="269"/>
      <c r="O817" s="269"/>
      <c r="P817" s="269"/>
      <c r="Q817" s="269"/>
      <c r="R817" s="269"/>
    </row>
    <row r="818">
      <c r="A818" s="269"/>
      <c r="B818" s="306"/>
      <c r="C818" s="271"/>
      <c r="D818" s="269"/>
      <c r="E818" s="269"/>
      <c r="F818" s="269"/>
      <c r="G818" s="307"/>
      <c r="H818" s="308"/>
      <c r="I818" s="275"/>
      <c r="J818" s="269"/>
      <c r="K818" s="269"/>
      <c r="L818" s="269"/>
      <c r="M818" s="269"/>
      <c r="N818" s="269"/>
      <c r="O818" s="269"/>
      <c r="P818" s="269"/>
      <c r="Q818" s="269"/>
      <c r="R818" s="269"/>
    </row>
    <row r="819">
      <c r="A819" s="269"/>
      <c r="B819" s="306"/>
      <c r="C819" s="271"/>
      <c r="D819" s="269"/>
      <c r="E819" s="269"/>
      <c r="F819" s="269"/>
      <c r="G819" s="307"/>
      <c r="H819" s="308"/>
      <c r="I819" s="275"/>
      <c r="J819" s="269"/>
      <c r="K819" s="269"/>
      <c r="L819" s="269"/>
      <c r="M819" s="269"/>
      <c r="N819" s="269"/>
      <c r="O819" s="269"/>
      <c r="P819" s="269"/>
      <c r="Q819" s="269"/>
      <c r="R819" s="269"/>
    </row>
    <row r="820">
      <c r="A820" s="269"/>
      <c r="B820" s="306"/>
      <c r="C820" s="271"/>
      <c r="D820" s="269"/>
      <c r="E820" s="269"/>
      <c r="F820" s="269"/>
      <c r="G820" s="307"/>
      <c r="H820" s="308"/>
      <c r="I820" s="275"/>
      <c r="J820" s="269"/>
      <c r="K820" s="269"/>
      <c r="L820" s="269"/>
      <c r="M820" s="269"/>
      <c r="N820" s="269"/>
      <c r="O820" s="269"/>
      <c r="P820" s="269"/>
      <c r="Q820" s="269"/>
      <c r="R820" s="269"/>
    </row>
    <row r="821">
      <c r="A821" s="269"/>
      <c r="B821" s="306"/>
      <c r="C821" s="271"/>
      <c r="D821" s="269"/>
      <c r="E821" s="269"/>
      <c r="F821" s="269"/>
      <c r="G821" s="307"/>
      <c r="H821" s="308"/>
      <c r="I821" s="275"/>
      <c r="J821" s="269"/>
      <c r="K821" s="269"/>
      <c r="L821" s="269"/>
      <c r="M821" s="269"/>
      <c r="N821" s="269"/>
      <c r="O821" s="269"/>
      <c r="P821" s="269"/>
      <c r="Q821" s="269"/>
      <c r="R821" s="269"/>
    </row>
    <row r="822">
      <c r="A822" s="269"/>
      <c r="B822" s="306"/>
      <c r="C822" s="271"/>
      <c r="D822" s="269"/>
      <c r="E822" s="269"/>
      <c r="F822" s="269"/>
      <c r="G822" s="307"/>
      <c r="H822" s="308"/>
      <c r="I822" s="275"/>
      <c r="J822" s="269"/>
      <c r="K822" s="269"/>
      <c r="L822" s="269"/>
      <c r="M822" s="269"/>
      <c r="N822" s="269"/>
      <c r="O822" s="269"/>
      <c r="P822" s="269"/>
      <c r="Q822" s="269"/>
      <c r="R822" s="269"/>
    </row>
    <row r="823">
      <c r="A823" s="269"/>
      <c r="B823" s="306"/>
      <c r="C823" s="271"/>
      <c r="D823" s="269"/>
      <c r="E823" s="269"/>
      <c r="F823" s="269"/>
      <c r="G823" s="307"/>
      <c r="H823" s="308"/>
      <c r="I823" s="275"/>
      <c r="J823" s="269"/>
      <c r="K823" s="269"/>
      <c r="L823" s="269"/>
      <c r="M823" s="269"/>
      <c r="N823" s="269"/>
      <c r="O823" s="269"/>
      <c r="P823" s="269"/>
      <c r="Q823" s="269"/>
      <c r="R823" s="269"/>
    </row>
    <row r="824">
      <c r="A824" s="269"/>
      <c r="B824" s="306"/>
      <c r="C824" s="271"/>
      <c r="D824" s="269"/>
      <c r="E824" s="269"/>
      <c r="F824" s="269"/>
      <c r="G824" s="307"/>
      <c r="H824" s="308"/>
      <c r="I824" s="275"/>
      <c r="J824" s="269"/>
      <c r="K824" s="269"/>
      <c r="L824" s="269"/>
      <c r="M824" s="269"/>
      <c r="N824" s="269"/>
      <c r="O824" s="269"/>
      <c r="P824" s="269"/>
      <c r="Q824" s="269"/>
      <c r="R824" s="269"/>
    </row>
    <row r="825">
      <c r="A825" s="269"/>
      <c r="B825" s="306"/>
      <c r="C825" s="271"/>
      <c r="D825" s="269"/>
      <c r="E825" s="269"/>
      <c r="F825" s="269"/>
      <c r="G825" s="307"/>
      <c r="H825" s="308"/>
      <c r="I825" s="275"/>
      <c r="J825" s="269"/>
      <c r="K825" s="269"/>
      <c r="L825" s="269"/>
      <c r="M825" s="269"/>
      <c r="N825" s="269"/>
      <c r="O825" s="269"/>
      <c r="P825" s="269"/>
      <c r="Q825" s="269"/>
      <c r="R825" s="269"/>
    </row>
    <row r="826">
      <c r="A826" s="269"/>
      <c r="B826" s="306"/>
      <c r="C826" s="271"/>
      <c r="D826" s="269"/>
      <c r="E826" s="269"/>
      <c r="F826" s="269"/>
      <c r="G826" s="307"/>
      <c r="H826" s="308"/>
      <c r="I826" s="275"/>
      <c r="J826" s="269"/>
      <c r="K826" s="269"/>
      <c r="L826" s="269"/>
      <c r="M826" s="269"/>
      <c r="N826" s="269"/>
      <c r="O826" s="269"/>
      <c r="P826" s="269"/>
      <c r="Q826" s="269"/>
      <c r="R826" s="269"/>
    </row>
    <row r="827">
      <c r="A827" s="269"/>
      <c r="B827" s="306"/>
      <c r="C827" s="271"/>
      <c r="D827" s="269"/>
      <c r="E827" s="269"/>
      <c r="F827" s="269"/>
      <c r="G827" s="307"/>
      <c r="H827" s="308"/>
      <c r="I827" s="275"/>
      <c r="J827" s="269"/>
      <c r="K827" s="269"/>
      <c r="L827" s="269"/>
      <c r="M827" s="269"/>
      <c r="N827" s="269"/>
      <c r="O827" s="269"/>
      <c r="P827" s="269"/>
      <c r="Q827" s="269"/>
      <c r="R827" s="269"/>
    </row>
    <row r="828">
      <c r="A828" s="269"/>
      <c r="B828" s="306"/>
      <c r="C828" s="271"/>
      <c r="D828" s="269"/>
      <c r="E828" s="269"/>
      <c r="F828" s="269"/>
      <c r="G828" s="307"/>
      <c r="H828" s="308"/>
      <c r="I828" s="275"/>
      <c r="J828" s="269"/>
      <c r="K828" s="269"/>
      <c r="L828" s="269"/>
      <c r="M828" s="269"/>
      <c r="N828" s="269"/>
      <c r="O828" s="269"/>
      <c r="P828" s="269"/>
      <c r="Q828" s="269"/>
      <c r="R828" s="269"/>
    </row>
    <row r="829">
      <c r="A829" s="269"/>
      <c r="B829" s="306"/>
      <c r="C829" s="271"/>
      <c r="D829" s="269"/>
      <c r="E829" s="269"/>
      <c r="F829" s="269"/>
      <c r="G829" s="307"/>
      <c r="H829" s="308"/>
      <c r="I829" s="275"/>
      <c r="J829" s="269"/>
      <c r="K829" s="269"/>
      <c r="L829" s="269"/>
      <c r="M829" s="269"/>
      <c r="N829" s="269"/>
      <c r="O829" s="269"/>
      <c r="P829" s="269"/>
      <c r="Q829" s="269"/>
      <c r="R829" s="269"/>
    </row>
    <row r="830">
      <c r="A830" s="269"/>
      <c r="B830" s="306"/>
      <c r="C830" s="271"/>
      <c r="D830" s="269"/>
      <c r="E830" s="269"/>
      <c r="F830" s="269"/>
      <c r="G830" s="307"/>
      <c r="H830" s="308"/>
      <c r="I830" s="275"/>
      <c r="J830" s="269"/>
      <c r="K830" s="269"/>
      <c r="L830" s="269"/>
      <c r="M830" s="269"/>
      <c r="N830" s="269"/>
      <c r="O830" s="269"/>
      <c r="P830" s="269"/>
      <c r="Q830" s="269"/>
      <c r="R830" s="269"/>
    </row>
    <row r="831">
      <c r="A831" s="269"/>
      <c r="B831" s="306"/>
      <c r="C831" s="271"/>
      <c r="D831" s="269"/>
      <c r="E831" s="269"/>
      <c r="F831" s="269"/>
      <c r="G831" s="307"/>
      <c r="H831" s="308"/>
      <c r="I831" s="275"/>
      <c r="J831" s="269"/>
      <c r="K831" s="269"/>
      <c r="L831" s="269"/>
      <c r="M831" s="269"/>
      <c r="N831" s="269"/>
      <c r="O831" s="269"/>
      <c r="P831" s="269"/>
      <c r="Q831" s="269"/>
      <c r="R831" s="269"/>
    </row>
    <row r="832">
      <c r="A832" s="269"/>
      <c r="B832" s="306"/>
      <c r="C832" s="271"/>
      <c r="D832" s="269"/>
      <c r="E832" s="269"/>
      <c r="F832" s="269"/>
      <c r="G832" s="307"/>
      <c r="H832" s="308"/>
      <c r="I832" s="275"/>
      <c r="J832" s="269"/>
      <c r="K832" s="269"/>
      <c r="L832" s="269"/>
      <c r="M832" s="269"/>
      <c r="N832" s="269"/>
      <c r="O832" s="269"/>
      <c r="P832" s="269"/>
      <c r="Q832" s="269"/>
      <c r="R832" s="269"/>
    </row>
    <row r="833">
      <c r="A833" s="269"/>
      <c r="B833" s="306"/>
      <c r="C833" s="271"/>
      <c r="D833" s="269"/>
      <c r="E833" s="269"/>
      <c r="F833" s="269"/>
      <c r="G833" s="307"/>
      <c r="H833" s="308"/>
      <c r="I833" s="275"/>
      <c r="J833" s="269"/>
      <c r="K833" s="269"/>
      <c r="L833" s="269"/>
      <c r="M833" s="269"/>
      <c r="N833" s="269"/>
      <c r="O833" s="269"/>
      <c r="P833" s="269"/>
      <c r="Q833" s="269"/>
      <c r="R833" s="269"/>
    </row>
    <row r="834">
      <c r="A834" s="269"/>
      <c r="B834" s="306"/>
      <c r="C834" s="271"/>
      <c r="D834" s="269"/>
      <c r="E834" s="269"/>
      <c r="F834" s="269"/>
      <c r="G834" s="307"/>
      <c r="H834" s="308"/>
      <c r="I834" s="275"/>
      <c r="J834" s="269"/>
      <c r="K834" s="269"/>
      <c r="L834" s="269"/>
      <c r="M834" s="269"/>
      <c r="N834" s="269"/>
      <c r="O834" s="269"/>
      <c r="P834" s="269"/>
      <c r="Q834" s="269"/>
      <c r="R834" s="269"/>
    </row>
    <row r="835">
      <c r="A835" s="269"/>
      <c r="B835" s="306"/>
      <c r="C835" s="271"/>
      <c r="D835" s="269"/>
      <c r="E835" s="269"/>
      <c r="F835" s="269"/>
      <c r="G835" s="307"/>
      <c r="H835" s="308"/>
      <c r="I835" s="275"/>
      <c r="J835" s="269"/>
      <c r="K835" s="269"/>
      <c r="L835" s="269"/>
      <c r="M835" s="269"/>
      <c r="N835" s="269"/>
      <c r="O835" s="269"/>
      <c r="P835" s="269"/>
      <c r="Q835" s="269"/>
      <c r="R835" s="269"/>
    </row>
    <row r="836">
      <c r="A836" s="269"/>
      <c r="B836" s="306"/>
      <c r="C836" s="271"/>
      <c r="D836" s="269"/>
      <c r="E836" s="269"/>
      <c r="F836" s="269"/>
      <c r="G836" s="307"/>
      <c r="H836" s="308"/>
      <c r="I836" s="275"/>
      <c r="J836" s="269"/>
      <c r="K836" s="269"/>
      <c r="L836" s="269"/>
      <c r="M836" s="269"/>
      <c r="N836" s="269"/>
      <c r="O836" s="269"/>
      <c r="P836" s="269"/>
      <c r="Q836" s="269"/>
      <c r="R836" s="269"/>
    </row>
    <row r="837">
      <c r="A837" s="269"/>
      <c r="B837" s="306"/>
      <c r="C837" s="271"/>
      <c r="D837" s="269"/>
      <c r="E837" s="269"/>
      <c r="F837" s="269"/>
      <c r="G837" s="307"/>
      <c r="H837" s="308"/>
      <c r="I837" s="275"/>
      <c r="J837" s="269"/>
      <c r="K837" s="269"/>
      <c r="L837" s="269"/>
      <c r="M837" s="269"/>
      <c r="N837" s="269"/>
      <c r="O837" s="269"/>
      <c r="P837" s="269"/>
      <c r="Q837" s="269"/>
      <c r="R837" s="269"/>
    </row>
    <row r="838">
      <c r="A838" s="269"/>
      <c r="B838" s="306"/>
      <c r="C838" s="271"/>
      <c r="D838" s="269"/>
      <c r="E838" s="269"/>
      <c r="F838" s="269"/>
      <c r="G838" s="307"/>
      <c r="H838" s="308"/>
      <c r="I838" s="275"/>
      <c r="J838" s="269"/>
      <c r="K838" s="269"/>
      <c r="L838" s="269"/>
      <c r="M838" s="269"/>
      <c r="N838" s="269"/>
      <c r="O838" s="269"/>
      <c r="P838" s="269"/>
      <c r="Q838" s="269"/>
      <c r="R838" s="269"/>
    </row>
    <row r="839">
      <c r="A839" s="269"/>
      <c r="B839" s="306"/>
      <c r="C839" s="271"/>
      <c r="D839" s="269"/>
      <c r="E839" s="269"/>
      <c r="F839" s="269"/>
      <c r="G839" s="307"/>
      <c r="H839" s="308"/>
      <c r="I839" s="275"/>
      <c r="J839" s="269"/>
      <c r="K839" s="269"/>
      <c r="L839" s="269"/>
      <c r="M839" s="269"/>
      <c r="N839" s="269"/>
      <c r="O839" s="269"/>
      <c r="P839" s="269"/>
      <c r="Q839" s="269"/>
      <c r="R839" s="269"/>
    </row>
    <row r="840">
      <c r="A840" s="269"/>
      <c r="B840" s="306"/>
      <c r="C840" s="271"/>
      <c r="D840" s="269"/>
      <c r="E840" s="269"/>
      <c r="F840" s="269"/>
      <c r="G840" s="307"/>
      <c r="H840" s="308"/>
      <c r="I840" s="275"/>
      <c r="J840" s="269"/>
      <c r="K840" s="269"/>
      <c r="L840" s="269"/>
      <c r="M840" s="269"/>
      <c r="N840" s="269"/>
      <c r="O840" s="269"/>
      <c r="P840" s="269"/>
      <c r="Q840" s="269"/>
      <c r="R840" s="269"/>
    </row>
    <row r="841">
      <c r="A841" s="269"/>
      <c r="B841" s="306"/>
      <c r="C841" s="271"/>
      <c r="D841" s="269"/>
      <c r="E841" s="269"/>
      <c r="F841" s="269"/>
      <c r="G841" s="307"/>
      <c r="H841" s="308"/>
      <c r="I841" s="275"/>
      <c r="J841" s="269"/>
      <c r="K841" s="269"/>
      <c r="L841" s="269"/>
      <c r="M841" s="269"/>
      <c r="N841" s="269"/>
      <c r="O841" s="269"/>
      <c r="P841" s="269"/>
      <c r="Q841" s="269"/>
      <c r="R841" s="269"/>
    </row>
    <row r="842">
      <c r="A842" s="269"/>
      <c r="B842" s="306"/>
      <c r="C842" s="271"/>
      <c r="D842" s="269"/>
      <c r="E842" s="269"/>
      <c r="F842" s="269"/>
      <c r="G842" s="307"/>
      <c r="H842" s="308"/>
      <c r="I842" s="275"/>
      <c r="J842" s="269"/>
      <c r="K842" s="269"/>
      <c r="L842" s="269"/>
      <c r="M842" s="269"/>
      <c r="N842" s="269"/>
      <c r="O842" s="269"/>
      <c r="P842" s="269"/>
      <c r="Q842" s="269"/>
      <c r="R842" s="269"/>
    </row>
    <row r="843">
      <c r="A843" s="269"/>
      <c r="B843" s="306"/>
      <c r="C843" s="271"/>
      <c r="D843" s="269"/>
      <c r="E843" s="269"/>
      <c r="F843" s="269"/>
      <c r="G843" s="307"/>
      <c r="H843" s="308"/>
      <c r="I843" s="275"/>
      <c r="J843" s="269"/>
      <c r="K843" s="269"/>
      <c r="L843" s="269"/>
      <c r="M843" s="269"/>
      <c r="N843" s="269"/>
      <c r="O843" s="269"/>
      <c r="P843" s="269"/>
      <c r="Q843" s="269"/>
      <c r="R843" s="269"/>
    </row>
    <row r="844">
      <c r="A844" s="269"/>
      <c r="B844" s="306"/>
      <c r="C844" s="271"/>
      <c r="D844" s="269"/>
      <c r="E844" s="269"/>
      <c r="F844" s="269"/>
      <c r="G844" s="307"/>
      <c r="H844" s="308"/>
      <c r="I844" s="275"/>
      <c r="J844" s="269"/>
      <c r="K844" s="269"/>
      <c r="L844" s="269"/>
      <c r="M844" s="269"/>
      <c r="N844" s="269"/>
      <c r="O844" s="269"/>
      <c r="P844" s="269"/>
      <c r="Q844" s="269"/>
      <c r="R844" s="269"/>
    </row>
    <row r="845">
      <c r="A845" s="269"/>
      <c r="B845" s="306"/>
      <c r="C845" s="271"/>
      <c r="D845" s="269"/>
      <c r="E845" s="269"/>
      <c r="F845" s="269"/>
      <c r="G845" s="307"/>
      <c r="H845" s="308"/>
      <c r="I845" s="275"/>
      <c r="J845" s="269"/>
      <c r="K845" s="269"/>
      <c r="L845" s="269"/>
      <c r="M845" s="269"/>
      <c r="N845" s="269"/>
      <c r="O845" s="269"/>
      <c r="P845" s="269"/>
      <c r="Q845" s="269"/>
      <c r="R845" s="269"/>
    </row>
    <row r="846">
      <c r="A846" s="269"/>
      <c r="B846" s="306"/>
      <c r="C846" s="271"/>
      <c r="D846" s="269"/>
      <c r="E846" s="269"/>
      <c r="F846" s="269"/>
      <c r="G846" s="307"/>
      <c r="H846" s="308"/>
      <c r="I846" s="275"/>
      <c r="J846" s="269"/>
      <c r="K846" s="269"/>
      <c r="L846" s="269"/>
      <c r="M846" s="269"/>
      <c r="N846" s="269"/>
      <c r="O846" s="269"/>
      <c r="P846" s="269"/>
      <c r="Q846" s="269"/>
      <c r="R846" s="269"/>
    </row>
    <row r="847">
      <c r="A847" s="269"/>
      <c r="B847" s="306"/>
      <c r="C847" s="271"/>
      <c r="D847" s="269"/>
      <c r="E847" s="269"/>
      <c r="F847" s="269"/>
      <c r="G847" s="307"/>
      <c r="H847" s="308"/>
      <c r="I847" s="275"/>
      <c r="J847" s="269"/>
      <c r="K847" s="269"/>
      <c r="L847" s="269"/>
      <c r="M847" s="269"/>
      <c r="N847" s="269"/>
      <c r="O847" s="269"/>
      <c r="P847" s="269"/>
      <c r="Q847" s="269"/>
      <c r="R847" s="269"/>
    </row>
    <row r="848">
      <c r="A848" s="269"/>
      <c r="B848" s="306"/>
      <c r="C848" s="271"/>
      <c r="D848" s="269"/>
      <c r="E848" s="269"/>
      <c r="F848" s="269"/>
      <c r="G848" s="307"/>
      <c r="H848" s="308"/>
      <c r="I848" s="275"/>
      <c r="J848" s="269"/>
      <c r="K848" s="269"/>
      <c r="L848" s="269"/>
      <c r="M848" s="269"/>
      <c r="N848" s="269"/>
      <c r="O848" s="269"/>
      <c r="P848" s="269"/>
      <c r="Q848" s="269"/>
      <c r="R848" s="269"/>
    </row>
    <row r="849">
      <c r="A849" s="269"/>
      <c r="B849" s="306"/>
      <c r="C849" s="271"/>
      <c r="D849" s="269"/>
      <c r="E849" s="269"/>
      <c r="F849" s="269"/>
      <c r="G849" s="307"/>
      <c r="H849" s="308"/>
      <c r="I849" s="275"/>
      <c r="J849" s="269"/>
      <c r="K849" s="269"/>
      <c r="L849" s="269"/>
      <c r="M849" s="269"/>
      <c r="N849" s="269"/>
      <c r="O849" s="269"/>
      <c r="P849" s="269"/>
      <c r="Q849" s="269"/>
      <c r="R849" s="269"/>
    </row>
    <row r="850">
      <c r="A850" s="269"/>
      <c r="B850" s="306"/>
      <c r="C850" s="271"/>
      <c r="D850" s="269"/>
      <c r="E850" s="269"/>
      <c r="F850" s="269"/>
      <c r="G850" s="307"/>
      <c r="H850" s="308"/>
      <c r="I850" s="275"/>
      <c r="J850" s="269"/>
      <c r="K850" s="269"/>
      <c r="L850" s="269"/>
      <c r="M850" s="269"/>
      <c r="N850" s="269"/>
      <c r="O850" s="269"/>
      <c r="P850" s="269"/>
      <c r="Q850" s="269"/>
      <c r="R850" s="269"/>
    </row>
    <row r="851">
      <c r="A851" s="269"/>
      <c r="B851" s="306"/>
      <c r="C851" s="271"/>
      <c r="D851" s="269"/>
      <c r="E851" s="269"/>
      <c r="F851" s="269"/>
      <c r="G851" s="307"/>
      <c r="H851" s="308"/>
      <c r="I851" s="275"/>
      <c r="J851" s="269"/>
      <c r="K851" s="269"/>
      <c r="L851" s="269"/>
      <c r="M851" s="269"/>
      <c r="N851" s="269"/>
      <c r="O851" s="269"/>
      <c r="P851" s="269"/>
      <c r="Q851" s="269"/>
      <c r="R851" s="269"/>
    </row>
    <row r="852">
      <c r="A852" s="269"/>
      <c r="B852" s="306"/>
      <c r="C852" s="271"/>
      <c r="D852" s="269"/>
      <c r="E852" s="269"/>
      <c r="F852" s="269"/>
      <c r="G852" s="307"/>
      <c r="H852" s="308"/>
      <c r="I852" s="275"/>
      <c r="J852" s="269"/>
      <c r="K852" s="269"/>
      <c r="L852" s="269"/>
      <c r="M852" s="269"/>
      <c r="N852" s="269"/>
      <c r="O852" s="269"/>
      <c r="P852" s="269"/>
      <c r="Q852" s="269"/>
      <c r="R852" s="269"/>
    </row>
    <row r="853">
      <c r="A853" s="269"/>
      <c r="B853" s="306"/>
      <c r="C853" s="271"/>
      <c r="D853" s="269"/>
      <c r="E853" s="269"/>
      <c r="F853" s="269"/>
      <c r="G853" s="307"/>
      <c r="H853" s="308"/>
      <c r="I853" s="275"/>
      <c r="J853" s="269"/>
      <c r="K853" s="269"/>
      <c r="L853" s="269"/>
      <c r="M853" s="269"/>
      <c r="N853" s="269"/>
      <c r="O853" s="269"/>
      <c r="P853" s="269"/>
      <c r="Q853" s="269"/>
      <c r="R853" s="269"/>
    </row>
    <row r="854">
      <c r="A854" s="269"/>
      <c r="B854" s="306"/>
      <c r="C854" s="271"/>
      <c r="D854" s="269"/>
      <c r="E854" s="269"/>
      <c r="F854" s="269"/>
      <c r="G854" s="307"/>
      <c r="H854" s="308"/>
      <c r="I854" s="275"/>
      <c r="J854" s="269"/>
      <c r="K854" s="269"/>
      <c r="L854" s="269"/>
      <c r="M854" s="269"/>
      <c r="N854" s="269"/>
      <c r="O854" s="269"/>
      <c r="P854" s="269"/>
      <c r="Q854" s="269"/>
      <c r="R854" s="269"/>
    </row>
    <row r="855">
      <c r="A855" s="269"/>
      <c r="B855" s="306"/>
      <c r="C855" s="271"/>
      <c r="D855" s="269"/>
      <c r="E855" s="269"/>
      <c r="F855" s="269"/>
      <c r="G855" s="307"/>
      <c r="H855" s="308"/>
      <c r="I855" s="275"/>
      <c r="J855" s="269"/>
      <c r="K855" s="269"/>
      <c r="L855" s="269"/>
      <c r="M855" s="269"/>
      <c r="N855" s="269"/>
      <c r="O855" s="269"/>
      <c r="P855" s="269"/>
      <c r="Q855" s="269"/>
      <c r="R855" s="269"/>
    </row>
    <row r="856">
      <c r="A856" s="269"/>
      <c r="B856" s="306"/>
      <c r="C856" s="271"/>
      <c r="D856" s="269"/>
      <c r="E856" s="269"/>
      <c r="F856" s="269"/>
      <c r="G856" s="307"/>
      <c r="H856" s="308"/>
      <c r="I856" s="275"/>
      <c r="J856" s="269"/>
      <c r="K856" s="269"/>
      <c r="L856" s="269"/>
      <c r="M856" s="269"/>
      <c r="N856" s="269"/>
      <c r="O856" s="269"/>
      <c r="P856" s="269"/>
      <c r="Q856" s="269"/>
      <c r="R856" s="269"/>
    </row>
    <row r="857">
      <c r="A857" s="269"/>
      <c r="B857" s="306"/>
      <c r="C857" s="271"/>
      <c r="D857" s="269"/>
      <c r="E857" s="269"/>
      <c r="F857" s="269"/>
      <c r="G857" s="307"/>
      <c r="H857" s="308"/>
      <c r="I857" s="275"/>
      <c r="J857" s="269"/>
      <c r="K857" s="269"/>
      <c r="L857" s="269"/>
      <c r="M857" s="269"/>
      <c r="N857" s="269"/>
      <c r="O857" s="269"/>
      <c r="P857" s="269"/>
      <c r="Q857" s="269"/>
      <c r="R857" s="269"/>
    </row>
    <row r="858">
      <c r="A858" s="269"/>
      <c r="B858" s="306"/>
      <c r="C858" s="271"/>
      <c r="D858" s="269"/>
      <c r="E858" s="269"/>
      <c r="F858" s="269"/>
      <c r="G858" s="307"/>
      <c r="H858" s="308"/>
      <c r="I858" s="275"/>
      <c r="J858" s="269"/>
      <c r="K858" s="269"/>
      <c r="L858" s="269"/>
      <c r="M858" s="269"/>
      <c r="N858" s="269"/>
      <c r="O858" s="269"/>
      <c r="P858" s="269"/>
      <c r="Q858" s="269"/>
      <c r="R858" s="269"/>
    </row>
    <row r="859">
      <c r="A859" s="269"/>
      <c r="B859" s="306"/>
      <c r="C859" s="271"/>
      <c r="D859" s="269"/>
      <c r="E859" s="269"/>
      <c r="F859" s="269"/>
      <c r="G859" s="307"/>
      <c r="H859" s="308"/>
      <c r="I859" s="275"/>
      <c r="J859" s="269"/>
      <c r="K859" s="269"/>
      <c r="L859" s="269"/>
      <c r="M859" s="269"/>
      <c r="N859" s="269"/>
      <c r="O859" s="269"/>
      <c r="P859" s="269"/>
      <c r="Q859" s="269"/>
      <c r="R859" s="269"/>
    </row>
    <row r="860">
      <c r="A860" s="269"/>
      <c r="B860" s="306"/>
      <c r="C860" s="271"/>
      <c r="D860" s="269"/>
      <c r="E860" s="269"/>
      <c r="F860" s="269"/>
      <c r="G860" s="307"/>
      <c r="H860" s="308"/>
      <c r="I860" s="275"/>
      <c r="J860" s="269"/>
      <c r="K860" s="269"/>
      <c r="L860" s="269"/>
      <c r="M860" s="269"/>
      <c r="N860" s="269"/>
      <c r="O860" s="269"/>
      <c r="P860" s="269"/>
      <c r="Q860" s="269"/>
      <c r="R860" s="269"/>
    </row>
    <row r="861">
      <c r="A861" s="269"/>
      <c r="B861" s="306"/>
      <c r="C861" s="271"/>
      <c r="D861" s="269"/>
      <c r="E861" s="269"/>
      <c r="F861" s="269"/>
      <c r="G861" s="307"/>
      <c r="H861" s="308"/>
      <c r="I861" s="275"/>
      <c r="J861" s="269"/>
      <c r="K861" s="269"/>
      <c r="L861" s="269"/>
      <c r="M861" s="269"/>
      <c r="N861" s="269"/>
      <c r="O861" s="269"/>
      <c r="P861" s="269"/>
      <c r="Q861" s="269"/>
      <c r="R861" s="269"/>
    </row>
    <row r="862">
      <c r="A862" s="269"/>
      <c r="B862" s="306"/>
      <c r="C862" s="271"/>
      <c r="D862" s="269"/>
      <c r="E862" s="269"/>
      <c r="F862" s="269"/>
      <c r="G862" s="307"/>
      <c r="H862" s="308"/>
      <c r="I862" s="275"/>
      <c r="J862" s="269"/>
      <c r="K862" s="269"/>
      <c r="L862" s="269"/>
      <c r="M862" s="269"/>
      <c r="N862" s="269"/>
      <c r="O862" s="269"/>
      <c r="P862" s="269"/>
      <c r="Q862" s="269"/>
      <c r="R862" s="269"/>
    </row>
    <row r="863">
      <c r="A863" s="269"/>
      <c r="B863" s="306"/>
      <c r="C863" s="271"/>
      <c r="D863" s="269"/>
      <c r="E863" s="269"/>
      <c r="F863" s="269"/>
      <c r="G863" s="307"/>
      <c r="H863" s="308"/>
      <c r="I863" s="275"/>
      <c r="J863" s="269"/>
      <c r="K863" s="269"/>
      <c r="L863" s="269"/>
      <c r="M863" s="269"/>
      <c r="N863" s="269"/>
      <c r="O863" s="269"/>
      <c r="P863" s="269"/>
      <c r="Q863" s="269"/>
      <c r="R863" s="269"/>
    </row>
    <row r="864">
      <c r="A864" s="269"/>
      <c r="B864" s="306"/>
      <c r="C864" s="271"/>
      <c r="D864" s="269"/>
      <c r="E864" s="269"/>
      <c r="F864" s="269"/>
      <c r="G864" s="307"/>
      <c r="H864" s="308"/>
      <c r="I864" s="275"/>
      <c r="J864" s="269"/>
      <c r="K864" s="269"/>
      <c r="L864" s="269"/>
      <c r="M864" s="269"/>
      <c r="N864" s="269"/>
      <c r="O864" s="269"/>
      <c r="P864" s="269"/>
      <c r="Q864" s="269"/>
      <c r="R864" s="269"/>
    </row>
    <row r="865">
      <c r="A865" s="269"/>
      <c r="B865" s="306"/>
      <c r="C865" s="271"/>
      <c r="D865" s="269"/>
      <c r="E865" s="269"/>
      <c r="F865" s="269"/>
      <c r="G865" s="307"/>
      <c r="H865" s="308"/>
      <c r="I865" s="275"/>
      <c r="J865" s="269"/>
      <c r="K865" s="269"/>
      <c r="L865" s="269"/>
      <c r="M865" s="269"/>
      <c r="N865" s="269"/>
      <c r="O865" s="269"/>
      <c r="P865" s="269"/>
      <c r="Q865" s="269"/>
      <c r="R865" s="269"/>
    </row>
    <row r="866">
      <c r="A866" s="269"/>
      <c r="B866" s="306"/>
      <c r="C866" s="271"/>
      <c r="D866" s="269"/>
      <c r="E866" s="269"/>
      <c r="F866" s="269"/>
      <c r="G866" s="307"/>
      <c r="H866" s="308"/>
      <c r="I866" s="275"/>
      <c r="J866" s="269"/>
      <c r="K866" s="269"/>
      <c r="L866" s="269"/>
      <c r="M866" s="269"/>
      <c r="N866" s="269"/>
      <c r="O866" s="269"/>
      <c r="P866" s="269"/>
      <c r="Q866" s="269"/>
      <c r="R866" s="269"/>
    </row>
    <row r="867">
      <c r="A867" s="269"/>
      <c r="B867" s="306"/>
      <c r="C867" s="271"/>
      <c r="D867" s="269"/>
      <c r="E867" s="269"/>
      <c r="F867" s="269"/>
      <c r="G867" s="307"/>
      <c r="H867" s="308"/>
      <c r="I867" s="275"/>
      <c r="J867" s="269"/>
      <c r="K867" s="269"/>
      <c r="L867" s="269"/>
      <c r="M867" s="269"/>
      <c r="N867" s="269"/>
      <c r="O867" s="269"/>
      <c r="P867" s="269"/>
      <c r="Q867" s="269"/>
      <c r="R867" s="269"/>
    </row>
    <row r="868">
      <c r="A868" s="269"/>
      <c r="B868" s="306"/>
      <c r="C868" s="271"/>
      <c r="D868" s="269"/>
      <c r="E868" s="269"/>
      <c r="F868" s="269"/>
      <c r="G868" s="307"/>
      <c r="H868" s="308"/>
      <c r="I868" s="275"/>
      <c r="J868" s="269"/>
      <c r="K868" s="269"/>
      <c r="L868" s="269"/>
      <c r="M868" s="269"/>
      <c r="N868" s="269"/>
      <c r="O868" s="269"/>
      <c r="P868" s="269"/>
      <c r="Q868" s="269"/>
      <c r="R868" s="269"/>
    </row>
    <row r="869">
      <c r="A869" s="269"/>
      <c r="B869" s="306"/>
      <c r="C869" s="271"/>
      <c r="D869" s="269"/>
      <c r="E869" s="269"/>
      <c r="F869" s="269"/>
      <c r="G869" s="307"/>
      <c r="H869" s="308"/>
      <c r="I869" s="275"/>
      <c r="J869" s="269"/>
      <c r="K869" s="269"/>
      <c r="L869" s="269"/>
      <c r="M869" s="269"/>
      <c r="N869" s="269"/>
      <c r="O869" s="269"/>
      <c r="P869" s="269"/>
      <c r="Q869" s="269"/>
      <c r="R869" s="269"/>
    </row>
    <row r="870">
      <c r="A870" s="269"/>
      <c r="B870" s="306"/>
      <c r="C870" s="271"/>
      <c r="D870" s="269"/>
      <c r="E870" s="269"/>
      <c r="F870" s="269"/>
      <c r="G870" s="307"/>
      <c r="H870" s="308"/>
      <c r="I870" s="275"/>
      <c r="J870" s="269"/>
      <c r="K870" s="269"/>
      <c r="L870" s="269"/>
      <c r="M870" s="269"/>
      <c r="N870" s="269"/>
      <c r="O870" s="269"/>
      <c r="P870" s="269"/>
      <c r="Q870" s="269"/>
      <c r="R870" s="269"/>
    </row>
    <row r="871">
      <c r="A871" s="269"/>
      <c r="B871" s="306"/>
      <c r="C871" s="271"/>
      <c r="D871" s="269"/>
      <c r="E871" s="269"/>
      <c r="F871" s="269"/>
      <c r="G871" s="307"/>
      <c r="H871" s="308"/>
      <c r="I871" s="275"/>
      <c r="J871" s="269"/>
      <c r="K871" s="269"/>
      <c r="L871" s="269"/>
      <c r="M871" s="269"/>
      <c r="N871" s="269"/>
      <c r="O871" s="269"/>
      <c r="P871" s="269"/>
      <c r="Q871" s="269"/>
      <c r="R871" s="269"/>
    </row>
    <row r="872">
      <c r="A872" s="269"/>
      <c r="B872" s="306"/>
      <c r="C872" s="271"/>
      <c r="D872" s="269"/>
      <c r="E872" s="269"/>
      <c r="F872" s="269"/>
      <c r="G872" s="307"/>
      <c r="H872" s="308"/>
      <c r="I872" s="275"/>
      <c r="J872" s="269"/>
      <c r="K872" s="269"/>
      <c r="L872" s="269"/>
      <c r="M872" s="269"/>
      <c r="N872" s="269"/>
      <c r="O872" s="269"/>
      <c r="P872" s="269"/>
      <c r="Q872" s="269"/>
      <c r="R872" s="269"/>
    </row>
    <row r="873">
      <c r="A873" s="269"/>
      <c r="B873" s="306"/>
      <c r="C873" s="271"/>
      <c r="D873" s="269"/>
      <c r="E873" s="269"/>
      <c r="F873" s="269"/>
      <c r="G873" s="307"/>
      <c r="H873" s="308"/>
      <c r="I873" s="275"/>
      <c r="J873" s="269"/>
      <c r="K873" s="269"/>
      <c r="L873" s="269"/>
      <c r="M873" s="269"/>
      <c r="N873" s="269"/>
      <c r="O873" s="269"/>
      <c r="P873" s="269"/>
      <c r="Q873" s="269"/>
      <c r="R873" s="269"/>
    </row>
    <row r="874">
      <c r="A874" s="269"/>
      <c r="B874" s="306"/>
      <c r="C874" s="271"/>
      <c r="D874" s="269"/>
      <c r="E874" s="269"/>
      <c r="F874" s="269"/>
      <c r="G874" s="307"/>
      <c r="H874" s="308"/>
      <c r="I874" s="275"/>
      <c r="J874" s="269"/>
      <c r="K874" s="269"/>
      <c r="L874" s="269"/>
      <c r="M874" s="269"/>
      <c r="N874" s="269"/>
      <c r="O874" s="269"/>
      <c r="P874" s="269"/>
      <c r="Q874" s="269"/>
      <c r="R874" s="269"/>
    </row>
    <row r="875">
      <c r="A875" s="269"/>
      <c r="B875" s="306"/>
      <c r="C875" s="271"/>
      <c r="D875" s="269"/>
      <c r="E875" s="269"/>
      <c r="F875" s="269"/>
      <c r="G875" s="307"/>
      <c r="H875" s="308"/>
      <c r="I875" s="275"/>
      <c r="J875" s="269"/>
      <c r="K875" s="269"/>
      <c r="L875" s="269"/>
      <c r="M875" s="269"/>
      <c r="N875" s="269"/>
      <c r="O875" s="269"/>
      <c r="P875" s="269"/>
      <c r="Q875" s="269"/>
      <c r="R875" s="269"/>
    </row>
    <row r="876">
      <c r="A876" s="269"/>
      <c r="B876" s="306"/>
      <c r="C876" s="271"/>
      <c r="D876" s="269"/>
      <c r="E876" s="269"/>
      <c r="F876" s="269"/>
      <c r="G876" s="307"/>
      <c r="H876" s="308"/>
      <c r="I876" s="275"/>
      <c r="J876" s="269"/>
      <c r="K876" s="269"/>
      <c r="L876" s="269"/>
      <c r="M876" s="269"/>
      <c r="N876" s="269"/>
      <c r="O876" s="269"/>
      <c r="P876" s="269"/>
      <c r="Q876" s="269"/>
      <c r="R876" s="269"/>
    </row>
    <row r="877">
      <c r="A877" s="269"/>
      <c r="B877" s="306"/>
      <c r="C877" s="271"/>
      <c r="D877" s="269"/>
      <c r="E877" s="269"/>
      <c r="F877" s="269"/>
      <c r="G877" s="307"/>
      <c r="H877" s="308"/>
      <c r="I877" s="275"/>
      <c r="J877" s="269"/>
      <c r="K877" s="269"/>
      <c r="L877" s="269"/>
      <c r="M877" s="269"/>
      <c r="N877" s="269"/>
      <c r="O877" s="269"/>
      <c r="P877" s="269"/>
      <c r="Q877" s="269"/>
      <c r="R877" s="269"/>
    </row>
    <row r="878">
      <c r="A878" s="269"/>
      <c r="B878" s="306"/>
      <c r="C878" s="271"/>
      <c r="D878" s="269"/>
      <c r="E878" s="269"/>
      <c r="F878" s="269"/>
      <c r="G878" s="307"/>
      <c r="H878" s="308"/>
      <c r="I878" s="275"/>
      <c r="J878" s="269"/>
      <c r="K878" s="269"/>
      <c r="L878" s="269"/>
      <c r="M878" s="269"/>
      <c r="N878" s="269"/>
      <c r="O878" s="269"/>
      <c r="P878" s="269"/>
      <c r="Q878" s="269"/>
      <c r="R878" s="269"/>
    </row>
    <row r="879">
      <c r="A879" s="269"/>
      <c r="B879" s="306"/>
      <c r="C879" s="271"/>
      <c r="D879" s="269"/>
      <c r="E879" s="269"/>
      <c r="F879" s="269"/>
      <c r="G879" s="307"/>
      <c r="H879" s="308"/>
      <c r="I879" s="275"/>
      <c r="J879" s="269"/>
      <c r="K879" s="269"/>
      <c r="L879" s="269"/>
      <c r="M879" s="269"/>
      <c r="N879" s="269"/>
      <c r="O879" s="269"/>
      <c r="P879" s="269"/>
      <c r="Q879" s="269"/>
      <c r="R879" s="269"/>
    </row>
    <row r="880">
      <c r="A880" s="269"/>
      <c r="B880" s="306"/>
      <c r="C880" s="271"/>
      <c r="D880" s="269"/>
      <c r="E880" s="269"/>
      <c r="F880" s="269"/>
      <c r="G880" s="307"/>
      <c r="H880" s="308"/>
      <c r="I880" s="275"/>
      <c r="J880" s="269"/>
      <c r="K880" s="269"/>
      <c r="L880" s="269"/>
      <c r="M880" s="269"/>
      <c r="N880" s="269"/>
      <c r="O880" s="269"/>
      <c r="P880" s="269"/>
      <c r="Q880" s="269"/>
      <c r="R880" s="269"/>
    </row>
    <row r="881">
      <c r="A881" s="269"/>
      <c r="B881" s="306"/>
      <c r="C881" s="271"/>
      <c r="D881" s="269"/>
      <c r="E881" s="269"/>
      <c r="F881" s="269"/>
      <c r="G881" s="307"/>
      <c r="H881" s="308"/>
      <c r="I881" s="275"/>
      <c r="J881" s="269"/>
      <c r="K881" s="269"/>
      <c r="L881" s="269"/>
      <c r="M881" s="269"/>
      <c r="N881" s="269"/>
      <c r="O881" s="269"/>
      <c r="P881" s="269"/>
      <c r="Q881" s="269"/>
      <c r="R881" s="269"/>
    </row>
    <row r="882">
      <c r="A882" s="269"/>
      <c r="B882" s="306"/>
      <c r="C882" s="271"/>
      <c r="D882" s="269"/>
      <c r="E882" s="269"/>
      <c r="F882" s="269"/>
      <c r="G882" s="307"/>
      <c r="H882" s="308"/>
      <c r="I882" s="275"/>
      <c r="J882" s="269"/>
      <c r="K882" s="269"/>
      <c r="L882" s="269"/>
      <c r="M882" s="269"/>
      <c r="N882" s="269"/>
      <c r="O882" s="269"/>
      <c r="P882" s="269"/>
      <c r="Q882" s="269"/>
      <c r="R882" s="269"/>
    </row>
    <row r="883">
      <c r="A883" s="269"/>
      <c r="B883" s="306"/>
      <c r="C883" s="271"/>
      <c r="D883" s="269"/>
      <c r="E883" s="269"/>
      <c r="F883" s="269"/>
      <c r="G883" s="307"/>
      <c r="H883" s="308"/>
      <c r="I883" s="275"/>
      <c r="J883" s="269"/>
      <c r="K883" s="269"/>
      <c r="L883" s="269"/>
      <c r="M883" s="269"/>
      <c r="N883" s="269"/>
      <c r="O883" s="269"/>
      <c r="P883" s="269"/>
      <c r="Q883" s="269"/>
      <c r="R883" s="269"/>
    </row>
    <row r="884">
      <c r="A884" s="269"/>
      <c r="B884" s="306"/>
      <c r="C884" s="271"/>
      <c r="D884" s="269"/>
      <c r="E884" s="269"/>
      <c r="F884" s="269"/>
      <c r="G884" s="307"/>
      <c r="H884" s="308"/>
      <c r="I884" s="275"/>
      <c r="J884" s="269"/>
      <c r="K884" s="269"/>
      <c r="L884" s="269"/>
      <c r="M884" s="269"/>
      <c r="N884" s="269"/>
      <c r="O884" s="269"/>
      <c r="P884" s="269"/>
      <c r="Q884" s="269"/>
      <c r="R884" s="269"/>
    </row>
    <row r="885">
      <c r="A885" s="269"/>
      <c r="B885" s="306"/>
      <c r="C885" s="271"/>
      <c r="D885" s="269"/>
      <c r="E885" s="269"/>
      <c r="F885" s="269"/>
      <c r="G885" s="307"/>
      <c r="H885" s="308"/>
      <c r="I885" s="275"/>
      <c r="J885" s="269"/>
      <c r="K885" s="269"/>
      <c r="L885" s="269"/>
      <c r="M885" s="269"/>
      <c r="N885" s="269"/>
      <c r="O885" s="269"/>
      <c r="P885" s="269"/>
      <c r="Q885" s="269"/>
      <c r="R885" s="269"/>
    </row>
    <row r="886">
      <c r="A886" s="269"/>
      <c r="B886" s="306"/>
      <c r="C886" s="271"/>
      <c r="D886" s="269"/>
      <c r="E886" s="269"/>
      <c r="F886" s="269"/>
      <c r="G886" s="307"/>
      <c r="H886" s="308"/>
      <c r="I886" s="275"/>
      <c r="J886" s="269"/>
      <c r="K886" s="269"/>
      <c r="L886" s="269"/>
      <c r="M886" s="269"/>
      <c r="N886" s="269"/>
      <c r="O886" s="269"/>
      <c r="P886" s="269"/>
      <c r="Q886" s="269"/>
      <c r="R886" s="269"/>
    </row>
    <row r="887">
      <c r="A887" s="269"/>
      <c r="B887" s="306"/>
      <c r="C887" s="271"/>
      <c r="D887" s="269"/>
      <c r="E887" s="269"/>
      <c r="F887" s="269"/>
      <c r="G887" s="307"/>
      <c r="H887" s="308"/>
      <c r="I887" s="275"/>
      <c r="J887" s="269"/>
      <c r="K887" s="269"/>
      <c r="L887" s="269"/>
      <c r="M887" s="269"/>
      <c r="N887" s="269"/>
      <c r="O887" s="269"/>
      <c r="P887" s="269"/>
      <c r="Q887" s="269"/>
      <c r="R887" s="269"/>
    </row>
    <row r="888">
      <c r="A888" s="269"/>
      <c r="B888" s="306"/>
      <c r="C888" s="271"/>
      <c r="D888" s="269"/>
      <c r="E888" s="269"/>
      <c r="F888" s="269"/>
      <c r="G888" s="307"/>
      <c r="H888" s="308"/>
      <c r="I888" s="275"/>
      <c r="J888" s="269"/>
      <c r="K888" s="269"/>
      <c r="L888" s="269"/>
      <c r="M888" s="269"/>
      <c r="N888" s="269"/>
      <c r="O888" s="269"/>
      <c r="P888" s="269"/>
      <c r="Q888" s="269"/>
      <c r="R888" s="269"/>
    </row>
    <row r="889">
      <c r="A889" s="269"/>
      <c r="B889" s="306"/>
      <c r="C889" s="271"/>
      <c r="D889" s="269"/>
      <c r="E889" s="269"/>
      <c r="F889" s="269"/>
      <c r="G889" s="307"/>
      <c r="H889" s="308"/>
      <c r="I889" s="275"/>
      <c r="J889" s="269"/>
      <c r="K889" s="269"/>
      <c r="L889" s="269"/>
      <c r="M889" s="269"/>
      <c r="N889" s="269"/>
      <c r="O889" s="269"/>
      <c r="P889" s="269"/>
      <c r="Q889" s="269"/>
      <c r="R889" s="269"/>
    </row>
    <row r="890">
      <c r="A890" s="269"/>
      <c r="B890" s="306"/>
      <c r="C890" s="271"/>
      <c r="D890" s="269"/>
      <c r="E890" s="269"/>
      <c r="F890" s="269"/>
      <c r="G890" s="307"/>
      <c r="H890" s="308"/>
      <c r="I890" s="275"/>
      <c r="J890" s="269"/>
      <c r="K890" s="269"/>
      <c r="L890" s="269"/>
      <c r="M890" s="269"/>
      <c r="N890" s="269"/>
      <c r="O890" s="269"/>
      <c r="P890" s="269"/>
      <c r="Q890" s="269"/>
      <c r="R890" s="269"/>
    </row>
    <row r="891">
      <c r="A891" s="269"/>
      <c r="B891" s="306"/>
      <c r="C891" s="271"/>
      <c r="D891" s="269"/>
      <c r="E891" s="269"/>
      <c r="F891" s="269"/>
      <c r="G891" s="307"/>
      <c r="H891" s="308"/>
      <c r="I891" s="275"/>
      <c r="J891" s="269"/>
      <c r="K891" s="269"/>
      <c r="L891" s="269"/>
      <c r="M891" s="269"/>
      <c r="N891" s="269"/>
      <c r="O891" s="269"/>
      <c r="P891" s="269"/>
      <c r="Q891" s="269"/>
      <c r="R891" s="269"/>
    </row>
    <row r="892">
      <c r="A892" s="269"/>
      <c r="B892" s="306"/>
      <c r="C892" s="271"/>
      <c r="D892" s="269"/>
      <c r="E892" s="269"/>
      <c r="F892" s="269"/>
      <c r="G892" s="307"/>
      <c r="H892" s="308"/>
      <c r="I892" s="275"/>
      <c r="J892" s="269"/>
      <c r="K892" s="269"/>
      <c r="L892" s="269"/>
      <c r="M892" s="269"/>
      <c r="N892" s="269"/>
      <c r="O892" s="269"/>
      <c r="P892" s="269"/>
      <c r="Q892" s="269"/>
      <c r="R892" s="269"/>
    </row>
    <row r="893">
      <c r="A893" s="269"/>
      <c r="B893" s="306"/>
      <c r="C893" s="271"/>
      <c r="D893" s="269"/>
      <c r="E893" s="269"/>
      <c r="F893" s="269"/>
      <c r="G893" s="307"/>
      <c r="H893" s="308"/>
      <c r="I893" s="275"/>
      <c r="J893" s="269"/>
      <c r="K893" s="269"/>
      <c r="L893" s="269"/>
      <c r="M893" s="269"/>
      <c r="N893" s="269"/>
      <c r="O893" s="269"/>
      <c r="P893" s="269"/>
      <c r="Q893" s="269"/>
      <c r="R893" s="269"/>
    </row>
    <row r="894">
      <c r="A894" s="269"/>
      <c r="B894" s="306"/>
      <c r="C894" s="271"/>
      <c r="D894" s="269"/>
      <c r="E894" s="269"/>
      <c r="F894" s="269"/>
      <c r="G894" s="307"/>
      <c r="H894" s="308"/>
      <c r="I894" s="275"/>
      <c r="J894" s="269"/>
      <c r="K894" s="269"/>
      <c r="L894" s="269"/>
      <c r="M894" s="269"/>
      <c r="N894" s="269"/>
      <c r="O894" s="269"/>
      <c r="P894" s="269"/>
      <c r="Q894" s="269"/>
      <c r="R894" s="269"/>
    </row>
    <row r="895">
      <c r="A895" s="269"/>
      <c r="B895" s="306"/>
      <c r="C895" s="271"/>
      <c r="D895" s="269"/>
      <c r="E895" s="269"/>
      <c r="F895" s="269"/>
      <c r="G895" s="307"/>
      <c r="H895" s="308"/>
      <c r="I895" s="275"/>
      <c r="J895" s="269"/>
      <c r="K895" s="269"/>
      <c r="L895" s="269"/>
      <c r="M895" s="269"/>
      <c r="N895" s="269"/>
      <c r="O895" s="269"/>
      <c r="P895" s="269"/>
      <c r="Q895" s="269"/>
      <c r="R895" s="269"/>
    </row>
    <row r="896">
      <c r="A896" s="269"/>
      <c r="B896" s="306"/>
      <c r="C896" s="271"/>
      <c r="D896" s="269"/>
      <c r="E896" s="269"/>
      <c r="F896" s="269"/>
      <c r="G896" s="307"/>
      <c r="H896" s="308"/>
      <c r="I896" s="275"/>
      <c r="J896" s="269"/>
      <c r="K896" s="269"/>
      <c r="L896" s="269"/>
      <c r="M896" s="269"/>
      <c r="N896" s="269"/>
      <c r="O896" s="269"/>
      <c r="P896" s="269"/>
      <c r="Q896" s="269"/>
      <c r="R896" s="269"/>
    </row>
    <row r="897">
      <c r="A897" s="269"/>
      <c r="B897" s="306"/>
      <c r="C897" s="271"/>
      <c r="D897" s="269"/>
      <c r="E897" s="269"/>
      <c r="F897" s="269"/>
      <c r="G897" s="307"/>
      <c r="H897" s="308"/>
      <c r="I897" s="275"/>
      <c r="J897" s="269"/>
      <c r="K897" s="269"/>
      <c r="L897" s="269"/>
      <c r="M897" s="269"/>
      <c r="N897" s="269"/>
      <c r="O897" s="269"/>
      <c r="P897" s="269"/>
      <c r="Q897" s="269"/>
      <c r="R897" s="269"/>
    </row>
    <row r="898">
      <c r="A898" s="269"/>
      <c r="B898" s="306"/>
      <c r="C898" s="271"/>
      <c r="D898" s="269"/>
      <c r="E898" s="269"/>
      <c r="F898" s="269"/>
      <c r="G898" s="307"/>
      <c r="H898" s="308"/>
      <c r="I898" s="275"/>
      <c r="J898" s="269"/>
      <c r="K898" s="269"/>
      <c r="L898" s="269"/>
      <c r="M898" s="269"/>
      <c r="N898" s="269"/>
      <c r="O898" s="269"/>
      <c r="P898" s="269"/>
      <c r="Q898" s="269"/>
      <c r="R898" s="269"/>
    </row>
    <row r="899">
      <c r="A899" s="269"/>
      <c r="B899" s="306"/>
      <c r="C899" s="271"/>
      <c r="D899" s="269"/>
      <c r="E899" s="269"/>
      <c r="F899" s="269"/>
      <c r="G899" s="307"/>
      <c r="H899" s="308"/>
      <c r="I899" s="275"/>
      <c r="J899" s="269"/>
      <c r="K899" s="269"/>
      <c r="L899" s="269"/>
      <c r="M899" s="269"/>
      <c r="N899" s="269"/>
      <c r="O899" s="269"/>
      <c r="P899" s="269"/>
      <c r="Q899" s="269"/>
      <c r="R899" s="269"/>
    </row>
    <row r="900">
      <c r="A900" s="269"/>
      <c r="B900" s="306"/>
      <c r="C900" s="271"/>
      <c r="D900" s="269"/>
      <c r="E900" s="269"/>
      <c r="F900" s="269"/>
      <c r="G900" s="307"/>
      <c r="H900" s="308"/>
      <c r="I900" s="275"/>
      <c r="J900" s="269"/>
      <c r="K900" s="269"/>
      <c r="L900" s="269"/>
      <c r="M900" s="269"/>
      <c r="N900" s="269"/>
      <c r="O900" s="269"/>
      <c r="P900" s="269"/>
      <c r="Q900" s="269"/>
      <c r="R900" s="269"/>
    </row>
    <row r="901">
      <c r="A901" s="269"/>
      <c r="B901" s="306"/>
      <c r="C901" s="271"/>
      <c r="D901" s="269"/>
      <c r="E901" s="269"/>
      <c r="F901" s="269"/>
      <c r="G901" s="307"/>
      <c r="H901" s="308"/>
      <c r="I901" s="275"/>
      <c r="J901" s="269"/>
      <c r="K901" s="269"/>
      <c r="L901" s="269"/>
      <c r="M901" s="269"/>
      <c r="N901" s="269"/>
      <c r="O901" s="269"/>
      <c r="P901" s="269"/>
      <c r="Q901" s="269"/>
      <c r="R901" s="269"/>
    </row>
    <row r="902">
      <c r="A902" s="269"/>
      <c r="B902" s="306"/>
      <c r="C902" s="271"/>
      <c r="D902" s="269"/>
      <c r="E902" s="269"/>
      <c r="F902" s="269"/>
      <c r="G902" s="307"/>
      <c r="H902" s="308"/>
      <c r="I902" s="275"/>
      <c r="J902" s="269"/>
      <c r="K902" s="269"/>
      <c r="L902" s="269"/>
      <c r="M902" s="269"/>
      <c r="N902" s="269"/>
      <c r="O902" s="269"/>
      <c r="P902" s="269"/>
      <c r="Q902" s="269"/>
      <c r="R902" s="269"/>
    </row>
    <row r="903">
      <c r="A903" s="269"/>
      <c r="B903" s="306"/>
      <c r="C903" s="271"/>
      <c r="D903" s="269"/>
      <c r="E903" s="269"/>
      <c r="F903" s="269"/>
      <c r="G903" s="307"/>
      <c r="H903" s="308"/>
      <c r="I903" s="275"/>
      <c r="J903" s="269"/>
      <c r="K903" s="269"/>
      <c r="L903" s="269"/>
      <c r="M903" s="269"/>
      <c r="N903" s="269"/>
      <c r="O903" s="269"/>
      <c r="P903" s="269"/>
      <c r="Q903" s="269"/>
      <c r="R903" s="269"/>
    </row>
    <row r="904">
      <c r="A904" s="269"/>
      <c r="B904" s="306"/>
      <c r="C904" s="271"/>
      <c r="D904" s="269"/>
      <c r="E904" s="269"/>
      <c r="F904" s="269"/>
      <c r="G904" s="307"/>
      <c r="H904" s="308"/>
      <c r="I904" s="275"/>
      <c r="J904" s="269"/>
      <c r="K904" s="269"/>
      <c r="L904" s="269"/>
      <c r="M904" s="269"/>
      <c r="N904" s="269"/>
      <c r="O904" s="269"/>
      <c r="P904" s="269"/>
      <c r="Q904" s="269"/>
      <c r="R904" s="269"/>
    </row>
    <row r="905">
      <c r="A905" s="269"/>
      <c r="B905" s="306"/>
      <c r="C905" s="271"/>
      <c r="D905" s="269"/>
      <c r="E905" s="269"/>
      <c r="F905" s="269"/>
      <c r="G905" s="307"/>
      <c r="H905" s="308"/>
      <c r="I905" s="275"/>
      <c r="J905" s="269"/>
      <c r="K905" s="269"/>
      <c r="L905" s="269"/>
      <c r="M905" s="269"/>
      <c r="N905" s="269"/>
      <c r="O905" s="269"/>
      <c r="P905" s="269"/>
      <c r="Q905" s="269"/>
      <c r="R905" s="269"/>
    </row>
    <row r="906">
      <c r="A906" s="269"/>
      <c r="B906" s="306"/>
      <c r="C906" s="271"/>
      <c r="D906" s="269"/>
      <c r="E906" s="269"/>
      <c r="F906" s="269"/>
      <c r="G906" s="307"/>
      <c r="H906" s="308"/>
      <c r="I906" s="275"/>
      <c r="J906" s="269"/>
      <c r="K906" s="269"/>
      <c r="L906" s="269"/>
      <c r="M906" s="269"/>
      <c r="N906" s="269"/>
      <c r="O906" s="269"/>
      <c r="P906" s="269"/>
      <c r="Q906" s="269"/>
      <c r="R906" s="269"/>
    </row>
    <row r="907">
      <c r="A907" s="269"/>
      <c r="B907" s="306"/>
      <c r="C907" s="271"/>
      <c r="D907" s="269"/>
      <c r="E907" s="269"/>
      <c r="F907" s="269"/>
      <c r="G907" s="307"/>
      <c r="H907" s="308"/>
      <c r="I907" s="275"/>
      <c r="J907" s="269"/>
      <c r="K907" s="269"/>
      <c r="L907" s="269"/>
      <c r="M907" s="269"/>
      <c r="N907" s="269"/>
      <c r="O907" s="269"/>
      <c r="P907" s="269"/>
      <c r="Q907" s="269"/>
      <c r="R907" s="269"/>
    </row>
    <row r="908">
      <c r="A908" s="269"/>
      <c r="B908" s="306"/>
      <c r="C908" s="271"/>
      <c r="D908" s="269"/>
      <c r="E908" s="269"/>
      <c r="F908" s="269"/>
      <c r="G908" s="307"/>
      <c r="H908" s="308"/>
      <c r="I908" s="275"/>
      <c r="J908" s="269"/>
      <c r="K908" s="269"/>
      <c r="L908" s="269"/>
      <c r="M908" s="269"/>
      <c r="N908" s="269"/>
      <c r="O908" s="269"/>
      <c r="P908" s="269"/>
      <c r="Q908" s="269"/>
      <c r="R908" s="269"/>
    </row>
    <row r="909">
      <c r="A909" s="269"/>
      <c r="B909" s="306"/>
      <c r="C909" s="271"/>
      <c r="D909" s="269"/>
      <c r="E909" s="269"/>
      <c r="F909" s="269"/>
      <c r="G909" s="307"/>
      <c r="H909" s="308"/>
      <c r="I909" s="275"/>
      <c r="J909" s="269"/>
      <c r="K909" s="269"/>
      <c r="L909" s="269"/>
      <c r="M909" s="269"/>
      <c r="N909" s="269"/>
      <c r="O909" s="269"/>
      <c r="P909" s="269"/>
      <c r="Q909" s="269"/>
      <c r="R909" s="269"/>
    </row>
    <row r="910">
      <c r="A910" s="269"/>
      <c r="B910" s="306"/>
      <c r="C910" s="271"/>
      <c r="D910" s="269"/>
      <c r="E910" s="269"/>
      <c r="F910" s="269"/>
      <c r="G910" s="307"/>
      <c r="H910" s="308"/>
      <c r="I910" s="275"/>
      <c r="J910" s="269"/>
      <c r="K910" s="269"/>
      <c r="L910" s="269"/>
      <c r="M910" s="269"/>
      <c r="N910" s="269"/>
      <c r="O910" s="269"/>
      <c r="P910" s="269"/>
      <c r="Q910" s="269"/>
      <c r="R910" s="269"/>
    </row>
    <row r="911">
      <c r="A911" s="269"/>
      <c r="B911" s="306"/>
      <c r="C911" s="271"/>
      <c r="D911" s="269"/>
      <c r="E911" s="269"/>
      <c r="F911" s="269"/>
      <c r="G911" s="307"/>
      <c r="H911" s="308"/>
      <c r="I911" s="275"/>
      <c r="J911" s="269"/>
      <c r="K911" s="269"/>
      <c r="L911" s="269"/>
      <c r="M911" s="269"/>
      <c r="N911" s="269"/>
      <c r="O911" s="269"/>
      <c r="P911" s="269"/>
      <c r="Q911" s="269"/>
      <c r="R911" s="269"/>
    </row>
    <row r="912">
      <c r="A912" s="269"/>
      <c r="B912" s="306"/>
      <c r="C912" s="271"/>
      <c r="D912" s="269"/>
      <c r="E912" s="269"/>
      <c r="F912" s="269"/>
      <c r="G912" s="307"/>
      <c r="H912" s="308"/>
      <c r="I912" s="275"/>
      <c r="J912" s="269"/>
      <c r="K912" s="269"/>
      <c r="L912" s="269"/>
      <c r="M912" s="269"/>
      <c r="N912" s="269"/>
      <c r="O912" s="269"/>
      <c r="P912" s="269"/>
      <c r="Q912" s="269"/>
      <c r="R912" s="269"/>
    </row>
    <row r="913">
      <c r="A913" s="269"/>
      <c r="B913" s="306"/>
      <c r="C913" s="271"/>
      <c r="D913" s="269"/>
      <c r="E913" s="269"/>
      <c r="F913" s="269"/>
      <c r="G913" s="307"/>
      <c r="H913" s="308"/>
      <c r="I913" s="275"/>
      <c r="J913" s="269"/>
      <c r="K913" s="269"/>
      <c r="L913" s="269"/>
      <c r="M913" s="269"/>
      <c r="N913" s="269"/>
      <c r="O913" s="269"/>
      <c r="P913" s="269"/>
      <c r="Q913" s="269"/>
      <c r="R913" s="269"/>
    </row>
    <row r="914">
      <c r="A914" s="269"/>
      <c r="B914" s="306"/>
      <c r="C914" s="271"/>
      <c r="D914" s="269"/>
      <c r="E914" s="269"/>
      <c r="F914" s="269"/>
      <c r="G914" s="307"/>
      <c r="H914" s="308"/>
      <c r="I914" s="275"/>
      <c r="J914" s="269"/>
      <c r="K914" s="269"/>
      <c r="L914" s="269"/>
      <c r="M914" s="269"/>
      <c r="N914" s="269"/>
      <c r="O914" s="269"/>
      <c r="P914" s="269"/>
      <c r="Q914" s="269"/>
      <c r="R914" s="269"/>
    </row>
    <row r="915">
      <c r="A915" s="269"/>
      <c r="B915" s="306"/>
      <c r="C915" s="271"/>
      <c r="D915" s="269"/>
      <c r="E915" s="269"/>
      <c r="F915" s="269"/>
      <c r="G915" s="307"/>
      <c r="H915" s="308"/>
      <c r="I915" s="275"/>
      <c r="J915" s="269"/>
      <c r="K915" s="269"/>
      <c r="L915" s="269"/>
      <c r="M915" s="269"/>
      <c r="N915" s="269"/>
      <c r="O915" s="269"/>
      <c r="P915" s="269"/>
      <c r="Q915" s="269"/>
      <c r="R915" s="269"/>
    </row>
    <row r="916">
      <c r="A916" s="269"/>
      <c r="B916" s="306"/>
      <c r="C916" s="271"/>
      <c r="D916" s="269"/>
      <c r="E916" s="269"/>
      <c r="F916" s="269"/>
      <c r="G916" s="307"/>
      <c r="H916" s="308"/>
      <c r="I916" s="275"/>
      <c r="J916" s="269"/>
      <c r="K916" s="269"/>
      <c r="L916" s="269"/>
      <c r="M916" s="269"/>
      <c r="N916" s="269"/>
      <c r="O916" s="269"/>
      <c r="P916" s="269"/>
      <c r="Q916" s="269"/>
      <c r="R916" s="269"/>
    </row>
    <row r="917">
      <c r="A917" s="269"/>
      <c r="B917" s="306"/>
      <c r="C917" s="271"/>
      <c r="D917" s="269"/>
      <c r="E917" s="269"/>
      <c r="F917" s="269"/>
      <c r="G917" s="307"/>
      <c r="H917" s="308"/>
      <c r="I917" s="275"/>
      <c r="J917" s="269"/>
      <c r="K917" s="269"/>
      <c r="L917" s="269"/>
      <c r="M917" s="269"/>
      <c r="N917" s="269"/>
      <c r="O917" s="269"/>
      <c r="P917" s="269"/>
      <c r="Q917" s="269"/>
      <c r="R917" s="269"/>
    </row>
    <row r="918">
      <c r="A918" s="269"/>
      <c r="B918" s="306"/>
      <c r="C918" s="271"/>
      <c r="D918" s="269"/>
      <c r="E918" s="269"/>
      <c r="F918" s="269"/>
      <c r="G918" s="307"/>
      <c r="H918" s="308"/>
      <c r="I918" s="275"/>
      <c r="J918" s="269"/>
      <c r="K918" s="269"/>
      <c r="L918" s="269"/>
      <c r="M918" s="269"/>
      <c r="N918" s="269"/>
      <c r="O918" s="269"/>
      <c r="P918" s="269"/>
      <c r="Q918" s="269"/>
      <c r="R918" s="269"/>
    </row>
    <row r="919">
      <c r="A919" s="269"/>
      <c r="B919" s="306"/>
      <c r="C919" s="271"/>
      <c r="D919" s="269"/>
      <c r="E919" s="269"/>
      <c r="F919" s="269"/>
      <c r="G919" s="307"/>
      <c r="H919" s="308"/>
      <c r="I919" s="275"/>
      <c r="J919" s="269"/>
      <c r="K919" s="269"/>
      <c r="L919" s="269"/>
      <c r="M919" s="269"/>
      <c r="N919" s="269"/>
      <c r="O919" s="269"/>
      <c r="P919" s="269"/>
      <c r="Q919" s="269"/>
      <c r="R919" s="269"/>
    </row>
    <row r="920">
      <c r="A920" s="269"/>
      <c r="B920" s="306"/>
      <c r="C920" s="271"/>
      <c r="D920" s="269"/>
      <c r="E920" s="269"/>
      <c r="F920" s="269"/>
      <c r="G920" s="307"/>
      <c r="H920" s="308"/>
      <c r="I920" s="275"/>
      <c r="J920" s="269"/>
      <c r="K920" s="269"/>
      <c r="L920" s="269"/>
      <c r="M920" s="269"/>
      <c r="N920" s="269"/>
      <c r="O920" s="269"/>
      <c r="P920" s="269"/>
      <c r="Q920" s="269"/>
      <c r="R920" s="269"/>
    </row>
    <row r="921">
      <c r="A921" s="269"/>
      <c r="B921" s="306"/>
      <c r="C921" s="271"/>
      <c r="D921" s="269"/>
      <c r="E921" s="269"/>
      <c r="F921" s="269"/>
      <c r="G921" s="307"/>
      <c r="H921" s="308"/>
      <c r="I921" s="275"/>
      <c r="J921" s="269"/>
      <c r="K921" s="269"/>
      <c r="L921" s="269"/>
      <c r="M921" s="269"/>
      <c r="N921" s="269"/>
      <c r="O921" s="269"/>
      <c r="P921" s="269"/>
      <c r="Q921" s="269"/>
      <c r="R921" s="269"/>
    </row>
    <row r="922">
      <c r="A922" s="269"/>
      <c r="B922" s="306"/>
      <c r="C922" s="271"/>
      <c r="D922" s="269"/>
      <c r="E922" s="269"/>
      <c r="F922" s="269"/>
      <c r="G922" s="307"/>
      <c r="H922" s="308"/>
      <c r="I922" s="275"/>
      <c r="J922" s="269"/>
      <c r="K922" s="269"/>
      <c r="L922" s="269"/>
      <c r="M922" s="269"/>
      <c r="N922" s="269"/>
      <c r="O922" s="269"/>
      <c r="P922" s="269"/>
      <c r="Q922" s="269"/>
      <c r="R922" s="269"/>
    </row>
    <row r="923">
      <c r="A923" s="269"/>
      <c r="B923" s="306"/>
      <c r="C923" s="271"/>
      <c r="D923" s="269"/>
      <c r="E923" s="269"/>
      <c r="F923" s="269"/>
      <c r="G923" s="307"/>
      <c r="H923" s="308"/>
      <c r="I923" s="275"/>
      <c r="J923" s="269"/>
      <c r="K923" s="269"/>
      <c r="L923" s="269"/>
      <c r="M923" s="269"/>
      <c r="N923" s="269"/>
      <c r="O923" s="269"/>
      <c r="P923" s="269"/>
      <c r="Q923" s="269"/>
      <c r="R923" s="269"/>
    </row>
    <row r="924">
      <c r="A924" s="269"/>
      <c r="B924" s="306"/>
      <c r="C924" s="271"/>
      <c r="D924" s="269"/>
      <c r="E924" s="269"/>
      <c r="F924" s="269"/>
      <c r="G924" s="307"/>
      <c r="H924" s="308"/>
      <c r="I924" s="275"/>
      <c r="J924" s="269"/>
      <c r="K924" s="269"/>
      <c r="L924" s="269"/>
      <c r="M924" s="269"/>
      <c r="N924" s="269"/>
      <c r="O924" s="269"/>
      <c r="P924" s="269"/>
      <c r="Q924" s="269"/>
      <c r="R924" s="269"/>
    </row>
    <row r="925">
      <c r="A925" s="269"/>
      <c r="B925" s="306"/>
      <c r="C925" s="271"/>
      <c r="D925" s="269"/>
      <c r="E925" s="269"/>
      <c r="F925" s="269"/>
      <c r="G925" s="307"/>
      <c r="H925" s="308"/>
      <c r="I925" s="275"/>
      <c r="J925" s="269"/>
      <c r="K925" s="269"/>
      <c r="L925" s="269"/>
      <c r="M925" s="269"/>
      <c r="N925" s="269"/>
      <c r="O925" s="269"/>
      <c r="P925" s="269"/>
      <c r="Q925" s="269"/>
      <c r="R925" s="269"/>
    </row>
    <row r="926">
      <c r="A926" s="269"/>
      <c r="B926" s="306"/>
      <c r="C926" s="271"/>
      <c r="D926" s="269"/>
      <c r="E926" s="269"/>
      <c r="F926" s="269"/>
      <c r="G926" s="307"/>
      <c r="H926" s="308"/>
      <c r="I926" s="275"/>
      <c r="J926" s="269"/>
      <c r="K926" s="269"/>
      <c r="L926" s="269"/>
      <c r="M926" s="269"/>
      <c r="N926" s="269"/>
      <c r="O926" s="269"/>
      <c r="P926" s="269"/>
      <c r="Q926" s="269"/>
      <c r="R926" s="269"/>
    </row>
    <row r="927">
      <c r="A927" s="269"/>
      <c r="B927" s="306"/>
      <c r="C927" s="271"/>
      <c r="D927" s="269"/>
      <c r="E927" s="269"/>
      <c r="F927" s="269"/>
      <c r="G927" s="307"/>
      <c r="H927" s="308"/>
      <c r="I927" s="275"/>
      <c r="J927" s="269"/>
      <c r="K927" s="269"/>
      <c r="L927" s="269"/>
      <c r="M927" s="269"/>
      <c r="N927" s="269"/>
      <c r="O927" s="269"/>
      <c r="P927" s="269"/>
      <c r="Q927" s="269"/>
      <c r="R927" s="269"/>
    </row>
    <row r="928">
      <c r="A928" s="269"/>
      <c r="B928" s="306"/>
      <c r="C928" s="271"/>
      <c r="D928" s="269"/>
      <c r="E928" s="269"/>
      <c r="F928" s="269"/>
      <c r="G928" s="307"/>
      <c r="H928" s="308"/>
      <c r="I928" s="275"/>
      <c r="J928" s="269"/>
      <c r="K928" s="269"/>
      <c r="L928" s="269"/>
      <c r="M928" s="269"/>
      <c r="N928" s="269"/>
      <c r="O928" s="269"/>
      <c r="P928" s="269"/>
      <c r="Q928" s="269"/>
      <c r="R928" s="269"/>
    </row>
    <row r="929">
      <c r="A929" s="269"/>
      <c r="B929" s="306"/>
      <c r="C929" s="271"/>
      <c r="D929" s="269"/>
      <c r="E929" s="269"/>
      <c r="F929" s="269"/>
      <c r="G929" s="307"/>
      <c r="H929" s="308"/>
      <c r="I929" s="275"/>
      <c r="J929" s="269"/>
      <c r="K929" s="269"/>
      <c r="L929" s="269"/>
      <c r="M929" s="269"/>
      <c r="N929" s="269"/>
      <c r="O929" s="269"/>
      <c r="P929" s="269"/>
      <c r="Q929" s="269"/>
      <c r="R929" s="269"/>
    </row>
    <row r="930">
      <c r="A930" s="269"/>
      <c r="B930" s="306"/>
      <c r="C930" s="271"/>
      <c r="D930" s="269"/>
      <c r="E930" s="269"/>
      <c r="F930" s="269"/>
      <c r="G930" s="307"/>
      <c r="H930" s="308"/>
      <c r="I930" s="275"/>
      <c r="J930" s="269"/>
      <c r="K930" s="269"/>
      <c r="L930" s="269"/>
      <c r="M930" s="269"/>
      <c r="N930" s="269"/>
      <c r="O930" s="269"/>
      <c r="P930" s="269"/>
      <c r="Q930" s="269"/>
      <c r="R930" s="269"/>
    </row>
    <row r="931">
      <c r="A931" s="269"/>
      <c r="B931" s="306"/>
      <c r="C931" s="271"/>
      <c r="D931" s="269"/>
      <c r="E931" s="269"/>
      <c r="F931" s="269"/>
      <c r="G931" s="307"/>
      <c r="H931" s="308"/>
      <c r="I931" s="275"/>
      <c r="J931" s="269"/>
      <c r="K931" s="269"/>
      <c r="L931" s="269"/>
      <c r="M931" s="269"/>
      <c r="N931" s="269"/>
      <c r="O931" s="269"/>
      <c r="P931" s="269"/>
      <c r="Q931" s="269"/>
      <c r="R931" s="269"/>
    </row>
    <row r="932">
      <c r="A932" s="269"/>
      <c r="B932" s="306"/>
      <c r="C932" s="271"/>
      <c r="D932" s="269"/>
      <c r="E932" s="269"/>
      <c r="F932" s="269"/>
      <c r="G932" s="307"/>
      <c r="H932" s="308"/>
      <c r="I932" s="275"/>
      <c r="J932" s="269"/>
      <c r="K932" s="269"/>
      <c r="L932" s="269"/>
      <c r="M932" s="269"/>
      <c r="N932" s="269"/>
      <c r="O932" s="269"/>
      <c r="P932" s="269"/>
      <c r="Q932" s="269"/>
      <c r="R932" s="269"/>
    </row>
    <row r="933">
      <c r="A933" s="269"/>
      <c r="B933" s="306"/>
      <c r="C933" s="271"/>
      <c r="D933" s="269"/>
      <c r="E933" s="269"/>
      <c r="F933" s="269"/>
      <c r="G933" s="307"/>
      <c r="H933" s="308"/>
      <c r="I933" s="275"/>
      <c r="J933" s="269"/>
      <c r="K933" s="269"/>
      <c r="L933" s="269"/>
      <c r="M933" s="269"/>
      <c r="N933" s="269"/>
      <c r="O933" s="269"/>
      <c r="P933" s="269"/>
      <c r="Q933" s="269"/>
      <c r="R933" s="269"/>
    </row>
    <row r="934">
      <c r="A934" s="269"/>
      <c r="B934" s="306"/>
      <c r="C934" s="271"/>
      <c r="D934" s="269"/>
      <c r="E934" s="269"/>
      <c r="F934" s="269"/>
      <c r="G934" s="307"/>
      <c r="H934" s="308"/>
      <c r="I934" s="275"/>
      <c r="J934" s="269"/>
      <c r="K934" s="269"/>
      <c r="L934" s="269"/>
      <c r="M934" s="269"/>
      <c r="N934" s="269"/>
      <c r="O934" s="269"/>
      <c r="P934" s="269"/>
      <c r="Q934" s="269"/>
      <c r="R934" s="269"/>
    </row>
    <row r="935">
      <c r="A935" s="269"/>
      <c r="B935" s="306"/>
      <c r="C935" s="271"/>
      <c r="D935" s="269"/>
      <c r="E935" s="269"/>
      <c r="F935" s="269"/>
      <c r="G935" s="307"/>
      <c r="H935" s="308"/>
      <c r="I935" s="275"/>
      <c r="J935" s="269"/>
      <c r="K935" s="269"/>
      <c r="L935" s="269"/>
      <c r="M935" s="269"/>
      <c r="N935" s="269"/>
      <c r="O935" s="269"/>
      <c r="P935" s="269"/>
      <c r="Q935" s="269"/>
      <c r="R935" s="269"/>
    </row>
    <row r="936">
      <c r="A936" s="269"/>
      <c r="B936" s="306"/>
      <c r="C936" s="271"/>
      <c r="D936" s="269"/>
      <c r="E936" s="269"/>
      <c r="F936" s="269"/>
      <c r="G936" s="307"/>
      <c r="H936" s="308"/>
      <c r="I936" s="275"/>
      <c r="J936" s="269"/>
      <c r="K936" s="269"/>
      <c r="L936" s="269"/>
      <c r="M936" s="269"/>
      <c r="N936" s="269"/>
      <c r="O936" s="269"/>
      <c r="P936" s="269"/>
      <c r="Q936" s="269"/>
      <c r="R936" s="269"/>
    </row>
    <row r="937">
      <c r="A937" s="269"/>
      <c r="B937" s="306"/>
      <c r="C937" s="271"/>
      <c r="D937" s="269"/>
      <c r="E937" s="269"/>
      <c r="F937" s="269"/>
      <c r="G937" s="307"/>
      <c r="H937" s="308"/>
      <c r="I937" s="275"/>
      <c r="J937" s="269"/>
      <c r="K937" s="269"/>
      <c r="L937" s="269"/>
      <c r="M937" s="269"/>
      <c r="N937" s="269"/>
      <c r="O937" s="269"/>
      <c r="P937" s="269"/>
      <c r="Q937" s="269"/>
      <c r="R937" s="269"/>
    </row>
    <row r="938">
      <c r="A938" s="269"/>
      <c r="B938" s="306"/>
      <c r="C938" s="271"/>
      <c r="D938" s="269"/>
      <c r="E938" s="269"/>
      <c r="F938" s="269"/>
      <c r="G938" s="307"/>
      <c r="H938" s="308"/>
      <c r="I938" s="275"/>
      <c r="J938" s="269"/>
      <c r="K938" s="269"/>
      <c r="L938" s="269"/>
      <c r="M938" s="269"/>
      <c r="N938" s="269"/>
      <c r="O938" s="269"/>
      <c r="P938" s="269"/>
      <c r="Q938" s="269"/>
      <c r="R938" s="269"/>
    </row>
    <row r="939">
      <c r="A939" s="269"/>
      <c r="B939" s="306"/>
      <c r="C939" s="271"/>
      <c r="D939" s="269"/>
      <c r="E939" s="269"/>
      <c r="F939" s="269"/>
      <c r="G939" s="307"/>
      <c r="H939" s="308"/>
      <c r="I939" s="275"/>
      <c r="J939" s="269"/>
      <c r="K939" s="269"/>
      <c r="L939" s="269"/>
      <c r="M939" s="269"/>
      <c r="N939" s="269"/>
      <c r="O939" s="269"/>
      <c r="P939" s="269"/>
      <c r="Q939" s="269"/>
      <c r="R939" s="269"/>
    </row>
    <row r="940">
      <c r="A940" s="269"/>
      <c r="B940" s="306"/>
      <c r="C940" s="271"/>
      <c r="D940" s="269"/>
      <c r="E940" s="269"/>
      <c r="F940" s="269"/>
      <c r="G940" s="307"/>
      <c r="H940" s="308"/>
      <c r="I940" s="275"/>
      <c r="J940" s="269"/>
      <c r="K940" s="269"/>
      <c r="L940" s="269"/>
      <c r="M940" s="269"/>
      <c r="N940" s="269"/>
      <c r="O940" s="269"/>
      <c r="P940" s="269"/>
      <c r="Q940" s="269"/>
      <c r="R940" s="269"/>
    </row>
    <row r="941">
      <c r="A941" s="269"/>
      <c r="B941" s="306"/>
      <c r="C941" s="271"/>
      <c r="D941" s="269"/>
      <c r="E941" s="269"/>
      <c r="F941" s="269"/>
      <c r="G941" s="307"/>
      <c r="H941" s="308"/>
      <c r="I941" s="275"/>
      <c r="J941" s="269"/>
      <c r="K941" s="269"/>
      <c r="L941" s="269"/>
      <c r="M941" s="269"/>
      <c r="N941" s="269"/>
      <c r="O941" s="269"/>
      <c r="P941" s="269"/>
      <c r="Q941" s="269"/>
      <c r="R941" s="269"/>
    </row>
    <row r="942">
      <c r="A942" s="269"/>
      <c r="B942" s="306"/>
      <c r="C942" s="271"/>
      <c r="D942" s="269"/>
      <c r="E942" s="269"/>
      <c r="F942" s="269"/>
      <c r="G942" s="307"/>
      <c r="H942" s="308"/>
      <c r="I942" s="275"/>
      <c r="J942" s="269"/>
      <c r="K942" s="269"/>
      <c r="L942" s="269"/>
      <c r="M942" s="269"/>
      <c r="N942" s="269"/>
      <c r="O942" s="269"/>
      <c r="P942" s="269"/>
      <c r="Q942" s="269"/>
      <c r="R942" s="269"/>
    </row>
    <row r="943">
      <c r="A943" s="269"/>
      <c r="B943" s="306"/>
      <c r="C943" s="271"/>
      <c r="D943" s="269"/>
      <c r="E943" s="269"/>
      <c r="F943" s="269"/>
      <c r="G943" s="307"/>
      <c r="H943" s="308"/>
      <c r="I943" s="275"/>
      <c r="J943" s="269"/>
      <c r="K943" s="269"/>
      <c r="L943" s="269"/>
      <c r="M943" s="269"/>
      <c r="N943" s="269"/>
      <c r="O943" s="269"/>
      <c r="P943" s="269"/>
      <c r="Q943" s="269"/>
      <c r="R943" s="269"/>
    </row>
    <row r="944">
      <c r="A944" s="269"/>
      <c r="B944" s="306"/>
      <c r="C944" s="271"/>
      <c r="D944" s="269"/>
      <c r="E944" s="269"/>
      <c r="F944" s="269"/>
      <c r="G944" s="307"/>
      <c r="H944" s="308"/>
      <c r="I944" s="275"/>
      <c r="J944" s="269"/>
      <c r="K944" s="269"/>
      <c r="L944" s="269"/>
      <c r="M944" s="269"/>
      <c r="N944" s="269"/>
      <c r="O944" s="269"/>
      <c r="P944" s="269"/>
      <c r="Q944" s="269"/>
      <c r="R944" s="269"/>
    </row>
    <row r="945">
      <c r="A945" s="269"/>
      <c r="B945" s="306"/>
      <c r="C945" s="271"/>
      <c r="D945" s="269"/>
      <c r="E945" s="269"/>
      <c r="F945" s="269"/>
      <c r="G945" s="307"/>
      <c r="H945" s="308"/>
      <c r="I945" s="275"/>
      <c r="J945" s="269"/>
      <c r="K945" s="269"/>
      <c r="L945" s="269"/>
      <c r="M945" s="269"/>
      <c r="N945" s="269"/>
      <c r="O945" s="269"/>
      <c r="P945" s="269"/>
      <c r="Q945" s="269"/>
      <c r="R945" s="269"/>
    </row>
    <row r="946">
      <c r="A946" s="269"/>
      <c r="B946" s="306"/>
      <c r="C946" s="271"/>
      <c r="D946" s="269"/>
      <c r="E946" s="269"/>
      <c r="F946" s="269"/>
      <c r="G946" s="307"/>
      <c r="H946" s="308"/>
      <c r="I946" s="275"/>
      <c r="J946" s="269"/>
      <c r="K946" s="269"/>
      <c r="L946" s="269"/>
      <c r="M946" s="269"/>
      <c r="N946" s="269"/>
      <c r="O946" s="269"/>
      <c r="P946" s="269"/>
      <c r="Q946" s="269"/>
      <c r="R946" s="269"/>
    </row>
    <row r="947">
      <c r="A947" s="269"/>
      <c r="B947" s="306"/>
      <c r="C947" s="271"/>
      <c r="D947" s="269"/>
      <c r="E947" s="269"/>
      <c r="F947" s="269"/>
      <c r="G947" s="307"/>
      <c r="H947" s="308"/>
      <c r="I947" s="275"/>
      <c r="J947" s="269"/>
      <c r="K947" s="269"/>
      <c r="L947" s="269"/>
      <c r="M947" s="269"/>
      <c r="N947" s="269"/>
      <c r="O947" s="269"/>
      <c r="P947" s="269"/>
      <c r="Q947" s="269"/>
      <c r="R947" s="269"/>
    </row>
    <row r="948">
      <c r="A948" s="269"/>
      <c r="B948" s="306"/>
      <c r="C948" s="271"/>
      <c r="D948" s="269"/>
      <c r="E948" s="269"/>
      <c r="F948" s="269"/>
      <c r="G948" s="307"/>
      <c r="H948" s="308"/>
      <c r="I948" s="275"/>
      <c r="J948" s="269"/>
      <c r="K948" s="269"/>
      <c r="L948" s="269"/>
      <c r="M948" s="269"/>
      <c r="N948" s="269"/>
      <c r="O948" s="269"/>
      <c r="P948" s="269"/>
      <c r="Q948" s="269"/>
      <c r="R948" s="269"/>
    </row>
    <row r="949">
      <c r="A949" s="269"/>
      <c r="B949" s="306"/>
      <c r="C949" s="271"/>
      <c r="D949" s="269"/>
      <c r="E949" s="269"/>
      <c r="F949" s="269"/>
      <c r="G949" s="307"/>
      <c r="H949" s="308"/>
      <c r="I949" s="275"/>
      <c r="J949" s="269"/>
      <c r="K949" s="269"/>
      <c r="L949" s="269"/>
      <c r="M949" s="269"/>
      <c r="N949" s="269"/>
      <c r="O949" s="269"/>
      <c r="P949" s="269"/>
      <c r="Q949" s="269"/>
      <c r="R949" s="269"/>
    </row>
    <row r="950">
      <c r="A950" s="269"/>
      <c r="B950" s="306"/>
      <c r="C950" s="271"/>
      <c r="D950" s="269"/>
      <c r="E950" s="269"/>
      <c r="F950" s="269"/>
      <c r="G950" s="307"/>
      <c r="H950" s="308"/>
      <c r="I950" s="275"/>
      <c r="J950" s="269"/>
      <c r="K950" s="269"/>
      <c r="L950" s="269"/>
      <c r="M950" s="269"/>
      <c r="N950" s="269"/>
      <c r="O950" s="269"/>
      <c r="P950" s="269"/>
      <c r="Q950" s="269"/>
      <c r="R950" s="269"/>
    </row>
    <row r="951">
      <c r="A951" s="269"/>
      <c r="B951" s="306"/>
      <c r="C951" s="271"/>
      <c r="D951" s="269"/>
      <c r="E951" s="269"/>
      <c r="F951" s="269"/>
      <c r="G951" s="307"/>
      <c r="H951" s="308"/>
      <c r="I951" s="275"/>
      <c r="J951" s="269"/>
      <c r="K951" s="269"/>
      <c r="L951" s="269"/>
      <c r="M951" s="269"/>
      <c r="N951" s="269"/>
      <c r="O951" s="269"/>
      <c r="P951" s="269"/>
      <c r="Q951" s="269"/>
      <c r="R951" s="269"/>
    </row>
    <row r="952">
      <c r="A952" s="269"/>
      <c r="B952" s="306"/>
      <c r="C952" s="271"/>
      <c r="D952" s="269"/>
      <c r="E952" s="269"/>
      <c r="F952" s="269"/>
      <c r="G952" s="307"/>
      <c r="H952" s="308"/>
      <c r="I952" s="275"/>
      <c r="J952" s="269"/>
      <c r="K952" s="269"/>
      <c r="L952" s="269"/>
      <c r="M952" s="269"/>
      <c r="N952" s="269"/>
      <c r="O952" s="269"/>
      <c r="P952" s="269"/>
      <c r="Q952" s="269"/>
      <c r="R952" s="269"/>
    </row>
    <row r="953">
      <c r="A953" s="269"/>
      <c r="B953" s="306"/>
      <c r="C953" s="271"/>
      <c r="D953" s="269"/>
      <c r="E953" s="269"/>
      <c r="F953" s="269"/>
      <c r="G953" s="307"/>
      <c r="H953" s="308"/>
      <c r="I953" s="275"/>
      <c r="J953" s="269"/>
      <c r="K953" s="269"/>
      <c r="L953" s="269"/>
      <c r="M953" s="269"/>
      <c r="N953" s="269"/>
      <c r="O953" s="269"/>
      <c r="P953" s="269"/>
      <c r="Q953" s="269"/>
      <c r="R953" s="269"/>
    </row>
    <row r="954">
      <c r="A954" s="269"/>
      <c r="B954" s="306"/>
      <c r="C954" s="271"/>
      <c r="D954" s="269"/>
      <c r="E954" s="269"/>
      <c r="F954" s="269"/>
      <c r="G954" s="307"/>
      <c r="H954" s="308"/>
      <c r="I954" s="275"/>
      <c r="J954" s="269"/>
      <c r="K954" s="269"/>
      <c r="L954" s="269"/>
      <c r="M954" s="269"/>
      <c r="N954" s="269"/>
      <c r="O954" s="269"/>
      <c r="P954" s="269"/>
      <c r="Q954" s="269"/>
      <c r="R954" s="269"/>
    </row>
    <row r="955">
      <c r="A955" s="269"/>
      <c r="B955" s="306"/>
      <c r="C955" s="271"/>
      <c r="D955" s="269"/>
      <c r="E955" s="269"/>
      <c r="F955" s="269"/>
      <c r="G955" s="307"/>
      <c r="H955" s="308"/>
      <c r="I955" s="275"/>
      <c r="J955" s="269"/>
      <c r="K955" s="269"/>
      <c r="L955" s="269"/>
      <c r="M955" s="269"/>
      <c r="N955" s="269"/>
      <c r="O955" s="269"/>
      <c r="P955" s="269"/>
      <c r="Q955" s="269"/>
      <c r="R955" s="269"/>
    </row>
    <row r="956">
      <c r="A956" s="269"/>
      <c r="B956" s="306"/>
      <c r="C956" s="271"/>
      <c r="D956" s="269"/>
      <c r="E956" s="269"/>
      <c r="F956" s="269"/>
      <c r="G956" s="307"/>
      <c r="H956" s="308"/>
      <c r="I956" s="275"/>
      <c r="J956" s="269"/>
      <c r="K956" s="269"/>
      <c r="L956" s="269"/>
      <c r="M956" s="269"/>
      <c r="N956" s="269"/>
      <c r="O956" s="269"/>
      <c r="P956" s="269"/>
      <c r="Q956" s="269"/>
      <c r="R956" s="269"/>
    </row>
    <row r="957">
      <c r="A957" s="269"/>
      <c r="B957" s="306"/>
      <c r="C957" s="271"/>
      <c r="D957" s="269"/>
      <c r="E957" s="269"/>
      <c r="F957" s="269"/>
      <c r="G957" s="307"/>
      <c r="H957" s="308"/>
      <c r="I957" s="275"/>
      <c r="J957" s="269"/>
      <c r="K957" s="269"/>
      <c r="L957" s="269"/>
      <c r="M957" s="269"/>
      <c r="N957" s="269"/>
      <c r="O957" s="269"/>
      <c r="P957" s="269"/>
      <c r="Q957" s="269"/>
      <c r="R957" s="269"/>
    </row>
    <row r="958">
      <c r="A958" s="269"/>
      <c r="B958" s="306"/>
      <c r="C958" s="271"/>
      <c r="D958" s="269"/>
      <c r="E958" s="269"/>
      <c r="F958" s="269"/>
      <c r="G958" s="307"/>
      <c r="H958" s="308"/>
      <c r="I958" s="275"/>
      <c r="J958" s="269"/>
      <c r="K958" s="269"/>
      <c r="L958" s="269"/>
      <c r="M958" s="269"/>
      <c r="N958" s="269"/>
      <c r="O958" s="269"/>
      <c r="P958" s="269"/>
      <c r="Q958" s="269"/>
      <c r="R958" s="269"/>
    </row>
    <row r="959">
      <c r="A959" s="269"/>
      <c r="B959" s="306"/>
      <c r="C959" s="271"/>
      <c r="D959" s="269"/>
      <c r="E959" s="269"/>
      <c r="F959" s="269"/>
      <c r="G959" s="307"/>
      <c r="H959" s="308"/>
      <c r="I959" s="275"/>
      <c r="J959" s="269"/>
      <c r="K959" s="269"/>
      <c r="L959" s="269"/>
      <c r="M959" s="269"/>
      <c r="N959" s="269"/>
      <c r="O959" s="269"/>
      <c r="P959" s="269"/>
      <c r="Q959" s="269"/>
      <c r="R959" s="269"/>
    </row>
    <row r="960">
      <c r="A960" s="269"/>
      <c r="B960" s="306"/>
      <c r="C960" s="271"/>
      <c r="D960" s="269"/>
      <c r="E960" s="269"/>
      <c r="F960" s="269"/>
      <c r="G960" s="307"/>
      <c r="H960" s="308"/>
      <c r="I960" s="275"/>
      <c r="J960" s="269"/>
      <c r="K960" s="269"/>
      <c r="L960" s="269"/>
      <c r="M960" s="269"/>
      <c r="N960" s="269"/>
      <c r="O960" s="269"/>
      <c r="P960" s="269"/>
      <c r="Q960" s="269"/>
      <c r="R960" s="269"/>
    </row>
    <row r="961">
      <c r="A961" s="269"/>
      <c r="B961" s="306"/>
      <c r="C961" s="271"/>
      <c r="D961" s="269"/>
      <c r="E961" s="269"/>
      <c r="F961" s="269"/>
      <c r="G961" s="307"/>
      <c r="H961" s="308"/>
      <c r="I961" s="275"/>
      <c r="J961" s="269"/>
      <c r="K961" s="269"/>
      <c r="L961" s="269"/>
      <c r="M961" s="269"/>
      <c r="N961" s="269"/>
      <c r="O961" s="269"/>
      <c r="P961" s="269"/>
      <c r="Q961" s="269"/>
      <c r="R961" s="269"/>
    </row>
    <row r="962">
      <c r="A962" s="269"/>
      <c r="B962" s="306"/>
      <c r="C962" s="271"/>
      <c r="D962" s="269"/>
      <c r="E962" s="269"/>
      <c r="F962" s="269"/>
      <c r="G962" s="307"/>
      <c r="H962" s="308"/>
      <c r="I962" s="275"/>
      <c r="J962" s="269"/>
      <c r="K962" s="269"/>
      <c r="L962" s="269"/>
      <c r="M962" s="269"/>
      <c r="N962" s="269"/>
      <c r="O962" s="269"/>
      <c r="P962" s="269"/>
      <c r="Q962" s="269"/>
      <c r="R962" s="269"/>
    </row>
    <row r="963">
      <c r="A963" s="269"/>
      <c r="B963" s="306"/>
      <c r="C963" s="271"/>
      <c r="D963" s="269"/>
      <c r="E963" s="269"/>
      <c r="F963" s="269"/>
      <c r="G963" s="307"/>
      <c r="H963" s="308"/>
      <c r="I963" s="275"/>
      <c r="J963" s="269"/>
      <c r="K963" s="269"/>
      <c r="L963" s="269"/>
      <c r="M963" s="269"/>
      <c r="N963" s="269"/>
      <c r="O963" s="269"/>
      <c r="P963" s="269"/>
      <c r="Q963" s="269"/>
      <c r="R963" s="269"/>
    </row>
    <row r="964">
      <c r="A964" s="269"/>
      <c r="B964" s="306"/>
      <c r="C964" s="271"/>
      <c r="D964" s="269"/>
      <c r="E964" s="269"/>
      <c r="F964" s="269"/>
      <c r="G964" s="307"/>
      <c r="H964" s="308"/>
      <c r="I964" s="275"/>
      <c r="J964" s="269"/>
      <c r="K964" s="269"/>
      <c r="L964" s="269"/>
      <c r="M964" s="269"/>
      <c r="N964" s="269"/>
      <c r="O964" s="269"/>
      <c r="P964" s="269"/>
      <c r="Q964" s="269"/>
      <c r="R964" s="269"/>
    </row>
    <row r="965">
      <c r="A965" s="269"/>
      <c r="B965" s="306"/>
      <c r="C965" s="271"/>
      <c r="D965" s="269"/>
      <c r="E965" s="269"/>
      <c r="F965" s="269"/>
      <c r="G965" s="307"/>
      <c r="H965" s="308"/>
      <c r="I965" s="275"/>
      <c r="J965" s="269"/>
      <c r="K965" s="269"/>
      <c r="L965" s="269"/>
      <c r="M965" s="269"/>
      <c r="N965" s="269"/>
      <c r="O965" s="269"/>
      <c r="P965" s="269"/>
      <c r="Q965" s="269"/>
      <c r="R965" s="269"/>
    </row>
    <row r="966">
      <c r="A966" s="269"/>
      <c r="B966" s="306"/>
      <c r="C966" s="271"/>
      <c r="D966" s="269"/>
      <c r="E966" s="269"/>
      <c r="F966" s="269"/>
      <c r="G966" s="307"/>
      <c r="H966" s="308"/>
      <c r="I966" s="275"/>
      <c r="J966" s="269"/>
      <c r="K966" s="269"/>
      <c r="L966" s="269"/>
      <c r="M966" s="269"/>
      <c r="N966" s="269"/>
      <c r="O966" s="269"/>
      <c r="P966" s="269"/>
      <c r="Q966" s="269"/>
      <c r="R966" s="269"/>
    </row>
    <row r="967">
      <c r="A967" s="269"/>
      <c r="B967" s="306"/>
      <c r="C967" s="271"/>
      <c r="D967" s="269"/>
      <c r="E967" s="269"/>
      <c r="F967" s="269"/>
      <c r="G967" s="307"/>
      <c r="H967" s="308"/>
      <c r="I967" s="275"/>
      <c r="J967" s="269"/>
      <c r="K967" s="269"/>
      <c r="L967" s="269"/>
      <c r="M967" s="269"/>
      <c r="N967" s="269"/>
      <c r="O967" s="269"/>
      <c r="P967" s="269"/>
      <c r="Q967" s="269"/>
      <c r="R967" s="269"/>
    </row>
    <row r="968">
      <c r="A968" s="269"/>
      <c r="B968" s="306"/>
      <c r="C968" s="271"/>
      <c r="D968" s="269"/>
      <c r="E968" s="269"/>
      <c r="F968" s="269"/>
      <c r="G968" s="307"/>
      <c r="H968" s="308"/>
      <c r="I968" s="275"/>
      <c r="J968" s="269"/>
      <c r="K968" s="269"/>
      <c r="L968" s="269"/>
      <c r="M968" s="269"/>
      <c r="N968" s="269"/>
      <c r="O968" s="269"/>
      <c r="P968" s="269"/>
      <c r="Q968" s="269"/>
      <c r="R968" s="269"/>
    </row>
    <row r="969">
      <c r="A969" s="269"/>
      <c r="B969" s="306"/>
      <c r="C969" s="271"/>
      <c r="D969" s="269"/>
      <c r="E969" s="269"/>
      <c r="F969" s="269"/>
      <c r="G969" s="307"/>
      <c r="H969" s="308"/>
      <c r="I969" s="275"/>
      <c r="J969" s="269"/>
      <c r="K969" s="269"/>
      <c r="L969" s="269"/>
      <c r="M969" s="269"/>
      <c r="N969" s="269"/>
      <c r="O969" s="269"/>
      <c r="P969" s="269"/>
      <c r="Q969" s="269"/>
      <c r="R969" s="269"/>
    </row>
    <row r="970">
      <c r="A970" s="269"/>
      <c r="B970" s="306"/>
      <c r="C970" s="271"/>
      <c r="D970" s="269"/>
      <c r="E970" s="269"/>
      <c r="F970" s="269"/>
      <c r="G970" s="307"/>
      <c r="H970" s="308"/>
      <c r="I970" s="275"/>
      <c r="J970" s="269"/>
      <c r="K970" s="269"/>
      <c r="L970" s="269"/>
      <c r="M970" s="269"/>
      <c r="N970" s="269"/>
      <c r="O970" s="269"/>
      <c r="P970" s="269"/>
      <c r="Q970" s="269"/>
      <c r="R970" s="269"/>
    </row>
    <row r="971">
      <c r="A971" s="269"/>
      <c r="B971" s="306"/>
      <c r="C971" s="271"/>
      <c r="D971" s="269"/>
      <c r="E971" s="269"/>
      <c r="F971" s="269"/>
      <c r="G971" s="307"/>
      <c r="H971" s="308"/>
      <c r="I971" s="275"/>
      <c r="J971" s="269"/>
      <c r="K971" s="269"/>
      <c r="L971" s="269"/>
      <c r="M971" s="269"/>
      <c r="N971" s="269"/>
      <c r="O971" s="269"/>
      <c r="P971" s="269"/>
      <c r="Q971" s="269"/>
      <c r="R971" s="269"/>
    </row>
    <row r="972">
      <c r="A972" s="269"/>
      <c r="B972" s="306"/>
      <c r="C972" s="271"/>
      <c r="D972" s="269"/>
      <c r="E972" s="269"/>
      <c r="F972" s="269"/>
      <c r="G972" s="307"/>
      <c r="H972" s="308"/>
      <c r="I972" s="275"/>
      <c r="J972" s="269"/>
      <c r="K972" s="269"/>
      <c r="L972" s="269"/>
      <c r="M972" s="269"/>
      <c r="N972" s="269"/>
      <c r="O972" s="269"/>
      <c r="P972" s="269"/>
      <c r="Q972" s="269"/>
      <c r="R972" s="269"/>
    </row>
    <row r="973">
      <c r="A973" s="269"/>
      <c r="B973" s="306"/>
      <c r="C973" s="271"/>
      <c r="D973" s="269"/>
      <c r="E973" s="269"/>
      <c r="F973" s="269"/>
      <c r="G973" s="307"/>
      <c r="H973" s="308"/>
      <c r="I973" s="275"/>
      <c r="J973" s="269"/>
      <c r="K973" s="269"/>
      <c r="L973" s="269"/>
      <c r="M973" s="269"/>
      <c r="N973" s="269"/>
      <c r="O973" s="269"/>
      <c r="P973" s="269"/>
      <c r="Q973" s="269"/>
      <c r="R973" s="269"/>
    </row>
    <row r="974">
      <c r="A974" s="269"/>
      <c r="B974" s="306"/>
      <c r="C974" s="271"/>
      <c r="D974" s="269"/>
      <c r="E974" s="269"/>
      <c r="F974" s="269"/>
      <c r="G974" s="307"/>
      <c r="H974" s="308"/>
      <c r="I974" s="275"/>
      <c r="J974" s="269"/>
      <c r="K974" s="269"/>
      <c r="L974" s="269"/>
      <c r="M974" s="269"/>
      <c r="N974" s="269"/>
      <c r="O974" s="269"/>
      <c r="P974" s="269"/>
      <c r="Q974" s="269"/>
      <c r="R974" s="269"/>
    </row>
    <row r="975">
      <c r="A975" s="269"/>
      <c r="B975" s="306"/>
      <c r="C975" s="271"/>
      <c r="D975" s="269"/>
      <c r="E975" s="269"/>
      <c r="F975" s="269"/>
      <c r="G975" s="307"/>
      <c r="H975" s="308"/>
      <c r="I975" s="275"/>
      <c r="J975" s="269"/>
      <c r="K975" s="269"/>
      <c r="L975" s="269"/>
      <c r="M975" s="269"/>
      <c r="N975" s="269"/>
      <c r="O975" s="269"/>
      <c r="P975" s="269"/>
      <c r="Q975" s="269"/>
      <c r="R975" s="269"/>
    </row>
    <row r="976">
      <c r="A976" s="269"/>
      <c r="B976" s="306"/>
      <c r="C976" s="271"/>
      <c r="D976" s="269"/>
      <c r="E976" s="269"/>
      <c r="F976" s="269"/>
      <c r="G976" s="307"/>
      <c r="H976" s="308"/>
      <c r="I976" s="275"/>
      <c r="J976" s="269"/>
      <c r="K976" s="269"/>
      <c r="L976" s="269"/>
      <c r="M976" s="269"/>
      <c r="N976" s="269"/>
      <c r="O976" s="269"/>
      <c r="P976" s="269"/>
      <c r="Q976" s="269"/>
      <c r="R976" s="269"/>
    </row>
    <row r="977">
      <c r="A977" s="269"/>
      <c r="B977" s="306"/>
      <c r="C977" s="271"/>
      <c r="D977" s="269"/>
      <c r="E977" s="269"/>
      <c r="F977" s="269"/>
      <c r="G977" s="307"/>
      <c r="H977" s="308"/>
      <c r="I977" s="275"/>
      <c r="J977" s="269"/>
      <c r="K977" s="269"/>
      <c r="L977" s="269"/>
      <c r="M977" s="269"/>
      <c r="N977" s="269"/>
      <c r="O977" s="269"/>
      <c r="P977" s="269"/>
      <c r="Q977" s="269"/>
      <c r="R977" s="269"/>
    </row>
    <row r="978">
      <c r="A978" s="269"/>
      <c r="B978" s="306"/>
      <c r="C978" s="271"/>
      <c r="D978" s="269"/>
      <c r="E978" s="269"/>
      <c r="F978" s="269"/>
      <c r="G978" s="307"/>
      <c r="H978" s="308"/>
      <c r="I978" s="275"/>
      <c r="J978" s="269"/>
      <c r="K978" s="269"/>
      <c r="L978" s="269"/>
      <c r="M978" s="269"/>
      <c r="N978" s="269"/>
      <c r="O978" s="269"/>
      <c r="P978" s="269"/>
      <c r="Q978" s="269"/>
      <c r="R978" s="269"/>
    </row>
    <row r="979">
      <c r="A979" s="269"/>
      <c r="B979" s="306"/>
      <c r="C979" s="271"/>
      <c r="D979" s="269"/>
      <c r="E979" s="269"/>
      <c r="F979" s="269"/>
      <c r="G979" s="307"/>
      <c r="H979" s="308"/>
      <c r="I979" s="275"/>
      <c r="J979" s="269"/>
      <c r="K979" s="269"/>
      <c r="L979" s="269"/>
      <c r="M979" s="269"/>
      <c r="N979" s="269"/>
      <c r="O979" s="269"/>
      <c r="P979" s="269"/>
      <c r="Q979" s="269"/>
      <c r="R979" s="269"/>
    </row>
    <row r="980">
      <c r="A980" s="269"/>
      <c r="B980" s="306"/>
      <c r="C980" s="271"/>
      <c r="D980" s="269"/>
      <c r="E980" s="269"/>
      <c r="F980" s="269"/>
      <c r="G980" s="307"/>
      <c r="H980" s="308"/>
      <c r="I980" s="275"/>
      <c r="J980" s="269"/>
      <c r="K980" s="269"/>
      <c r="L980" s="269"/>
      <c r="M980" s="269"/>
      <c r="N980" s="269"/>
      <c r="O980" s="269"/>
      <c r="P980" s="269"/>
      <c r="Q980" s="269"/>
      <c r="R980" s="269"/>
    </row>
    <row r="981">
      <c r="A981" s="269"/>
      <c r="B981" s="306"/>
      <c r="C981" s="271"/>
      <c r="D981" s="269"/>
      <c r="E981" s="269"/>
      <c r="F981" s="269"/>
      <c r="G981" s="307"/>
      <c r="H981" s="308"/>
      <c r="I981" s="275"/>
      <c r="J981" s="269"/>
      <c r="K981" s="269"/>
      <c r="L981" s="269"/>
      <c r="M981" s="269"/>
      <c r="N981" s="269"/>
      <c r="O981" s="269"/>
      <c r="P981" s="269"/>
      <c r="Q981" s="269"/>
      <c r="R981" s="269"/>
    </row>
    <row r="982">
      <c r="A982" s="269"/>
      <c r="B982" s="306"/>
      <c r="C982" s="271"/>
      <c r="D982" s="269"/>
      <c r="E982" s="269"/>
      <c r="F982" s="269"/>
      <c r="G982" s="307"/>
      <c r="H982" s="308"/>
      <c r="I982" s="275"/>
      <c r="J982" s="269"/>
      <c r="K982" s="269"/>
      <c r="L982" s="269"/>
      <c r="M982" s="269"/>
      <c r="N982" s="269"/>
      <c r="O982" s="269"/>
      <c r="P982" s="269"/>
      <c r="Q982" s="269"/>
      <c r="R982" s="269"/>
    </row>
    <row r="983">
      <c r="A983" s="269"/>
      <c r="B983" s="306"/>
      <c r="C983" s="271"/>
      <c r="D983" s="269"/>
      <c r="E983" s="269"/>
      <c r="F983" s="269"/>
      <c r="G983" s="307"/>
      <c r="H983" s="308"/>
      <c r="I983" s="275"/>
      <c r="J983" s="269"/>
      <c r="K983" s="269"/>
      <c r="L983" s="269"/>
      <c r="M983" s="269"/>
      <c r="N983" s="269"/>
      <c r="O983" s="269"/>
      <c r="P983" s="269"/>
      <c r="Q983" s="269"/>
      <c r="R983" s="269"/>
    </row>
    <row r="984">
      <c r="A984" s="269"/>
      <c r="B984" s="306"/>
      <c r="C984" s="271"/>
      <c r="D984" s="269"/>
      <c r="E984" s="269"/>
      <c r="F984" s="269"/>
      <c r="G984" s="307"/>
      <c r="H984" s="308"/>
      <c r="I984" s="275"/>
      <c r="J984" s="269"/>
      <c r="K984" s="269"/>
      <c r="L984" s="269"/>
      <c r="M984" s="269"/>
      <c r="N984" s="269"/>
      <c r="O984" s="269"/>
      <c r="P984" s="269"/>
      <c r="Q984" s="269"/>
      <c r="R984" s="269"/>
    </row>
    <row r="985">
      <c r="A985" s="269"/>
      <c r="B985" s="306"/>
      <c r="C985" s="271"/>
      <c r="D985" s="269"/>
      <c r="E985" s="269"/>
      <c r="F985" s="269"/>
      <c r="G985" s="307"/>
      <c r="H985" s="308"/>
      <c r="I985" s="275"/>
      <c r="J985" s="269"/>
      <c r="K985" s="269"/>
      <c r="L985" s="269"/>
      <c r="M985" s="269"/>
      <c r="N985" s="269"/>
      <c r="O985" s="269"/>
      <c r="P985" s="269"/>
      <c r="Q985" s="269"/>
      <c r="R985" s="269"/>
    </row>
    <row r="986">
      <c r="A986" s="269"/>
      <c r="B986" s="306"/>
      <c r="C986" s="271"/>
      <c r="D986" s="269"/>
      <c r="E986" s="269"/>
      <c r="F986" s="269"/>
      <c r="G986" s="307"/>
      <c r="H986" s="308"/>
      <c r="I986" s="275"/>
      <c r="J986" s="269"/>
      <c r="K986" s="269"/>
      <c r="L986" s="269"/>
      <c r="M986" s="269"/>
      <c r="N986" s="269"/>
      <c r="O986" s="269"/>
      <c r="P986" s="269"/>
      <c r="Q986" s="269"/>
      <c r="R986" s="269"/>
    </row>
    <row r="987">
      <c r="A987" s="269"/>
      <c r="B987" s="306"/>
      <c r="C987" s="271"/>
      <c r="D987" s="269"/>
      <c r="E987" s="269"/>
      <c r="F987" s="269"/>
      <c r="G987" s="307"/>
      <c r="H987" s="308"/>
      <c r="I987" s="275"/>
      <c r="J987" s="269"/>
      <c r="K987" s="269"/>
      <c r="L987" s="269"/>
      <c r="M987" s="269"/>
      <c r="N987" s="269"/>
      <c r="O987" s="269"/>
      <c r="P987" s="269"/>
      <c r="Q987" s="269"/>
      <c r="R987" s="269"/>
    </row>
    <row r="988">
      <c r="A988" s="269"/>
      <c r="B988" s="306"/>
      <c r="C988" s="271"/>
      <c r="D988" s="269"/>
      <c r="E988" s="269"/>
      <c r="F988" s="269"/>
      <c r="G988" s="307"/>
      <c r="H988" s="308"/>
      <c r="I988" s="275"/>
      <c r="J988" s="269"/>
      <c r="K988" s="269"/>
      <c r="L988" s="269"/>
      <c r="M988" s="269"/>
      <c r="N988" s="269"/>
      <c r="O988" s="269"/>
      <c r="P988" s="269"/>
      <c r="Q988" s="269"/>
      <c r="R988" s="269"/>
    </row>
    <row r="989">
      <c r="A989" s="269"/>
      <c r="B989" s="306"/>
      <c r="C989" s="271"/>
      <c r="D989" s="269"/>
      <c r="E989" s="269"/>
      <c r="F989" s="269"/>
      <c r="G989" s="307"/>
      <c r="H989" s="308"/>
      <c r="I989" s="275"/>
      <c r="J989" s="269"/>
      <c r="K989" s="269"/>
      <c r="L989" s="269"/>
      <c r="M989" s="269"/>
      <c r="N989" s="269"/>
      <c r="O989" s="269"/>
      <c r="P989" s="269"/>
      <c r="Q989" s="269"/>
      <c r="R989" s="269"/>
    </row>
    <row r="990">
      <c r="A990" s="269"/>
      <c r="B990" s="306"/>
      <c r="C990" s="271"/>
      <c r="D990" s="269"/>
      <c r="E990" s="269"/>
      <c r="F990" s="269"/>
      <c r="G990" s="307"/>
      <c r="H990" s="308"/>
      <c r="I990" s="275"/>
      <c r="J990" s="269"/>
      <c r="K990" s="269"/>
      <c r="L990" s="269"/>
      <c r="M990" s="269"/>
      <c r="N990" s="269"/>
      <c r="O990" s="269"/>
      <c r="P990" s="269"/>
      <c r="Q990" s="269"/>
      <c r="R990" s="269"/>
    </row>
    <row r="991">
      <c r="A991" s="269"/>
      <c r="B991" s="306"/>
      <c r="C991" s="271"/>
      <c r="D991" s="269"/>
      <c r="E991" s="269"/>
      <c r="F991" s="269"/>
      <c r="G991" s="307"/>
      <c r="H991" s="308"/>
      <c r="I991" s="275"/>
      <c r="J991" s="269"/>
      <c r="K991" s="269"/>
      <c r="L991" s="269"/>
      <c r="M991" s="269"/>
      <c r="N991" s="269"/>
      <c r="O991" s="269"/>
      <c r="P991" s="269"/>
      <c r="Q991" s="269"/>
      <c r="R991" s="269"/>
    </row>
    <row r="992">
      <c r="A992" s="269"/>
      <c r="B992" s="306"/>
      <c r="C992" s="271"/>
      <c r="D992" s="269"/>
      <c r="E992" s="269"/>
      <c r="F992" s="269"/>
      <c r="G992" s="307"/>
      <c r="H992" s="308"/>
      <c r="I992" s="275"/>
      <c r="J992" s="269"/>
      <c r="K992" s="269"/>
      <c r="L992" s="269"/>
      <c r="M992" s="269"/>
      <c r="N992" s="269"/>
      <c r="O992" s="269"/>
      <c r="P992" s="269"/>
      <c r="Q992" s="269"/>
      <c r="R992" s="269"/>
    </row>
    <row r="993">
      <c r="A993" s="269"/>
      <c r="B993" s="306"/>
      <c r="C993" s="271"/>
      <c r="D993" s="269"/>
      <c r="E993" s="269"/>
      <c r="F993" s="269"/>
      <c r="G993" s="307"/>
      <c r="H993" s="308"/>
      <c r="I993" s="275"/>
      <c r="J993" s="269"/>
      <c r="K993" s="269"/>
      <c r="L993" s="269"/>
      <c r="M993" s="269"/>
      <c r="N993" s="269"/>
      <c r="O993" s="269"/>
      <c r="P993" s="269"/>
      <c r="Q993" s="269"/>
      <c r="R993" s="269"/>
    </row>
    <row r="994">
      <c r="A994" s="269"/>
      <c r="B994" s="306"/>
      <c r="C994" s="271"/>
      <c r="D994" s="269"/>
      <c r="E994" s="269"/>
      <c r="F994" s="269"/>
      <c r="G994" s="307"/>
      <c r="H994" s="308"/>
      <c r="I994" s="275"/>
      <c r="J994" s="269"/>
      <c r="K994" s="269"/>
      <c r="L994" s="269"/>
      <c r="M994" s="269"/>
      <c r="N994" s="269"/>
      <c r="O994" s="269"/>
      <c r="P994" s="269"/>
      <c r="Q994" s="269"/>
      <c r="R994" s="269"/>
    </row>
    <row r="995">
      <c r="A995" s="269"/>
      <c r="B995" s="306"/>
      <c r="C995" s="271"/>
      <c r="D995" s="269"/>
      <c r="E995" s="269"/>
      <c r="F995" s="269"/>
      <c r="G995" s="307"/>
      <c r="H995" s="308"/>
      <c r="I995" s="275"/>
      <c r="J995" s="269"/>
      <c r="K995" s="269"/>
      <c r="L995" s="269"/>
      <c r="M995" s="269"/>
      <c r="N995" s="269"/>
      <c r="O995" s="269"/>
      <c r="P995" s="269"/>
      <c r="Q995" s="269"/>
      <c r="R995" s="269"/>
    </row>
    <row r="996">
      <c r="A996" s="269"/>
      <c r="B996" s="306"/>
      <c r="C996" s="271"/>
      <c r="D996" s="269"/>
      <c r="E996" s="269"/>
      <c r="F996" s="269"/>
      <c r="G996" s="307"/>
      <c r="H996" s="308"/>
      <c r="I996" s="275"/>
      <c r="J996" s="269"/>
      <c r="K996" s="269"/>
      <c r="L996" s="269"/>
      <c r="M996" s="269"/>
      <c r="N996" s="269"/>
      <c r="O996" s="269"/>
      <c r="P996" s="269"/>
      <c r="Q996" s="269"/>
      <c r="R996" s="269"/>
    </row>
    <row r="997">
      <c r="A997" s="269"/>
      <c r="B997" s="306"/>
      <c r="C997" s="271"/>
      <c r="D997" s="269"/>
      <c r="E997" s="269"/>
      <c r="F997" s="269"/>
      <c r="G997" s="307"/>
      <c r="H997" s="308"/>
      <c r="I997" s="275"/>
      <c r="J997" s="269"/>
      <c r="K997" s="269"/>
      <c r="L997" s="269"/>
      <c r="M997" s="269"/>
      <c r="N997" s="269"/>
      <c r="O997" s="269"/>
      <c r="P997" s="269"/>
      <c r="Q997" s="269"/>
      <c r="R997" s="269"/>
    </row>
  </sheetData>
  <mergeCells count="32">
    <mergeCell ref="D8:E8"/>
    <mergeCell ref="D9:E9"/>
    <mergeCell ref="C1:C2"/>
    <mergeCell ref="D1:E2"/>
    <mergeCell ref="C3:E3"/>
    <mergeCell ref="B5:C5"/>
    <mergeCell ref="D5:E5"/>
    <mergeCell ref="D6:E6"/>
    <mergeCell ref="D7:E7"/>
    <mergeCell ref="D12:D13"/>
    <mergeCell ref="E12:E13"/>
    <mergeCell ref="F12:F13"/>
    <mergeCell ref="G12:G13"/>
    <mergeCell ref="H12:H13"/>
    <mergeCell ref="I12:I13"/>
    <mergeCell ref="J12:R12"/>
    <mergeCell ref="B7:C7"/>
    <mergeCell ref="B8:C8"/>
    <mergeCell ref="B9:C9"/>
    <mergeCell ref="A10:C10"/>
    <mergeCell ref="A12:A13"/>
    <mergeCell ref="B12:B13"/>
    <mergeCell ref="C12:C13"/>
    <mergeCell ref="A123:C123"/>
    <mergeCell ref="A124:C124"/>
    <mergeCell ref="A115:B115"/>
    <mergeCell ref="A116:B116"/>
    <mergeCell ref="A117:B117"/>
    <mergeCell ref="A118:B118"/>
    <mergeCell ref="A119:B119"/>
    <mergeCell ref="A121:C121"/>
    <mergeCell ref="A122:C1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5.25"/>
    <col customWidth="1" min="3" max="3" width="49.5"/>
    <col customWidth="1" min="4" max="4" width="5.5"/>
    <col customWidth="1" min="5" max="5" width="11.25"/>
    <col customWidth="1" min="7" max="7" width="14.13"/>
    <col customWidth="1" min="9" max="9" width="8.0"/>
    <col customWidth="1" min="12" max="12" width="16.75"/>
    <col customWidth="1" min="13" max="13" width="11.0"/>
    <col customWidth="1" min="14" max="14" width="8.75"/>
    <col customWidth="1" min="15" max="15" width="14.25"/>
    <col customWidth="1" min="16" max="16" width="9.38"/>
    <col customWidth="1" min="17" max="17" width="8.25"/>
    <col customWidth="1" min="18" max="18" width="10.88"/>
    <col customWidth="1" min="19" max="19" width="9.63"/>
    <col customWidth="1" min="20" max="20" width="10.13"/>
  </cols>
  <sheetData>
    <row r="1">
      <c r="A1" s="7"/>
      <c r="B1" s="115"/>
      <c r="C1" s="11" t="s">
        <v>1</v>
      </c>
      <c r="D1" s="12"/>
      <c r="E1" s="13"/>
      <c r="F1" s="116"/>
      <c r="G1" s="116"/>
      <c r="H1" s="117"/>
      <c r="I1" s="118"/>
      <c r="J1" s="119"/>
      <c r="K1" s="19"/>
      <c r="L1" s="21"/>
      <c r="M1" s="21"/>
      <c r="N1" s="120"/>
      <c r="O1" s="21"/>
      <c r="P1" s="21"/>
      <c r="Q1" s="120"/>
      <c r="R1" s="21"/>
      <c r="S1" s="21"/>
      <c r="T1" s="120"/>
    </row>
    <row r="2">
      <c r="A2" s="7"/>
      <c r="B2" s="115"/>
      <c r="C2" s="30"/>
      <c r="D2" s="31"/>
      <c r="E2" s="30"/>
      <c r="F2" s="116"/>
      <c r="G2" s="116"/>
      <c r="H2" s="117"/>
      <c r="I2" s="118"/>
      <c r="J2" s="119"/>
      <c r="K2" s="19"/>
      <c r="L2" s="121"/>
      <c r="M2" s="121"/>
      <c r="N2" s="120"/>
      <c r="O2" s="21"/>
      <c r="P2" s="21"/>
      <c r="Q2" s="120"/>
      <c r="R2" s="21"/>
      <c r="S2" s="21"/>
      <c r="T2" s="120"/>
    </row>
    <row r="3">
      <c r="A3" s="7"/>
      <c r="B3" s="115"/>
      <c r="C3" s="37" t="s">
        <v>34</v>
      </c>
      <c r="D3" s="31"/>
      <c r="E3" s="30"/>
      <c r="F3" s="116"/>
      <c r="G3" s="116"/>
      <c r="H3" s="117"/>
      <c r="I3" s="118"/>
      <c r="J3" s="119"/>
      <c r="K3" s="122"/>
      <c r="L3" s="123" t="s">
        <v>35</v>
      </c>
      <c r="M3" s="124" t="s">
        <v>36</v>
      </c>
      <c r="N3" s="125"/>
      <c r="O3" s="21"/>
      <c r="P3" s="21"/>
      <c r="Q3" s="120"/>
      <c r="R3" s="21"/>
      <c r="S3" s="21"/>
      <c r="T3" s="120"/>
    </row>
    <row r="4">
      <c r="A4" s="7"/>
      <c r="B4" s="115"/>
      <c r="C4" s="39"/>
      <c r="D4" s="9"/>
      <c r="E4" s="41"/>
      <c r="F4" s="126"/>
      <c r="G4" s="126"/>
      <c r="H4" s="127"/>
      <c r="I4" s="118"/>
      <c r="J4" s="119"/>
      <c r="K4" s="122"/>
      <c r="L4" s="128">
        <f>today()</f>
        <v>46293</v>
      </c>
      <c r="M4" s="129">
        <f>IFERROR(__xludf.DUMMYFUNCTION("GOOGLEFINANCE(""CURRENCY:USDEUR"")"),0.8794599999999999)</f>
        <v>0.87946</v>
      </c>
      <c r="N4" s="130"/>
      <c r="O4" s="48"/>
      <c r="P4" s="48"/>
      <c r="Q4" s="131"/>
      <c r="R4" s="48"/>
      <c r="S4" s="48"/>
      <c r="T4" s="131"/>
    </row>
    <row r="5">
      <c r="A5" s="9"/>
      <c r="B5" s="132" t="s">
        <v>8</v>
      </c>
      <c r="C5" s="30"/>
      <c r="D5" s="53" t="s">
        <v>9</v>
      </c>
      <c r="E5" s="30"/>
      <c r="F5" s="126"/>
      <c r="G5" s="126"/>
      <c r="H5" s="127"/>
      <c r="I5" s="118"/>
      <c r="J5" s="119"/>
      <c r="K5" s="122"/>
      <c r="L5" s="133" t="s">
        <v>38</v>
      </c>
      <c r="M5" s="134">
        <v>45855.0</v>
      </c>
      <c r="O5" s="48"/>
      <c r="P5" s="48"/>
      <c r="Q5" s="131"/>
      <c r="R5" s="48"/>
      <c r="S5" s="48"/>
      <c r="T5" s="131"/>
    </row>
    <row r="6">
      <c r="A6" s="7"/>
      <c r="B6" s="115"/>
      <c r="C6" s="9"/>
      <c r="D6" s="54" t="s">
        <v>10</v>
      </c>
      <c r="E6" s="30"/>
      <c r="F6" s="126"/>
      <c r="G6" s="126"/>
      <c r="H6" s="127"/>
      <c r="I6" s="135"/>
      <c r="J6" s="136"/>
      <c r="L6" s="137" t="str">
        <f>IFERROR(__xludf.DUMMYFUNCTION("GOOGLEFINANCE(""CURRENCY:USDEUR"", ""price"", M5)"),"Date")</f>
        <v>Date</v>
      </c>
      <c r="M6" s="138" t="str">
        <f>IFERROR(__xludf.DUMMYFUNCTION("""COMPUTED_VALUE"""),"Close")</f>
        <v>Close</v>
      </c>
      <c r="N6" s="130"/>
      <c r="O6" s="48"/>
      <c r="P6" s="48"/>
      <c r="Q6" s="131"/>
      <c r="R6" s="48"/>
      <c r="S6" s="48"/>
      <c r="T6" s="131"/>
    </row>
    <row r="7">
      <c r="A7" s="7"/>
      <c r="B7" s="139" t="s">
        <v>11</v>
      </c>
      <c r="C7" s="30"/>
      <c r="D7" s="54" t="s">
        <v>13</v>
      </c>
      <c r="E7" s="30"/>
      <c r="F7" s="126"/>
      <c r="G7" s="126"/>
      <c r="H7" s="127"/>
      <c r="I7" s="140"/>
      <c r="J7" s="141"/>
      <c r="K7" s="142"/>
      <c r="L7" s="143">
        <f>IFERROR(__xludf.DUMMYFUNCTION("""COMPUTED_VALUE"""),45855.99861111111)</f>
        <v>45855.99861</v>
      </c>
      <c r="M7" s="144">
        <f>IFERROR(__xludf.DUMMYFUNCTION("""COMPUTED_VALUE"""),0.86092)</f>
        <v>0.86092</v>
      </c>
      <c r="O7" s="48"/>
      <c r="P7" s="48"/>
      <c r="Q7" s="131"/>
      <c r="R7" s="48"/>
      <c r="S7" s="48"/>
      <c r="T7" s="131"/>
    </row>
    <row r="8">
      <c r="A8" s="7"/>
      <c r="B8" s="139" t="s">
        <v>14</v>
      </c>
      <c r="C8" s="30"/>
      <c r="D8" s="55" t="s">
        <v>15</v>
      </c>
      <c r="E8" s="30"/>
      <c r="F8" s="126"/>
      <c r="G8" s="126"/>
      <c r="H8" s="127"/>
      <c r="I8" s="140"/>
      <c r="J8" s="141"/>
      <c r="K8" s="142"/>
      <c r="L8" s="145">
        <v>45855.0</v>
      </c>
      <c r="M8" s="146">
        <v>1.68912</v>
      </c>
      <c r="N8" s="130"/>
      <c r="O8" s="48"/>
      <c r="P8" s="48"/>
      <c r="Q8" s="131"/>
      <c r="R8" s="48"/>
      <c r="S8" s="48"/>
      <c r="T8" s="131"/>
    </row>
    <row r="9">
      <c r="A9" s="56"/>
      <c r="B9" s="57"/>
      <c r="C9" s="58"/>
      <c r="D9" s="42"/>
      <c r="E9" s="42"/>
      <c r="F9" s="126"/>
      <c r="G9" s="126"/>
      <c r="H9" s="127"/>
      <c r="I9" s="140"/>
      <c r="J9" s="141"/>
      <c r="K9" s="46"/>
      <c r="L9" s="48"/>
      <c r="M9" s="48"/>
      <c r="N9" s="131"/>
      <c r="O9" s="48"/>
      <c r="P9" s="48"/>
      <c r="Q9" s="131"/>
      <c r="R9" s="48"/>
      <c r="S9" s="48"/>
      <c r="T9" s="131"/>
    </row>
    <row r="10" ht="5.25" customHeight="1">
      <c r="A10" s="59"/>
      <c r="B10" s="147"/>
      <c r="C10" s="61"/>
      <c r="D10" s="59"/>
      <c r="E10" s="59"/>
      <c r="F10" s="148"/>
      <c r="G10" s="148"/>
      <c r="H10" s="149"/>
      <c r="I10" s="150"/>
      <c r="J10" s="148"/>
      <c r="K10" s="64"/>
      <c r="L10" s="59"/>
      <c r="M10" s="59"/>
      <c r="N10" s="151"/>
      <c r="O10" s="59"/>
      <c r="P10" s="59"/>
      <c r="Q10" s="151"/>
      <c r="R10" s="59"/>
      <c r="S10" s="59"/>
      <c r="T10" s="151"/>
    </row>
    <row r="11" ht="37.5" customHeight="1">
      <c r="A11" s="66" t="s">
        <v>18</v>
      </c>
      <c r="B11" s="152" t="s">
        <v>19</v>
      </c>
      <c r="C11" s="68" t="s">
        <v>20</v>
      </c>
      <c r="D11" s="69" t="s">
        <v>21</v>
      </c>
      <c r="E11" s="70" t="s">
        <v>5</v>
      </c>
      <c r="F11" s="153" t="s">
        <v>4</v>
      </c>
      <c r="G11" s="154" t="s">
        <v>22</v>
      </c>
      <c r="H11" s="155" t="s">
        <v>23</v>
      </c>
      <c r="I11" s="156" t="s">
        <v>39</v>
      </c>
      <c r="J11" s="157" t="s">
        <v>40</v>
      </c>
      <c r="K11" s="74" t="s">
        <v>24</v>
      </c>
      <c r="L11" s="158" t="s">
        <v>41</v>
      </c>
      <c r="M11" s="76"/>
      <c r="N11" s="76"/>
      <c r="O11" s="76"/>
      <c r="P11" s="76"/>
      <c r="Q11" s="76"/>
      <c r="R11" s="76"/>
      <c r="S11" s="76"/>
      <c r="T11" s="77"/>
      <c r="U11" s="159"/>
      <c r="Y11" s="9"/>
      <c r="Z11" s="9"/>
      <c r="AA11" s="9"/>
    </row>
    <row r="12" ht="42.75" customHeight="1">
      <c r="A12" s="79"/>
      <c r="B12" s="80"/>
      <c r="C12" s="81"/>
      <c r="D12" s="82"/>
      <c r="E12" s="83"/>
      <c r="F12" s="84"/>
      <c r="G12" s="80"/>
      <c r="H12" s="160" t="str">
        <f>IfError(IF(V12=TRUE,(VLOOKUP(B12,'Номенклатура'!A:F,4,0)/$M$4),""),"")</f>
        <v/>
      </c>
      <c r="I12" s="161"/>
      <c r="J12" s="161"/>
      <c r="K12" s="82"/>
      <c r="L12" s="86" t="s">
        <v>26</v>
      </c>
      <c r="M12" s="86" t="s">
        <v>27</v>
      </c>
      <c r="N12" s="162" t="s">
        <v>28</v>
      </c>
      <c r="O12" s="163" t="s">
        <v>42</v>
      </c>
      <c r="P12" s="86" t="s">
        <v>27</v>
      </c>
      <c r="Q12" s="164" t="str">
        <f>IFERROR(if((VLOOKUP(B12,'Номенклатура'!A:N,11,0)/$M$4)=0,"",(VLOOKUP(B12,'Номенклатура'!A:N,11,0)/$M$4)),"")</f>
        <v/>
      </c>
      <c r="R12" s="163" t="s">
        <v>43</v>
      </c>
      <c r="S12" s="86" t="s">
        <v>27</v>
      </c>
      <c r="T12" s="162" t="s">
        <v>28</v>
      </c>
      <c r="U12" s="165"/>
      <c r="Y12" s="9"/>
      <c r="Z12" s="9"/>
      <c r="AA12" s="9"/>
    </row>
    <row r="13">
      <c r="A13" s="166">
        <v>1.0</v>
      </c>
      <c r="B13" s="167" t="s">
        <v>44</v>
      </c>
      <c r="C13" s="168" t="str">
        <f>if(B13="","", VLOOKUP(B13,'Номенклатура'!A$3:B944,2,false))</f>
        <v>HT-20 TRANSDUCER BEARING/SHAFT 5/8"</v>
      </c>
      <c r="D13" s="112">
        <v>150.0</v>
      </c>
      <c r="E13" s="169" t="str">
        <f t="array" ref="E13">_xlfn.XLOOKUP(B13, 'Данни'!A:A, 'Данни'!D:D, "", 0)</f>
        <v>8543.90.8885</v>
      </c>
      <c r="F13" s="169">
        <f t="array" ref="F13">_xlfn.XLOOKUP(B13, 'Данни'!A:A, 'Данни'!C:C, "", 0)</f>
        <v>85.4</v>
      </c>
      <c r="G13" s="170">
        <f t="shared" ref="G13:G37" si="1">If(D13="","",D13*F13)</f>
        <v>12810</v>
      </c>
      <c r="H13" s="171" t="str">
        <f>IfError(IF(V13=TRUE,(VLOOKUP(B13,'Номенклатура'!A:F,4,0)/$M$4),""),"")</f>
        <v/>
      </c>
      <c r="I13" s="171" t="str">
        <f t="shared" ref="I13:I57" si="2">if(H13*D13=0,"",H13*D13)</f>
        <v/>
      </c>
      <c r="J13" s="172" t="str">
        <f t="shared" ref="J13:J57" si="3">if(I13="","",G13-I13)</f>
        <v/>
      </c>
      <c r="K13" s="173" t="str">
        <f>iferror(VLOOKUP(B13,'Номенклатура'!A:F,5,0),"")</f>
        <v/>
      </c>
      <c r="L13" s="174" t="str">
        <f>iferror(VLOOKUP(B13,'Номенклатура'!A:N,6,0),"")</f>
        <v/>
      </c>
      <c r="M13" s="97" t="str">
        <f>iferror(VLOOKUP(B13,'Номенклатура'!A:N,7,0),"")</f>
        <v/>
      </c>
      <c r="N13" s="175" t="str">
        <f>IFERROR(if((VLOOKUP(B13,'Номенклатура'!A:N,8,0)/$M$4)=0,"",(VLOOKUP(B13,'Номенклатура'!A:N,8,0)/$M$4)),"")</f>
        <v/>
      </c>
      <c r="O13" s="97" t="str">
        <f>IFERROR(VLOOKUP(B13,'Номенклатура'!A:N,9,0),"")</f>
        <v/>
      </c>
      <c r="P13" s="97" t="str">
        <f>IFERROR(VLOOKUP(B13,'Номенклатура'!A:N,10,0),"")</f>
        <v/>
      </c>
      <c r="Q13" s="176" t="str">
        <f>IFERROR(if((VLOOKUP(B13,'Номенклатура'!A:N,11,0)/$M$4)=0,"",(VLOOKUP(B13,'Номенклатура'!A:N,11,0)/$M$4)),"")</f>
        <v/>
      </c>
      <c r="R13" s="174" t="str">
        <f>IFERROR(VLOOKUP(B13,'Номенклатура'!A:N,12,0),"")</f>
        <v/>
      </c>
      <c r="S13" s="97" t="str">
        <f>IFERROR(VLOOKUP(B13,'Номенклатура'!A:N,13,0),"")</f>
        <v/>
      </c>
      <c r="T13" s="175" t="str">
        <f>IFERROR(if((VLOOKUP(B13,'Номенклатура'!A:N,14,0)/$M$4)=0,"",(VLOOKUP(B13,'Номенклатура'!A:N,14,0)/$M$4)),"")</f>
        <v/>
      </c>
      <c r="U13" s="177">
        <v>1.0</v>
      </c>
      <c r="V13" s="178" t="str">
        <f>AND(#REF!&lt;&gt;"8543.70.4500",((VLOOKUP(B13,'Номенклатура'!A:F,4,0))/$M$4)&lt;&gt;0)</f>
        <v>#REF!</v>
      </c>
      <c r="Y13" s="9"/>
      <c r="Z13" s="9"/>
      <c r="AA13" s="9"/>
    </row>
    <row r="14">
      <c r="A14" s="179">
        <v>2.0</v>
      </c>
      <c r="B14" s="180" t="s">
        <v>45</v>
      </c>
      <c r="C14" s="181" t="str">
        <f>if(B14="","", VLOOKUP(B14,'Номенклатура'!A$3:B944,2,false))</f>
        <v>SSI Multiturn Cover For DC25FS</v>
      </c>
      <c r="D14" s="101">
        <v>15.0</v>
      </c>
      <c r="E14" s="183" t="str">
        <f t="array" ref="E14">_xlfn.XLOOKUP(B14, 'Данни'!A:A, 'Данни'!D:D, "", 0)</f>
        <v>8543.90.8885</v>
      </c>
      <c r="F14" s="183">
        <f t="array" ref="F14">_xlfn.XLOOKUP(B14, 'Данни'!A:A, 'Данни'!C:C, "", 0)</f>
        <v>10</v>
      </c>
      <c r="G14" s="184">
        <f t="shared" si="1"/>
        <v>150</v>
      </c>
      <c r="H14" s="160">
        <f>IfError(IF(V14=TRUE,(VLOOKUP(B14,'Номенклатура'!A:F,4,0)/$M$4),""),"")</f>
        <v>0.8252336661</v>
      </c>
      <c r="I14" s="160">
        <f t="shared" si="2"/>
        <v>12.37850499</v>
      </c>
      <c r="J14" s="185">
        <f t="shared" si="3"/>
        <v>137.621495</v>
      </c>
      <c r="K14" s="186">
        <f>iferror(VLOOKUP(B14,'Номенклатура'!A:F,5,0),"")</f>
        <v>1</v>
      </c>
      <c r="L14" s="187" t="str">
        <f>iferror(VLOOKUP(B14,'Номенклатура'!A:N,6,0),"")</f>
        <v/>
      </c>
      <c r="M14" s="109" t="str">
        <f>iferror(VLOOKUP(B14,'Номенклатура'!A:N,7,0),"")</f>
        <v/>
      </c>
      <c r="N14" s="188" t="str">
        <f>IFERROR(if((VLOOKUP(B14,'Номенклатура'!A:N,8,0)/$M$4)=0,"",(VLOOKUP(B14,'Номенклатура'!A:N,8,0)/$M$4)),"")</f>
        <v/>
      </c>
      <c r="O14" s="109" t="str">
        <f>IFERROR(VLOOKUP(B14,'Номенклатура'!A:N,9,0),"")</f>
        <v/>
      </c>
      <c r="P14" s="109" t="str">
        <f>IFERROR(VLOOKUP(B14,'Номенклатура'!A:N,10,0),"")</f>
        <v/>
      </c>
      <c r="Q14" s="164" t="str">
        <f>IFERROR(if((VLOOKUP(B14,'Номенклатура'!A:N,11,0)/$M$4)=0,"",(VLOOKUP(B14,'Номенклатура'!A:N,11,0)/$M$4)),"")</f>
        <v/>
      </c>
      <c r="R14" s="187" t="str">
        <f>IFERROR(VLOOKUP(B14,'Номенклатура'!A:N,12,0),"")</f>
        <v>Ф65 AL 2017 Italy</v>
      </c>
      <c r="S14" s="109">
        <f>IFERROR(VLOOKUP(B14,'Номенклатура'!A:N,13,0),"")</f>
        <v>0.056</v>
      </c>
      <c r="T14" s="188">
        <f>IFERROR(if((VLOOKUP(B14,'Номенклатура'!A:N,14,0)/$M$4)=0,"",(VLOOKUP(B14,'Номенклатура'!A:N,14,0)/$M$4)),"")</f>
        <v>0.8252336661</v>
      </c>
      <c r="U14" s="191">
        <v>2.0</v>
      </c>
      <c r="V14" s="178" t="b">
        <f>AND(E14&lt;&gt;"8543.70.4500",((VLOOKUP(B14,'Номенклатура'!A:F,4,0))/$M$4)&lt;&gt;0)</f>
        <v>1</v>
      </c>
      <c r="Y14" s="9"/>
      <c r="Z14" s="9"/>
      <c r="AA14" s="9"/>
    </row>
    <row r="15">
      <c r="A15" s="192">
        <v>3.0</v>
      </c>
      <c r="B15" s="193" t="s">
        <v>46</v>
      </c>
      <c r="C15" s="168" t="str">
        <f>if(B15="","", VLOOKUP(B15,'Номенклатура'!A$3:B944,2,false))</f>
        <v>5/8" Rotor Singleturn DC 25 Made from 200-91229 in BG Material SS-316</v>
      </c>
      <c r="D15" s="112">
        <v>25.0</v>
      </c>
      <c r="E15" s="169" t="str">
        <f t="array" ref="E15">_xlfn.XLOOKUP(B15, 'Данни'!A:A, 'Данни'!D:D, "", 0)</f>
        <v>8543.90.8885</v>
      </c>
      <c r="F15" s="169">
        <f t="array" ref="F15">_xlfn.XLOOKUP(B15, 'Данни'!A:A, 'Данни'!C:C, "", 0)</f>
        <v>20</v>
      </c>
      <c r="G15" s="170">
        <f t="shared" si="1"/>
        <v>500</v>
      </c>
      <c r="H15" s="171" t="str">
        <f>IfError(IF(V15=TRUE,(VLOOKUP(B15,'Номенклатура'!A:F,4,0)/$M$4),""),"")</f>
        <v/>
      </c>
      <c r="I15" s="171" t="str">
        <f t="shared" si="2"/>
        <v/>
      </c>
      <c r="J15" s="172" t="str">
        <f t="shared" si="3"/>
        <v/>
      </c>
      <c r="K15" s="173" t="str">
        <f>iferror(VLOOKUP(B15,'Номенклатура'!A:F,5,0),"")</f>
        <v/>
      </c>
      <c r="L15" s="174" t="str">
        <f>iferror(VLOOKUP(B15,'Номенклатура'!A:N,6,0),"")</f>
        <v/>
      </c>
      <c r="M15" s="97" t="str">
        <f>iferror(VLOOKUP(B15,'Номенклатура'!A:N,7,0),"")</f>
        <v/>
      </c>
      <c r="N15" s="175" t="str">
        <f>IFERROR(if((VLOOKUP(B15,'Номенклатура'!A:N,8,0)/$M$4)=0,"",(VLOOKUP(B15,'Номенклатура'!A:N,8,0)/$M$4)),"")</f>
        <v/>
      </c>
      <c r="O15" s="97" t="str">
        <f>IFERROR(VLOOKUP(B15,'Номенклатура'!A:N,9,0),"")</f>
        <v/>
      </c>
      <c r="P15" s="97" t="str">
        <f>IFERROR(VLOOKUP(B15,'Номенклатура'!A:N,10,0),"")</f>
        <v/>
      </c>
      <c r="Q15" s="176" t="str">
        <f>IFERROR(if((VLOOKUP(B15,'Номенклатура'!A:N,11,0)/$M$4)=0,"",(VLOOKUP(B15,'Номенклатура'!A:N,11,0)/$M$4)),"")</f>
        <v/>
      </c>
      <c r="R15" s="174" t="str">
        <f>IFERROR(VLOOKUP(B15,'Номенклатура'!A:N,12,0),"")</f>
        <v/>
      </c>
      <c r="S15" s="97" t="str">
        <f>IFERROR(VLOOKUP(B15,'Номенклатура'!A:N,13,0),"")</f>
        <v/>
      </c>
      <c r="T15" s="175" t="str">
        <f>IFERROR(if((VLOOKUP(B15,'Номенклатура'!A:N,14,0)/$M$4)=0,"",(VLOOKUP(B15,'Номенклатура'!A:N,14,0)/$M$4)),"")</f>
        <v/>
      </c>
      <c r="U15" s="91"/>
      <c r="V15" s="178" t="b">
        <f>AND(E15&lt;&gt;"8543.70.4500",((VLOOKUP(B15,'Номенклатура'!A:F,4,0))/$M$4)&lt;&gt;0)</f>
        <v>0</v>
      </c>
      <c r="Y15" s="194">
        <v>2.11162E8</v>
      </c>
      <c r="Z15" s="195" t="s">
        <v>47</v>
      </c>
      <c r="AA15" s="194">
        <v>5.0</v>
      </c>
    </row>
    <row r="16">
      <c r="A16" s="179">
        <v>4.0</v>
      </c>
      <c r="B16" s="196" t="s">
        <v>48</v>
      </c>
      <c r="C16" s="99"/>
      <c r="D16" s="101">
        <v>50.0</v>
      </c>
      <c r="E16" s="183" t="str">
        <f t="array" ref="E16">_xlfn.XLOOKUP(B16, 'Данни'!A:A, 'Данни'!D:D, "", 0)</f>
        <v/>
      </c>
      <c r="F16" s="183" t="str">
        <f t="array" ref="F16">_xlfn.XLOOKUP(B16, 'Данни'!A:A, 'Данни'!C:C, "", 0)</f>
        <v/>
      </c>
      <c r="G16" s="184">
        <f t="shared" si="1"/>
        <v>0</v>
      </c>
      <c r="H16" s="160" t="str">
        <f>IfError(IF(V16=TRUE,(VLOOKUP(B16,'Номенклатура'!A:F,4,0)/$M$4),""),"")</f>
        <v/>
      </c>
      <c r="I16" s="160" t="str">
        <f t="shared" si="2"/>
        <v/>
      </c>
      <c r="J16" s="185" t="str">
        <f t="shared" si="3"/>
        <v/>
      </c>
      <c r="K16" s="186" t="str">
        <f>iferror(VLOOKUP(B16,'Номенклатура'!A:F,5,0),"")</f>
        <v/>
      </c>
      <c r="L16" s="187" t="str">
        <f>iferror(VLOOKUP(B16,'Номенклатура'!A:N,6,0),"")</f>
        <v/>
      </c>
      <c r="M16" s="109" t="str">
        <f>iferror(VLOOKUP(B16,'Номенклатура'!A:N,7,0),"")</f>
        <v/>
      </c>
      <c r="N16" s="188" t="str">
        <f>IFERROR(if((VLOOKUP(B16,'Номенклатура'!A:N,8,0)/$M$4)=0,"",(VLOOKUP(B16,'Номенклатура'!A:N,8,0)/$M$4)),"")</f>
        <v/>
      </c>
      <c r="O16" s="109" t="str">
        <f>IFERROR(VLOOKUP(B16,'Номенклатура'!A:N,9,0),"")</f>
        <v/>
      </c>
      <c r="P16" s="109" t="str">
        <f>IFERROR(VLOOKUP(B16,'Номенклатура'!A:N,10,0),"")</f>
        <v/>
      </c>
      <c r="Q16" s="164" t="str">
        <f>IFERROR(if((VLOOKUP(B16,'Номенклатура'!A:N,11,0)/$M$4)=0,"",(VLOOKUP(B16,'Номенклатура'!A:N,11,0)/$M$4)),"")</f>
        <v/>
      </c>
      <c r="R16" s="187" t="str">
        <f>IFERROR(VLOOKUP(B16,'Номенклатура'!A:N,12,0),"")</f>
        <v/>
      </c>
      <c r="S16" s="109" t="str">
        <f>IFERROR(VLOOKUP(B16,'Номенклатура'!A:N,13,0),"")</f>
        <v/>
      </c>
      <c r="T16" s="188" t="str">
        <f>IFERROR(if((VLOOKUP(B16,'Номенклатура'!A:N,14,0)/$M$4)=0,"",(VLOOKUP(B16,'Номенклатура'!A:N,14,0)/$M$4)),"")</f>
        <v/>
      </c>
      <c r="U16" s="102"/>
      <c r="V16" s="178" t="str">
        <f>AND(E16&lt;&gt;"8543.70.4500",((VLOOKUP(B16,'Номенклатура'!A:F,4,0))/$M$4)&lt;&gt;0)</f>
        <v>#N/A</v>
      </c>
      <c r="Y16" s="9"/>
      <c r="Z16" s="9"/>
      <c r="AA16" s="9"/>
    </row>
    <row r="17">
      <c r="A17" s="192">
        <v>5.0</v>
      </c>
      <c r="B17" s="193" t="s">
        <v>29</v>
      </c>
      <c r="C17" s="90" t="str">
        <f>if(B17="","", VLOOKUP(B17,'Номенклатура'!A$3:B944,2,false))</f>
        <v>#N/A</v>
      </c>
      <c r="D17" s="112">
        <v>10.0</v>
      </c>
      <c r="E17" s="169" t="str">
        <f t="array" ref="E17">_xlfn.XLOOKUP(B17, 'Данни'!A:A, 'Данни'!D:D, "", 0)</f>
        <v/>
      </c>
      <c r="F17" s="169" t="str">
        <f t="array" ref="F17">_xlfn.XLOOKUP(B17, 'Данни'!A:A, 'Данни'!C:C, "", 0)</f>
        <v/>
      </c>
      <c r="G17" s="170">
        <f t="shared" si="1"/>
        <v>0</v>
      </c>
      <c r="H17" s="171" t="str">
        <f>IfError(IF(V17=TRUE,(VLOOKUP(B17,'Номенклатура'!A:F,4,0)/$M$4),""),"")</f>
        <v/>
      </c>
      <c r="I17" s="171" t="str">
        <f t="shared" si="2"/>
        <v/>
      </c>
      <c r="J17" s="172" t="str">
        <f t="shared" si="3"/>
        <v/>
      </c>
      <c r="K17" s="173" t="str">
        <f>iferror(VLOOKUP(B17,'Номенклатура'!A:F,5,0),"")</f>
        <v/>
      </c>
      <c r="L17" s="174" t="str">
        <f>iferror(VLOOKUP(B17,'Номенклатура'!A:N,6,0),"")</f>
        <v/>
      </c>
      <c r="M17" s="97" t="str">
        <f>iferror(VLOOKUP(B17,'Номенклатура'!A:N,7,0),"")</f>
        <v/>
      </c>
      <c r="N17" s="175" t="str">
        <f>IFERROR(if((VLOOKUP(B17,'Номенклатура'!A:N,8,0)/$M$4)=0,"",(VLOOKUP(B17,'Номенклатура'!A:N,8,0)/$M$4)),"")</f>
        <v/>
      </c>
      <c r="O17" s="97" t="str">
        <f>IFERROR(VLOOKUP(B17,'Номенклатура'!A:N,9,0),"")</f>
        <v/>
      </c>
      <c r="P17" s="97" t="str">
        <f>IFERROR(VLOOKUP(B17,'Номенклатура'!A:N,10,0),"")</f>
        <v/>
      </c>
      <c r="Q17" s="176" t="str">
        <f>IFERROR(if((VLOOKUP(B17,'Номенклатура'!A:N,11,0)/$M$4)=0,"",(VLOOKUP(B17,'Номенклатура'!A:N,11,0)/$M$4)),"")</f>
        <v/>
      </c>
      <c r="R17" s="174" t="str">
        <f>IFERROR(VLOOKUP(B17,'Номенклатура'!A:N,12,0),"")</f>
        <v/>
      </c>
      <c r="S17" s="97" t="str">
        <f>IFERROR(VLOOKUP(B17,'Номенклатура'!A:N,13,0),"")</f>
        <v/>
      </c>
      <c r="T17" s="175" t="str">
        <f>IFERROR(if((VLOOKUP(B17,'Номенклатура'!A:N,14,0)/$M$4)=0,"",(VLOOKUP(B17,'Номенклатура'!A:N,14,0)/$M$4)),"")</f>
        <v/>
      </c>
      <c r="U17" s="91"/>
      <c r="V17" s="178" t="str">
        <f>AND(E17&lt;&gt;"8543.70.4500",((VLOOKUP(B17,'Номенклатура'!A:F,4,0))/$M$4)&lt;&gt;0)</f>
        <v>#N/A</v>
      </c>
      <c r="Y17" s="9"/>
      <c r="Z17" s="9"/>
      <c r="AA17" s="9"/>
    </row>
    <row r="18" ht="26.25" customHeight="1">
      <c r="A18" s="179">
        <v>6.0</v>
      </c>
      <c r="B18" s="196" t="s">
        <v>49</v>
      </c>
      <c r="C18" s="181" t="str">
        <f>if(B18="","", VLOOKUP(B18,'Номенклатура'!A$3:B944,2,false))</f>
        <v>H25/DC25 Servo Nose in 6061 AL new stile</v>
      </c>
      <c r="D18" s="101">
        <v>20.0</v>
      </c>
      <c r="E18" s="183" t="str">
        <f t="array" ref="E18">_xlfn.XLOOKUP(B18, 'Данни'!A:A, 'Данни'!D:D, "", 0)</f>
        <v>8543.90.8885</v>
      </c>
      <c r="F18" s="183">
        <f t="array" ref="F18">_xlfn.XLOOKUP(B18, 'Данни'!A:A, 'Данни'!C:C, "", 0)</f>
        <v>10</v>
      </c>
      <c r="G18" s="184">
        <f t="shared" si="1"/>
        <v>200</v>
      </c>
      <c r="H18" s="160">
        <f>IfError(IF(V18=TRUE,(VLOOKUP(B18,'Номенклатура'!A:F,4,0)/$M$4),""),"")</f>
        <v>0.7810247197</v>
      </c>
      <c r="I18" s="160">
        <f t="shared" si="2"/>
        <v>15.62049439</v>
      </c>
      <c r="J18" s="185">
        <f t="shared" si="3"/>
        <v>184.3795056</v>
      </c>
      <c r="K18" s="186">
        <f>iferror(VLOOKUP(B18,'Номенклатура'!A:F,5,0),"")</f>
        <v>1</v>
      </c>
      <c r="L18" s="187" t="str">
        <f>iferror(VLOOKUP(B18,'Номенклатура'!A:N,6,0),"")</f>
        <v/>
      </c>
      <c r="M18" s="109" t="str">
        <f>iferror(VLOOKUP(B18,'Номенклатура'!A:N,7,0),"")</f>
        <v/>
      </c>
      <c r="N18" s="188" t="str">
        <f>IFERROR(if((VLOOKUP(B18,'Номенклатура'!A:N,8,0)/$M$4)=0,"",(VLOOKUP(B18,'Номенклатура'!A:N,8,0)/$M$4)),"")</f>
        <v/>
      </c>
      <c r="O18" s="109" t="str">
        <f>IFERROR(VLOOKUP(B18,'Номенклатура'!A:N,9,0),"")</f>
        <v>Ф65 AL 2017 Italy</v>
      </c>
      <c r="P18" s="109">
        <f>IFERROR(VLOOKUP(B18,'Номенклатура'!A:N,10,0),"")</f>
        <v>0.053</v>
      </c>
      <c r="Q18" s="164">
        <f>IFERROR(if((VLOOKUP(B18,'Номенклатура'!A:N,11,0)/$M$4)=0,"",(VLOOKUP(B18,'Номенклатура'!A:N,11,0)/$M$4)),"")</f>
        <v>0.7810247197</v>
      </c>
      <c r="R18" s="187" t="str">
        <f>IFERROR(VLOOKUP(B18,'Номенклатура'!A:N,12,0),"")</f>
        <v/>
      </c>
      <c r="S18" s="109" t="str">
        <f>IFERROR(VLOOKUP(B18,'Номенклатура'!A:N,13,0),"")</f>
        <v/>
      </c>
      <c r="T18" s="188" t="str">
        <f>IFERROR(if((VLOOKUP(B18,'Номенклатура'!A:N,14,0)/$M$4)=0,"",(VLOOKUP(B18,'Номенклатура'!A:N,14,0)/$M$4)),"")</f>
        <v/>
      </c>
      <c r="U18" s="102"/>
      <c r="V18" s="178" t="b">
        <f>AND(E18&lt;&gt;"8543.70.4500",((VLOOKUP(B18,'Номенклатура'!A:F,4,0))/$M$4)&lt;&gt;0)</f>
        <v>1</v>
      </c>
      <c r="Y18" s="195" t="s">
        <v>50</v>
      </c>
      <c r="Z18" s="195" t="s">
        <v>51</v>
      </c>
      <c r="AA18" s="194">
        <v>30.0</v>
      </c>
    </row>
    <row r="19">
      <c r="A19" s="192">
        <v>7.0</v>
      </c>
      <c r="B19" s="193" t="s">
        <v>52</v>
      </c>
      <c r="C19" s="168" t="str">
        <f>if(B19="","", VLOOKUP(B19,'Номенклатура'!A$3:B944,2,false))</f>
        <v>H25 Body with Shaft zeroed for HT-400x-j Single turn  TR=0.95, 5KHz, w/o conn</v>
      </c>
      <c r="D19" s="112">
        <v>75.0</v>
      </c>
      <c r="E19" s="169" t="str">
        <f t="array" ref="E19">_xlfn.XLOOKUP(B19, 'Данни'!A:A, 'Данни'!D:D, "", 0)</f>
        <v>8543.90.8885</v>
      </c>
      <c r="F19" s="169">
        <f t="array" ref="F19">_xlfn.XLOOKUP(B19, 'Данни'!A:A, 'Данни'!C:C, "", 0)</f>
        <v>91</v>
      </c>
      <c r="G19" s="170">
        <f t="shared" si="1"/>
        <v>6825</v>
      </c>
      <c r="H19" s="171">
        <f>IfError(IF(V19=TRUE,(VLOOKUP(B19,'Номенклатура'!A:F,4,0)/$M$4),""),"")</f>
        <v>4.58299411</v>
      </c>
      <c r="I19" s="171">
        <f t="shared" si="2"/>
        <v>343.7245583</v>
      </c>
      <c r="J19" s="172">
        <f t="shared" si="3"/>
        <v>6481.275442</v>
      </c>
      <c r="K19" s="173" t="str">
        <f>iferror(VLOOKUP(B19,'Номенклатура'!A:F,5,0),"")</f>
        <v/>
      </c>
      <c r="L19" s="174" t="str">
        <f>iferror(VLOOKUP(B19,'Номенклатура'!A:N,6,0),"")</f>
        <v>Ф65 AL 2017 Italy</v>
      </c>
      <c r="M19" s="97">
        <f>iferror(VLOOKUP(B19,'Номенклатура'!A:N,7,0),"")</f>
        <v>0.311</v>
      </c>
      <c r="N19" s="175">
        <f>IFERROR(if((VLOOKUP(B19,'Номенклатура'!A:N,8,0)/$M$4)=0,"",(VLOOKUP(B19,'Номенклатура'!A:N,8,0)/$M$4)),"")</f>
        <v>4.58299411</v>
      </c>
      <c r="O19" s="97" t="str">
        <f>IFERROR(VLOOKUP(B19,'Номенклатура'!A:N,9,0),"")</f>
        <v/>
      </c>
      <c r="P19" s="97" t="str">
        <f>IFERROR(VLOOKUP(B19,'Номенклатура'!A:N,10,0),"")</f>
        <v/>
      </c>
      <c r="Q19" s="176" t="str">
        <f>IFERROR(if((VLOOKUP(B19,'Номенклатура'!A:N,11,0)/$M$4)=0,"",(VLOOKUP(B19,'Номенклатура'!A:N,11,0)/$M$4)),"")</f>
        <v/>
      </c>
      <c r="R19" s="174" t="str">
        <f>IFERROR(VLOOKUP(B19,'Номенклатура'!A:N,12,0),"")</f>
        <v/>
      </c>
      <c r="S19" s="97" t="str">
        <f>IFERROR(VLOOKUP(B19,'Номенклатура'!A:N,13,0),"")</f>
        <v/>
      </c>
      <c r="T19" s="175" t="str">
        <f>IFERROR(if((VLOOKUP(B19,'Номенклатура'!A:N,14,0)/$M$4)=0,"",(VLOOKUP(B19,'Номенклатура'!A:N,14,0)/$M$4)),"")</f>
        <v/>
      </c>
      <c r="U19" s="91"/>
      <c r="V19" s="178" t="b">
        <f>AND(E19&lt;&gt;"8543.70.4500",((VLOOKUP(B19,'Номенклатура'!A:F,4,0))/$M$4)&lt;&gt;0)</f>
        <v>1</v>
      </c>
      <c r="Y19" s="9"/>
      <c r="Z19" s="9"/>
      <c r="AA19" s="9"/>
    </row>
    <row r="20">
      <c r="A20" s="179">
        <v>8.0</v>
      </c>
      <c r="B20" s="180" t="s">
        <v>53</v>
      </c>
      <c r="C20" s="181" t="str">
        <f>if(B20="","", VLOOKUP(B20,'Номенклатура'!A$3:B944,2,false))</f>
        <v>DC60 Rear Cover with PG9 hole and LED pipe for Analog DC60</v>
      </c>
      <c r="D20" s="101">
        <v>5.0</v>
      </c>
      <c r="E20" s="183" t="str">
        <f t="array" ref="E20">_xlfn.XLOOKUP(B20, 'Данни'!A:A, 'Данни'!D:D, "", 0)</f>
        <v>8543.90.8885</v>
      </c>
      <c r="F20" s="183">
        <f t="array" ref="F20">_xlfn.XLOOKUP(B20, 'Данни'!A:A, 'Данни'!C:C, "", 0)</f>
        <v>10</v>
      </c>
      <c r="G20" s="184">
        <f t="shared" si="1"/>
        <v>50</v>
      </c>
      <c r="H20" s="160">
        <f>IfError(IF(V20=TRUE,(VLOOKUP(B20,'Номенклатура'!A:F,4,0)/$M$4),""),"")</f>
        <v>0.9136515589</v>
      </c>
      <c r="I20" s="160">
        <f t="shared" si="2"/>
        <v>4.568257795</v>
      </c>
      <c r="J20" s="185">
        <f t="shared" si="3"/>
        <v>45.43174221</v>
      </c>
      <c r="K20" s="186">
        <f>iferror(VLOOKUP(B20,'Номенклатура'!A:F,5,0),"")</f>
        <v>1</v>
      </c>
      <c r="L20" s="187" t="str">
        <f>iferror(VLOOKUP(B20,'Номенклатура'!A:N,6,0),"")</f>
        <v/>
      </c>
      <c r="M20" s="109" t="str">
        <f>iferror(VLOOKUP(B20,'Номенклатура'!A:N,7,0),"")</f>
        <v/>
      </c>
      <c r="N20" s="188" t="str">
        <f>IFERROR(if((VLOOKUP(B20,'Номенклатура'!A:N,8,0)/$M$4)=0,"",(VLOOKUP(B20,'Номенклатура'!A:N,8,0)/$M$4)),"")</f>
        <v/>
      </c>
      <c r="O20" s="109" t="str">
        <f>IFERROR(VLOOKUP(B20,'Номенклатура'!A:N,9,0),"")</f>
        <v/>
      </c>
      <c r="P20" s="109" t="str">
        <f>IFERROR(VLOOKUP(B20,'Номенклатура'!A:N,10,0),"")</f>
        <v/>
      </c>
      <c r="Q20" s="164" t="str">
        <f>IFERROR(if((VLOOKUP(B20,'Номенклатура'!A:N,11,0)/$M$4)=0,"",(VLOOKUP(B20,'Номенклатура'!A:N,11,0)/$M$4)),"")</f>
        <v/>
      </c>
      <c r="R20" s="187" t="str">
        <f>IFERROR(VLOOKUP(B20,'Номенклатура'!A:N,12,0),"")</f>
        <v>Ф62 AL 2017 Italy</v>
      </c>
      <c r="S20" s="109">
        <f>IFERROR(VLOOKUP(B20,'Номенклатура'!A:N,13,0),"")</f>
        <v>0.062</v>
      </c>
      <c r="T20" s="188">
        <f>IFERROR(if((VLOOKUP(B20,'Номенклатура'!A:N,14,0)/$M$4)=0,"",(VLOOKUP(B20,'Номенклатура'!A:N,14,0)/$M$4)),"")</f>
        <v>0.9136515589</v>
      </c>
      <c r="U20" s="102"/>
      <c r="V20" s="178" t="b">
        <f>AND(E20&lt;&gt;"8543.70.4500",((VLOOKUP(B20,'Номенклатура'!A:F,4,0))/$M$4)&lt;&gt;0)</f>
        <v>1</v>
      </c>
      <c r="Y20" s="9"/>
      <c r="Z20" s="9"/>
      <c r="AA20" s="9"/>
    </row>
    <row r="21" ht="27.0" customHeight="1">
      <c r="A21" s="197" t="s">
        <v>54</v>
      </c>
      <c r="B21" s="111" t="s">
        <v>55</v>
      </c>
      <c r="C21" s="168" t="str">
        <f>if(B21="","", VLOOKUP(B21,'Номенклатура'!A$3:B944,2,false))</f>
        <v>Transformer Output 36150 Reference</v>
      </c>
      <c r="D21" s="112">
        <v>125.0</v>
      </c>
      <c r="E21" s="169" t="str">
        <f t="array" ref="E21">_xlfn.XLOOKUP(B21, 'Данни'!A:A, 'Данни'!D:D, "", 0)</f>
        <v>8543.70.4500</v>
      </c>
      <c r="F21" s="169">
        <f t="array" ref="F21">_xlfn.XLOOKUP(B21, 'Данни'!A:A, 'Данни'!C:C, "", 0)</f>
        <v>20</v>
      </c>
      <c r="G21" s="170">
        <f t="shared" si="1"/>
        <v>2500</v>
      </c>
      <c r="H21" s="171" t="str">
        <f>IfError(IF(V21=TRUE,(VLOOKUP(B21,'Номенклатура'!A:F,4,0)/$M$4),""),"")</f>
        <v/>
      </c>
      <c r="I21" s="171" t="str">
        <f t="shared" si="2"/>
        <v/>
      </c>
      <c r="J21" s="172" t="str">
        <f t="shared" si="3"/>
        <v/>
      </c>
      <c r="K21" s="173" t="str">
        <f>iferror(VLOOKUP(B21,'Номенклатура'!A:F,5,0),"")</f>
        <v/>
      </c>
      <c r="L21" s="174" t="str">
        <f>iferror(VLOOKUP(B21,'Номенклатура'!A:N,6,0),"")</f>
        <v/>
      </c>
      <c r="M21" s="97" t="str">
        <f>iferror(VLOOKUP(B21,'Номенклатура'!A:N,7,0),"")</f>
        <v/>
      </c>
      <c r="N21" s="175" t="str">
        <f>IFERROR(if((VLOOKUP(B21,'Номенклатура'!A:N,8,0)/$M$4)=0,"",(VLOOKUP(B21,'Номенклатура'!A:N,8,0)/$M$4)),"")</f>
        <v/>
      </c>
      <c r="O21" s="97" t="str">
        <f>IFERROR(VLOOKUP(B21,'Номенклатура'!A:N,9,0),"")</f>
        <v/>
      </c>
      <c r="P21" s="97" t="str">
        <f>IFERROR(VLOOKUP(B21,'Номенклатура'!A:N,10,0),"")</f>
        <v/>
      </c>
      <c r="Q21" s="176" t="str">
        <f>IFERROR(if((VLOOKUP(B21,'Номенклатура'!A:N,11,0)/$M$4)=0,"",(VLOOKUP(B21,'Номенклатура'!A:N,11,0)/$M$4)),"")</f>
        <v/>
      </c>
      <c r="R21" s="174" t="str">
        <f>IFERROR(VLOOKUP(B21,'Номенклатура'!A:N,12,0),"")</f>
        <v/>
      </c>
      <c r="S21" s="97" t="str">
        <f>IFERROR(VLOOKUP(B21,'Номенклатура'!A:N,13,0),"")</f>
        <v/>
      </c>
      <c r="T21" s="175" t="str">
        <f>IFERROR(if((VLOOKUP(B21,'Номенклатура'!A:N,14,0)/$M$4)=0,"",(VLOOKUP(B21,'Номенклатура'!A:N,14,0)/$M$4)),"")</f>
        <v/>
      </c>
      <c r="U21" s="91"/>
      <c r="V21" s="178" t="b">
        <f>AND(E21&lt;&gt;"8543.70.4500",((VLOOKUP(B21,'Номенклатура'!A:F,4,0))/$M$4)&lt;&gt;0)</f>
        <v>0</v>
      </c>
      <c r="Y21" s="195" t="s">
        <v>56</v>
      </c>
      <c r="Z21" s="195" t="s">
        <v>57</v>
      </c>
      <c r="AA21" s="194">
        <v>50.0</v>
      </c>
    </row>
    <row r="22">
      <c r="A22" s="198" t="s">
        <v>58</v>
      </c>
      <c r="B22" s="99" t="s">
        <v>59</v>
      </c>
      <c r="C22" s="181" t="str">
        <f>if(B22="","", VLOOKUP(B22,'Номенклатура'!A$3:B944,2,false))</f>
        <v>H25-FE-R3HC-11 Rotor Assembly Ref # 211323000 flat on shaft For 150 degC Resolver</v>
      </c>
      <c r="D22" s="101">
        <v>20.0</v>
      </c>
      <c r="E22" s="183" t="str">
        <f t="array" ref="E22">_xlfn.XLOOKUP(B22, 'Данни'!A:A, 'Данни'!D:D, "", 0)</f>
        <v>8543.90.8885</v>
      </c>
      <c r="F22" s="183">
        <f t="array" ref="F22">_xlfn.XLOOKUP(B22, 'Данни'!A:A, 'Данни'!C:C, "", 0)</f>
        <v>20</v>
      </c>
      <c r="G22" s="184">
        <f t="shared" si="1"/>
        <v>400</v>
      </c>
      <c r="H22" s="160" t="str">
        <f>IfError(IF(V22=TRUE,(VLOOKUP(B22,'Номенклатура'!A:F,4,0)/$M$4),""),"")</f>
        <v/>
      </c>
      <c r="I22" s="160" t="str">
        <f t="shared" si="2"/>
        <v/>
      </c>
      <c r="J22" s="185" t="str">
        <f t="shared" si="3"/>
        <v/>
      </c>
      <c r="K22" s="186" t="str">
        <f>iferror(VLOOKUP(B22,'Номенклатура'!A:F,5,0),"")</f>
        <v/>
      </c>
      <c r="L22" s="187" t="str">
        <f>iferror(VLOOKUP(B22,'Номенклатура'!A:N,6,0),"")</f>
        <v/>
      </c>
      <c r="M22" s="109" t="str">
        <f>iferror(VLOOKUP(B22,'Номенклатура'!A:N,7,0),"")</f>
        <v/>
      </c>
      <c r="N22" s="188" t="str">
        <f>IFERROR(if((VLOOKUP(B22,'Номенклатура'!A:N,8,0)/$M$4)=0,"",(VLOOKUP(B22,'Номенклатура'!A:N,8,0)/$M$4)),"")</f>
        <v/>
      </c>
      <c r="O22" s="109" t="str">
        <f>IFERROR(VLOOKUP(B22,'Номенклатура'!A:N,9,0),"")</f>
        <v/>
      </c>
      <c r="P22" s="109" t="str">
        <f>IFERROR(VLOOKUP(B22,'Номенклатура'!A:N,10,0),"")</f>
        <v/>
      </c>
      <c r="Q22" s="164" t="str">
        <f>IFERROR(if((VLOOKUP(B22,'Номенклатура'!A:N,11,0)/$M$4)=0,"",(VLOOKUP(B22,'Номенклатура'!A:N,11,0)/$M$4)),"")</f>
        <v/>
      </c>
      <c r="R22" s="187" t="str">
        <f>IFERROR(VLOOKUP(B22,'Номенклатура'!A:N,12,0),"")</f>
        <v/>
      </c>
      <c r="S22" s="109" t="str">
        <f>IFERROR(VLOOKUP(B22,'Номенклатура'!A:N,13,0),"")</f>
        <v/>
      </c>
      <c r="T22" s="188" t="str">
        <f>IFERROR(if((VLOOKUP(B22,'Номенклатура'!A:N,14,0)/$M$4)=0,"",(VLOOKUP(B22,'Номенклатура'!A:N,14,0)/$M$4)),"")</f>
        <v/>
      </c>
      <c r="U22" s="102"/>
      <c r="V22" s="178" t="b">
        <f>AND(E22&lt;&gt;"8543.70.4500",((VLOOKUP(B22,'Номенклатура'!A:F,4,0))/$M$4)&lt;&gt;0)</f>
        <v>0</v>
      </c>
      <c r="Y22" s="9"/>
      <c r="Z22" s="9"/>
      <c r="AA22" s="9"/>
    </row>
    <row r="23">
      <c r="A23" s="192">
        <v>11.0</v>
      </c>
      <c r="B23" s="111" t="s">
        <v>60</v>
      </c>
      <c r="C23" s="168" t="str">
        <f>if(B23="","", VLOOKUP(B23,'Номенклатура'!A$3:B944,2,false))</f>
        <v>High Temp. Stator Assembly For 150 degC Resolvers</v>
      </c>
      <c r="D23" s="112">
        <v>20.0</v>
      </c>
      <c r="E23" s="169" t="str">
        <f t="array" ref="E23">_xlfn.XLOOKUP(B23, 'Данни'!A:A, 'Данни'!D:D, "", 0)</f>
        <v>8543.90.8885</v>
      </c>
      <c r="F23" s="169">
        <f t="array" ref="F23">_xlfn.XLOOKUP(B23, 'Данни'!A:A, 'Данни'!C:C, "", 0)</f>
        <v>20</v>
      </c>
      <c r="G23" s="170">
        <f t="shared" si="1"/>
        <v>400</v>
      </c>
      <c r="H23" s="171" t="str">
        <f>IfError(IF(V23=TRUE,(VLOOKUP(B23,'Номенклатура'!A:F,4,0)/$M$4),""),"")</f>
        <v/>
      </c>
      <c r="I23" s="171" t="str">
        <f t="shared" si="2"/>
        <v/>
      </c>
      <c r="J23" s="172" t="str">
        <f t="shared" si="3"/>
        <v/>
      </c>
      <c r="K23" s="173" t="str">
        <f>iferror(VLOOKUP(B23,'Номенклатура'!A:F,5,0),"")</f>
        <v/>
      </c>
      <c r="L23" s="174" t="str">
        <f>iferror(VLOOKUP(B23,'Номенклатура'!A:N,6,0),"")</f>
        <v/>
      </c>
      <c r="M23" s="97" t="str">
        <f>iferror(VLOOKUP(B23,'Номенклатура'!A:N,7,0),"")</f>
        <v/>
      </c>
      <c r="N23" s="175" t="str">
        <f>IFERROR(if((VLOOKUP(B23,'Номенклатура'!A:N,8,0)/$M$4)=0,"",(VLOOKUP(B23,'Номенклатура'!A:N,8,0)/$M$4)),"")</f>
        <v/>
      </c>
      <c r="O23" s="97" t="str">
        <f>IFERROR(VLOOKUP(B23,'Номенклатура'!A:N,9,0),"")</f>
        <v/>
      </c>
      <c r="P23" s="97" t="str">
        <f>IFERROR(VLOOKUP(B23,'Номенклатура'!A:N,10,0),"")</f>
        <v/>
      </c>
      <c r="Q23" s="176" t="str">
        <f>IFERROR(if((VLOOKUP(B23,'Номенклатура'!A:N,11,0)/$M$4)=0,"",(VLOOKUP(B23,'Номенклатура'!A:N,11,0)/$M$4)),"")</f>
        <v/>
      </c>
      <c r="R23" s="174" t="str">
        <f>IFERROR(VLOOKUP(B23,'Номенклатура'!A:N,12,0),"")</f>
        <v/>
      </c>
      <c r="S23" s="97" t="str">
        <f>IFERROR(VLOOKUP(B23,'Номенклатура'!A:N,13,0),"")</f>
        <v/>
      </c>
      <c r="T23" s="175" t="str">
        <f>IFERROR(if((VLOOKUP(B23,'Номенклатура'!A:N,14,0)/$M$4)=0,"",(VLOOKUP(B23,'Номенклатура'!A:N,14,0)/$M$4)),"")</f>
        <v/>
      </c>
      <c r="U23" s="91"/>
      <c r="V23" s="178" t="b">
        <f>AND(E23&lt;&gt;"8543.70.4500",((VLOOKUP(B23,'Номенклатура'!A:F,4,0))/$M$4)&lt;&gt;0)</f>
        <v>0</v>
      </c>
      <c r="Y23" s="9"/>
      <c r="Z23" s="9"/>
      <c r="AA23" s="9"/>
    </row>
    <row r="24">
      <c r="A24" s="179">
        <v>12.0</v>
      </c>
      <c r="B24" s="99" t="s">
        <v>61</v>
      </c>
      <c r="C24" s="181" t="str">
        <f>if(B24="","", VLOOKUP(B24,'Номенклатура'!A$3:B944,2,false))</f>
        <v>High temp Transf. Assembly For 150 degC Resolvers</v>
      </c>
      <c r="D24" s="101">
        <v>20.0</v>
      </c>
      <c r="E24" s="183" t="str">
        <f t="array" ref="E24">_xlfn.XLOOKUP(B24, 'Данни'!A:A, 'Данни'!D:D, "", 0)</f>
        <v>8543.90.8885</v>
      </c>
      <c r="F24" s="183">
        <f t="array" ref="F24">_xlfn.XLOOKUP(B24, 'Данни'!A:A, 'Данни'!C:C, "", 0)</f>
        <v>20</v>
      </c>
      <c r="G24" s="184">
        <f t="shared" si="1"/>
        <v>400</v>
      </c>
      <c r="H24" s="160" t="str">
        <f>IfError(IF(V24=TRUE,(VLOOKUP(B24,'Номенклатура'!A:F,4,0)/$M$4),""),"")</f>
        <v/>
      </c>
      <c r="I24" s="160" t="str">
        <f t="shared" si="2"/>
        <v/>
      </c>
      <c r="J24" s="185" t="str">
        <f t="shared" si="3"/>
        <v/>
      </c>
      <c r="K24" s="186" t="str">
        <f>iferror(VLOOKUP(B24,'Номенклатура'!A:F,5,0),"")</f>
        <v/>
      </c>
      <c r="L24" s="187" t="str">
        <f>iferror(VLOOKUP(B24,'Номенклатура'!A:N,6,0),"")</f>
        <v/>
      </c>
      <c r="M24" s="109" t="str">
        <f>iferror(VLOOKUP(B24,'Номенклатура'!A:N,7,0),"")</f>
        <v/>
      </c>
      <c r="N24" s="188" t="str">
        <f>IFERROR(if((VLOOKUP(B24,'Номенклатура'!A:N,8,0)/$M$4)=0,"",(VLOOKUP(B24,'Номенклатура'!A:N,8,0)/$M$4)),"")</f>
        <v/>
      </c>
      <c r="O24" s="109" t="str">
        <f>IFERROR(VLOOKUP(B24,'Номенклатура'!A:N,9,0),"")</f>
        <v/>
      </c>
      <c r="P24" s="109" t="str">
        <f>IFERROR(VLOOKUP(B24,'Номенклатура'!A:N,10,0),"")</f>
        <v/>
      </c>
      <c r="Q24" s="164" t="str">
        <f>IFERROR(if((VLOOKUP(B24,'Номенклатура'!A:N,11,0)/$M$4)=0,"",(VLOOKUP(B24,'Номенклатура'!A:N,11,0)/$M$4)),"")</f>
        <v/>
      </c>
      <c r="R24" s="187" t="str">
        <f>IFERROR(VLOOKUP(B24,'Номенклатура'!A:N,12,0),"")</f>
        <v/>
      </c>
      <c r="S24" s="109" t="str">
        <f>IFERROR(VLOOKUP(B24,'Номенклатура'!A:N,13,0),"")</f>
        <v/>
      </c>
      <c r="T24" s="188" t="str">
        <f>IFERROR(if((VLOOKUP(B24,'Номенклатура'!A:N,14,0)/$M$4)=0,"",(VLOOKUP(B24,'Номенклатура'!A:N,14,0)/$M$4)),"")</f>
        <v/>
      </c>
      <c r="U24" s="102"/>
      <c r="V24" s="178" t="b">
        <f>AND(E24&lt;&gt;"8543.70.4500",((VLOOKUP(B24,'Номенклатура'!A:F,4,0))/$M$4)&lt;&gt;0)</f>
        <v>0</v>
      </c>
      <c r="Y24" s="203" t="s">
        <v>62</v>
      </c>
      <c r="Z24" s="195" t="s">
        <v>63</v>
      </c>
      <c r="AA24" s="194">
        <v>10.0</v>
      </c>
    </row>
    <row r="25">
      <c r="A25" s="192">
        <v>13.0</v>
      </c>
      <c r="B25" s="193" t="s">
        <v>64</v>
      </c>
      <c r="C25" s="168" t="str">
        <f>if(B25="","", VLOOKUP(B25,'Номенклатура'!A$3:B944,2,false))</f>
        <v>Resolver size 11, TR-0,95 Transmitter 5KHz; sorted into -1,-4,-8,-10</v>
      </c>
      <c r="D25" s="112">
        <v>150.0</v>
      </c>
      <c r="E25" s="169" t="str">
        <f t="array" ref="E25">_xlfn.XLOOKUP(B25, 'Данни'!A:A, 'Данни'!D:D, "", 0)</f>
        <v>8543.70.4500</v>
      </c>
      <c r="F25" s="169">
        <f t="array" ref="F25">_xlfn.XLOOKUP(B25, 'Данни'!A:A, 'Данни'!C:C, "", 0)</f>
        <v>76</v>
      </c>
      <c r="G25" s="170">
        <f t="shared" si="1"/>
        <v>11400</v>
      </c>
      <c r="H25" s="171" t="str">
        <f>IfError(IF(V25=TRUE,(VLOOKUP(B25,'Номенклатура'!A:F,4,0)/$M$4),""),"")</f>
        <v/>
      </c>
      <c r="I25" s="171" t="str">
        <f t="shared" si="2"/>
        <v/>
      </c>
      <c r="J25" s="172" t="str">
        <f t="shared" si="3"/>
        <v/>
      </c>
      <c r="K25" s="173" t="str">
        <f>iferror(VLOOKUP(B25,'Номенклатура'!A:F,5,0),"")</f>
        <v/>
      </c>
      <c r="L25" s="174" t="str">
        <f>iferror(VLOOKUP(B25,'Номенклатура'!A:N,6,0),"")</f>
        <v/>
      </c>
      <c r="M25" s="97" t="str">
        <f>iferror(VLOOKUP(B25,'Номенклатура'!A:N,7,0),"")</f>
        <v/>
      </c>
      <c r="N25" s="175" t="str">
        <f>IFERROR(if((VLOOKUP(B25,'Номенклатура'!A:N,8,0)/$M$4)=0,"",(VLOOKUP(B25,'Номенклатура'!A:N,8,0)/$M$4)),"")</f>
        <v/>
      </c>
      <c r="O25" s="97" t="str">
        <f>IFERROR(VLOOKUP(B25,'Номенклатура'!A:N,9,0),"")</f>
        <v/>
      </c>
      <c r="P25" s="97" t="str">
        <f>IFERROR(VLOOKUP(B25,'Номенклатура'!A:N,10,0),"")</f>
        <v/>
      </c>
      <c r="Q25" s="176" t="str">
        <f>IFERROR(if((VLOOKUP(B25,'Номенклатура'!A:N,11,0)/$M$4)=0,"",(VLOOKUP(B25,'Номенклатура'!A:N,11,0)/$M$4)),"")</f>
        <v/>
      </c>
      <c r="R25" s="174" t="str">
        <f>IFERROR(VLOOKUP(B25,'Номенклатура'!A:N,12,0),"")</f>
        <v/>
      </c>
      <c r="S25" s="97" t="str">
        <f>IFERROR(VLOOKUP(B25,'Номенклатура'!A:N,13,0),"")</f>
        <v/>
      </c>
      <c r="T25" s="175" t="str">
        <f>IFERROR(if((VLOOKUP(B25,'Номенклатура'!A:N,14,0)/$M$4)=0,"",(VLOOKUP(B25,'Номенклатура'!A:N,14,0)/$M$4)),"")</f>
        <v/>
      </c>
      <c r="U25" s="91"/>
      <c r="V25" s="178" t="b">
        <f>AND(E25&lt;&gt;"8543.70.4500",((VLOOKUP(B25,'Номенклатура'!A:F,4,0))/$M$4)&lt;&gt;0)</f>
        <v>0</v>
      </c>
      <c r="Y25" s="9"/>
      <c r="Z25" s="9"/>
      <c r="AA25" s="9"/>
    </row>
    <row r="26">
      <c r="A26" s="179">
        <v>14.0</v>
      </c>
      <c r="B26" s="99" t="s">
        <v>65</v>
      </c>
      <c r="C26" s="181" t="str">
        <f>if(B26="","", VLOOKUP(B26,'Номенклатура'!A$3:B944,2,false))</f>
        <v>Res. Size 11 Transmitter, T.R.=0.95, Freq.=2.5 КHz, Acc =&lt; 7 </v>
      </c>
      <c r="D26" s="101">
        <v>30.0</v>
      </c>
      <c r="E26" s="183" t="str">
        <f t="array" ref="E26">_xlfn.XLOOKUP(B26, 'Данни'!A:A, 'Данни'!D:D, "", 0)</f>
        <v>8543.70.4500</v>
      </c>
      <c r="F26" s="183">
        <f t="array" ref="F26">_xlfn.XLOOKUP(B26, 'Данни'!A:A, 'Данни'!C:C, "", 0)</f>
        <v>76</v>
      </c>
      <c r="G26" s="184">
        <f t="shared" si="1"/>
        <v>2280</v>
      </c>
      <c r="H26" s="160" t="str">
        <f>IfError(IF(V26=TRUE,(VLOOKUP(B26,'Номенклатура'!A:F,4,0)/$M$4),""),"")</f>
        <v/>
      </c>
      <c r="I26" s="160" t="str">
        <f t="shared" si="2"/>
        <v/>
      </c>
      <c r="J26" s="185" t="str">
        <f t="shared" si="3"/>
        <v/>
      </c>
      <c r="K26" s="186" t="str">
        <f>iferror(VLOOKUP(B26,'Номенклатура'!A:F,5,0),"")</f>
        <v/>
      </c>
      <c r="L26" s="187" t="str">
        <f>iferror(VLOOKUP(B26,'Номенклатура'!A:N,6,0),"")</f>
        <v/>
      </c>
      <c r="M26" s="109" t="str">
        <f>iferror(VLOOKUP(B26,'Номенклатура'!A:N,7,0),"")</f>
        <v/>
      </c>
      <c r="N26" s="188" t="str">
        <f>IFERROR(if((VLOOKUP(B26,'Номенклатура'!A:N,8,0)/$M$4)=0,"",(VLOOKUP(B26,'Номенклатура'!A:N,8,0)/$M$4)),"")</f>
        <v/>
      </c>
      <c r="O26" s="109" t="str">
        <f>IFERROR(VLOOKUP(B26,'Номенклатура'!A:N,9,0),"")</f>
        <v/>
      </c>
      <c r="P26" s="109" t="str">
        <f>IFERROR(VLOOKUP(B26,'Номенклатура'!A:N,10,0),"")</f>
        <v/>
      </c>
      <c r="Q26" s="164" t="str">
        <f>IFERROR(if((VLOOKUP(B26,'Номенклатура'!A:N,11,0)/$M$4)=0,"",(VLOOKUP(B26,'Номенклатура'!A:N,11,0)/$M$4)),"")</f>
        <v/>
      </c>
      <c r="R26" s="187" t="str">
        <f>IFERROR(VLOOKUP(B26,'Номенклатура'!A:N,12,0),"")</f>
        <v/>
      </c>
      <c r="S26" s="109" t="str">
        <f>IFERROR(VLOOKUP(B26,'Номенклатура'!A:N,13,0),"")</f>
        <v/>
      </c>
      <c r="T26" s="188" t="str">
        <f>IFERROR(if((VLOOKUP(B26,'Номенклатура'!A:N,14,0)/$M$4)=0,"",(VLOOKUP(B26,'Номенклатура'!A:N,14,0)/$M$4)),"")</f>
        <v/>
      </c>
      <c r="U26" s="102"/>
      <c r="V26" s="178" t="b">
        <f>AND(E26&lt;&gt;"8543.70.4500",((VLOOKUP(B26,'Номенклатура'!A:F,4,0))/$M$4)&lt;&gt;0)</f>
        <v>0</v>
      </c>
      <c r="Y26" s="9"/>
      <c r="Z26" s="9"/>
      <c r="AA26" s="9"/>
    </row>
    <row r="27">
      <c r="A27" s="192">
        <v>15.0</v>
      </c>
      <c r="B27" s="111" t="s">
        <v>66</v>
      </c>
      <c r="C27" s="168" t="str">
        <f>if(B27="","", VLOOKUP(B27,'Номенклатура'!A$3:B944,2,false))</f>
        <v>DC25FS Multiturn Body 3/8" shaft Flange Multiturn Body 3/8" shaft MS23 side conn</v>
      </c>
      <c r="D27" s="112">
        <v>15.0</v>
      </c>
      <c r="E27" s="169" t="str">
        <f t="array" ref="E27">_xlfn.XLOOKUP(B27, 'Данни'!A:A, 'Данни'!D:D, "", 0)</f>
        <v>8543.70.4500</v>
      </c>
      <c r="F27" s="169">
        <f t="array" ref="F27">_xlfn.XLOOKUP(B27, 'Данни'!A:A, 'Данни'!C:C, "", 0)</f>
        <v>91</v>
      </c>
      <c r="G27" s="170">
        <f t="shared" si="1"/>
        <v>1365</v>
      </c>
      <c r="H27" s="171" t="str">
        <f>IfError(IF(V27=TRUE,(VLOOKUP(B27,'Номенклатура'!A:F,4,0)/$M$4),""),"")</f>
        <v/>
      </c>
      <c r="I27" s="171" t="str">
        <f t="shared" si="2"/>
        <v/>
      </c>
      <c r="J27" s="172" t="str">
        <f t="shared" si="3"/>
        <v/>
      </c>
      <c r="K27" s="173" t="str">
        <f>iferror(VLOOKUP(B27,'Номенклатура'!A:F,5,0),"")</f>
        <v/>
      </c>
      <c r="L27" s="174" t="str">
        <f>iferror(VLOOKUP(B27,'Номенклатура'!A:N,6,0),"")</f>
        <v>Cast AL Bulgaria (pc.)</v>
      </c>
      <c r="M27" s="97">
        <f>iferror(VLOOKUP(B27,'Номенклатура'!A:N,7,0),"")</f>
        <v>0.225</v>
      </c>
      <c r="N27" s="175">
        <f>IFERROR(if((VLOOKUP(B27,'Номенклатура'!A:N,8,0)/$M$4)=0,"",(VLOOKUP(B27,'Номенклатура'!A:N,8,0)/$M$4)),"")</f>
        <v>1.192208855</v>
      </c>
      <c r="O27" s="97" t="str">
        <f>IFERROR(VLOOKUP(B27,'Номенклатура'!A:N,9,0),"")</f>
        <v>AL USA (pc.)</v>
      </c>
      <c r="P27" s="97">
        <f>IFERROR(VLOOKUP(B27,'Номенклатура'!A:N,10,0),"")</f>
        <v>0.07</v>
      </c>
      <c r="Q27" s="176">
        <f>IFERROR(if((VLOOKUP(B27,'Номенклатура'!A:N,11,0)/$M$4)=0,"",(VLOOKUP(B27,'Номенклатура'!A:N,11,0)/$M$4)),"")</f>
        <v>0.1353103041</v>
      </c>
      <c r="R27" s="174" t="str">
        <f>IFERROR(VLOOKUP(B27,'Номенклатура'!A:N,12,0),"")</f>
        <v/>
      </c>
      <c r="S27" s="97" t="str">
        <f>IFERROR(VLOOKUP(B27,'Номенклатура'!A:N,13,0),"")</f>
        <v/>
      </c>
      <c r="T27" s="175" t="str">
        <f>IFERROR(if((VLOOKUP(B27,'Номенклатура'!A:N,14,0)/$M$4)=0,"",(VLOOKUP(B27,'Номенклатура'!A:N,14,0)/$M$4)),"")</f>
        <v/>
      </c>
      <c r="U27" s="91"/>
      <c r="V27" s="178" t="b">
        <f>AND(E27&lt;&gt;"8543.70.4500",((VLOOKUP(B27,'Номенклатура'!A:F,4,0))/$M$4)&lt;&gt;0)</f>
        <v>0</v>
      </c>
      <c r="Y27" s="9"/>
      <c r="Z27" s="9"/>
      <c r="AA27" s="9"/>
    </row>
    <row r="28" ht="19.5" customHeight="1">
      <c r="A28" s="179">
        <v>16.0</v>
      </c>
      <c r="B28" s="196" t="s">
        <v>67</v>
      </c>
      <c r="C28" s="181" t="str">
        <f>if(B28="","", VLOOKUP(B28,'Номенклатура'!A$3:B944,2,false))</f>
        <v>DC25FE multiturn body 3/8" shaft flange</v>
      </c>
      <c r="D28" s="101">
        <v>30.0</v>
      </c>
      <c r="E28" s="183" t="str">
        <f t="array" ref="E28">_xlfn.XLOOKUP(B28, 'Данни'!A:A, 'Данни'!D:D, "", 0)</f>
        <v>8543.90.8885</v>
      </c>
      <c r="F28" s="183">
        <f t="array" ref="F28">_xlfn.XLOOKUP(B28, 'Данни'!A:A, 'Данни'!C:C, "", 0)</f>
        <v>91</v>
      </c>
      <c r="G28" s="184">
        <f t="shared" si="1"/>
        <v>2730</v>
      </c>
      <c r="H28" s="160">
        <f>IfError(IF(V28=TRUE,(VLOOKUP(B28,'Номенклатура'!A:F,4,0)/$M$4),""),"")</f>
        <v>3.672026016</v>
      </c>
      <c r="I28" s="160">
        <f t="shared" si="2"/>
        <v>110.1607805</v>
      </c>
      <c r="J28" s="185">
        <f t="shared" si="3"/>
        <v>2619.83922</v>
      </c>
      <c r="K28" s="186" t="str">
        <f>iferror(VLOOKUP(B28,'Номенклатура'!A:F,5,0),"")</f>
        <v/>
      </c>
      <c r="L28" s="187" t="str">
        <f>iferror(VLOOKUP(B28,'Номенклатура'!A:N,6,0),"")</f>
        <v>Ф65 AL 2017 Italy</v>
      </c>
      <c r="M28" s="109">
        <f>iferror(VLOOKUP(B28,'Номенклатура'!A:N,7,0),"")</f>
        <v>0.24</v>
      </c>
      <c r="N28" s="188">
        <f>IFERROR(if((VLOOKUP(B28,'Номенклатура'!A:N,8,0)/$M$4)=0,"",(VLOOKUP(B28,'Номенклатура'!A:N,8,0)/$M$4)),"")</f>
        <v>3.536715712</v>
      </c>
      <c r="O28" s="109" t="str">
        <f>IFERROR(VLOOKUP(B28,'Номенклатура'!A:N,9,0),"")</f>
        <v>AL USA (pc.)</v>
      </c>
      <c r="P28" s="109">
        <f>IFERROR(VLOOKUP(B28,'Номенклатура'!A:N,10,0),"")</f>
        <v>0.07</v>
      </c>
      <c r="Q28" s="164">
        <f>IFERROR(if((VLOOKUP(B28,'Номенклатура'!A:N,11,0)/$M$4)=0,"",(VLOOKUP(B28,'Номенклатура'!A:N,11,0)/$M$4)),"")</f>
        <v>0.1353103041</v>
      </c>
      <c r="R28" s="187" t="str">
        <f>IFERROR(VLOOKUP(B28,'Номенклатура'!A:N,12,0),"")</f>
        <v/>
      </c>
      <c r="S28" s="109" t="str">
        <f>IFERROR(VLOOKUP(B28,'Номенклатура'!A:N,13,0),"")</f>
        <v/>
      </c>
      <c r="T28" s="188" t="str">
        <f>IFERROR(if((VLOOKUP(B28,'Номенклатура'!A:N,14,0)/$M$4)=0,"",(VLOOKUP(B28,'Номенклатура'!A:N,14,0)/$M$4)),"")</f>
        <v/>
      </c>
      <c r="U28" s="102"/>
      <c r="V28" s="178" t="b">
        <f>AND(E28&lt;&gt;"8543.70.4500",((VLOOKUP(B28,'Номенклатура'!A:F,4,0))/$M$4)&lt;&gt;0)</f>
        <v>1</v>
      </c>
      <c r="Y28" s="203" t="s">
        <v>68</v>
      </c>
      <c r="Z28" s="195" t="s">
        <v>69</v>
      </c>
      <c r="AA28" s="194">
        <v>5.0</v>
      </c>
    </row>
    <row r="29" ht="24.75" customHeight="1">
      <c r="A29" s="192">
        <v>17.0</v>
      </c>
      <c r="B29" s="111" t="s">
        <v>70</v>
      </c>
      <c r="C29" s="168" t="str">
        <f>if(B29="","", VLOOKUP(B29,'Номенклатура'!A$3:B944,2,false))</f>
        <v>DC25FE &lt;/= 9 min 5/8" shaft flange end conn</v>
      </c>
      <c r="D29" s="112">
        <v>20.0</v>
      </c>
      <c r="E29" s="169" t="str">
        <f t="array" ref="E29">_xlfn.XLOOKUP(B29, 'Данни'!A:A, 'Данни'!D:D, "", 0)</f>
        <v>8543.70.4500</v>
      </c>
      <c r="F29" s="169">
        <f t="array" ref="F29">_xlfn.XLOOKUP(B29, 'Данни'!A:A, 'Данни'!C:C, "", 0)</f>
        <v>91</v>
      </c>
      <c r="G29" s="170">
        <f t="shared" si="1"/>
        <v>1820</v>
      </c>
      <c r="H29" s="171" t="str">
        <f>IfError(IF(V29=TRUE,(VLOOKUP(B29,'Номенклатура'!A:F,4,0)/$M$4),""),"")</f>
        <v/>
      </c>
      <c r="I29" s="171" t="str">
        <f t="shared" si="2"/>
        <v/>
      </c>
      <c r="J29" s="172" t="str">
        <f t="shared" si="3"/>
        <v/>
      </c>
      <c r="K29" s="173" t="str">
        <f>iferror(VLOOKUP(B29,'Номенклатура'!A:F,5,0),"")</f>
        <v/>
      </c>
      <c r="L29" s="174" t="str">
        <f>iferror(VLOOKUP(B29,'Номенклатура'!A:N,6,0),"")</f>
        <v>Ф65 AL 2017 Italy</v>
      </c>
      <c r="M29" s="97">
        <f>iferror(VLOOKUP(B29,'Номенклатура'!A:N,7,0),"")</f>
        <v>0.252</v>
      </c>
      <c r="N29" s="175">
        <f>IFERROR(if((VLOOKUP(B29,'Номенклатура'!A:N,8,0)/$M$4)=0,"",(VLOOKUP(B29,'Номенклатура'!A:N,8,0)/$M$4)),"")</f>
        <v>3.713551498</v>
      </c>
      <c r="O29" s="97" t="str">
        <f>IFERROR(VLOOKUP(B29,'Номенклатура'!A:N,9,0),"")</f>
        <v>AL USA</v>
      </c>
      <c r="P29" s="97">
        <f>IFERROR(VLOOKUP(B29,'Номенклатура'!A:N,10,0),"")</f>
        <v>0.195</v>
      </c>
      <c r="Q29" s="176">
        <f>IFERROR(if((VLOOKUP(B29,'Номенклатура'!A:N,11,0)/$M$4)=0,"",(VLOOKUP(B29,'Номенклатура'!A:N,11,0)/$M$4)),"")</f>
        <v>0.376935847</v>
      </c>
      <c r="R29" s="174" t="str">
        <f>IFERROR(VLOOKUP(B29,'Номенклатура'!A:N,12,0),"")</f>
        <v/>
      </c>
      <c r="S29" s="97" t="str">
        <f>IFERROR(VLOOKUP(B29,'Номенклатура'!A:N,13,0),"")</f>
        <v/>
      </c>
      <c r="T29" s="175" t="str">
        <f>IFERROR(if((VLOOKUP(B29,'Номенклатура'!A:N,14,0)/$M$4)=0,"",(VLOOKUP(B29,'Номенклатура'!A:N,14,0)/$M$4)),"")</f>
        <v/>
      </c>
      <c r="U29" s="91"/>
      <c r="V29" s="178" t="b">
        <f>AND(E29&lt;&gt;"8543.70.4500",((VLOOKUP(B29,'Номенклатура'!A:F,4,0))/$M$4)&lt;&gt;0)</f>
        <v>0</v>
      </c>
      <c r="Y29" s="203" t="s">
        <v>52</v>
      </c>
      <c r="Z29" s="195" t="s">
        <v>71</v>
      </c>
      <c r="AA29" s="194">
        <v>125.0</v>
      </c>
    </row>
    <row r="30" ht="15.0" customHeight="1">
      <c r="A30" s="179">
        <v>18.0</v>
      </c>
      <c r="B30" s="99" t="s">
        <v>72</v>
      </c>
      <c r="C30" s="181" t="str">
        <f>if(B30="","", VLOOKUP(B30,'Номенклатура'!A$3:B944,2,false))</f>
        <v>Size 25 resolver 3/8" shaft Flange mount End connector 0.95 TR @ 5000 Hz</v>
      </c>
      <c r="D30" s="101">
        <v>20.0</v>
      </c>
      <c r="E30" s="183" t="str">
        <f t="array" ref="E30">_xlfn.XLOOKUP(B30, 'Данни'!A:A, 'Данни'!D:D, "", 0)</f>
        <v>8543.70.4500</v>
      </c>
      <c r="F30" s="183">
        <f t="array" ref="F30">_xlfn.XLOOKUP(B30, 'Данни'!A:A, 'Данни'!C:C, "", 0)</f>
        <v>91</v>
      </c>
      <c r="G30" s="184">
        <f t="shared" si="1"/>
        <v>1820</v>
      </c>
      <c r="H30" s="160" t="str">
        <f>IfError(IF(V30=TRUE,(VLOOKUP(B30,'Номенклатура'!A:F,4,0)/$M$4),""),"")</f>
        <v/>
      </c>
      <c r="I30" s="160" t="str">
        <f t="shared" si="2"/>
        <v/>
      </c>
      <c r="J30" s="185" t="str">
        <f t="shared" si="3"/>
        <v/>
      </c>
      <c r="K30" s="186" t="str">
        <f>iferror(VLOOKUP(B30,'Номенклатура'!A:F,5,0),"")</f>
        <v/>
      </c>
      <c r="L30" s="187" t="str">
        <f>iferror(VLOOKUP(B30,'Номенклатура'!A:N,6,0),"")</f>
        <v>Ф65 AL 2017 Italy</v>
      </c>
      <c r="M30" s="109">
        <f>iferror(VLOOKUP(B30,'Номенклатура'!A:N,7,0),"")</f>
        <v>0.311</v>
      </c>
      <c r="N30" s="188">
        <f>IFERROR(if((VLOOKUP(B30,'Номенклатура'!A:N,8,0)/$M$4)=0,"",(VLOOKUP(B30,'Номенклатура'!A:N,8,0)/$M$4)),"")</f>
        <v>4.58299411</v>
      </c>
      <c r="O30" s="109" t="str">
        <f>IFERROR(VLOOKUP(B30,'Номенклатура'!A:N,9,0),"")</f>
        <v>AL USA (pc.)</v>
      </c>
      <c r="P30" s="109">
        <f>IFERROR(VLOOKUP(B30,'Номенклатура'!A:N,10,0),"")</f>
        <v>0.07</v>
      </c>
      <c r="Q30" s="164">
        <f>IFERROR(if((VLOOKUP(B30,'Номенклатура'!A:N,11,0)/$M$4)=0,"",(VLOOKUP(B30,'Номенклатура'!A:N,11,0)/$M$4)),"")</f>
        <v>0.1353103041</v>
      </c>
      <c r="R30" s="187" t="str">
        <f>IFERROR(VLOOKUP(B30,'Номенклатура'!A:N,12,0),"")</f>
        <v/>
      </c>
      <c r="S30" s="109" t="str">
        <f>IFERROR(VLOOKUP(B30,'Номенклатура'!A:N,13,0),"")</f>
        <v/>
      </c>
      <c r="T30" s="188" t="str">
        <f>IFERROR(if((VLOOKUP(B30,'Номенклатура'!A:N,14,0)/$M$4)=0,"",(VLOOKUP(B30,'Номенклатура'!A:N,14,0)/$M$4)),"")</f>
        <v/>
      </c>
      <c r="U30" s="102"/>
      <c r="V30" s="178" t="b">
        <f>AND(E30&lt;&gt;"8543.70.4500",((VLOOKUP(B30,'Номенклатура'!A:F,4,0))/$M$4)&lt;&gt;0)</f>
        <v>0</v>
      </c>
      <c r="Y30" s="9"/>
      <c r="Z30" s="9"/>
      <c r="AA30" s="9"/>
    </row>
    <row r="31">
      <c r="A31" s="197" t="s">
        <v>73</v>
      </c>
      <c r="B31" s="111" t="s">
        <v>74</v>
      </c>
      <c r="C31" s="168" t="str">
        <f>if(B31="","", VLOOKUP(B31,'Номенклатура'!A$3:B944,2,false))</f>
        <v>Transducer 1 Turn Flange Mntaligned at zero degrees With 3mm Key Way, 3/8"shaft</v>
      </c>
      <c r="D31" s="112">
        <v>10.0</v>
      </c>
      <c r="E31" s="169" t="str">
        <f t="array" ref="E31">_xlfn.XLOOKUP(B31, 'Данни'!A:A, 'Данни'!D:D, "", 0)</f>
        <v>8543.70.4500</v>
      </c>
      <c r="F31" s="169">
        <f t="array" ref="F31">_xlfn.XLOOKUP(B31, 'Данни'!A:A, 'Данни'!C:C, "", 0)</f>
        <v>91</v>
      </c>
      <c r="G31" s="170">
        <f t="shared" si="1"/>
        <v>910</v>
      </c>
      <c r="H31" s="171" t="str">
        <f>IfError(IF(V31=TRUE,(VLOOKUP(B31,'Номенклатура'!A:F,4,0)/$M$4),""),"")</f>
        <v/>
      </c>
      <c r="I31" s="171" t="str">
        <f t="shared" si="2"/>
        <v/>
      </c>
      <c r="J31" s="172" t="str">
        <f t="shared" si="3"/>
        <v/>
      </c>
      <c r="K31" s="173" t="str">
        <f>iferror(VLOOKUP(B31,'Номенклатура'!A:F,5,0),"")</f>
        <v/>
      </c>
      <c r="L31" s="174" t="str">
        <f>iferror(VLOOKUP(B31,'Номенклатура'!A:N,6,0),"")</f>
        <v>Ф65 AL 2017 Italy</v>
      </c>
      <c r="M31" s="97">
        <f>iferror(VLOOKUP(B31,'Номенклатура'!A:N,7,0),"")</f>
        <v>0.311</v>
      </c>
      <c r="N31" s="175">
        <f>IFERROR(if((VLOOKUP(B31,'Номенклатура'!A:N,8,0)/$M$4)=0,"",(VLOOKUP(B31,'Номенклатура'!A:N,8,0)/$M$4)),"")</f>
        <v>4.58299411</v>
      </c>
      <c r="O31" s="97" t="str">
        <f>IFERROR(VLOOKUP(B31,'Номенклатура'!A:N,9,0),"")</f>
        <v>AL USA (pc.)</v>
      </c>
      <c r="P31" s="97">
        <f>IFERROR(VLOOKUP(B31,'Номенклатура'!A:N,10,0),"")</f>
        <v>0.07</v>
      </c>
      <c r="Q31" s="176">
        <f>IFERROR(if((VLOOKUP(B31,'Номенклатура'!A:N,11,0)/$M$4)=0,"",(VLOOKUP(B31,'Номенклатура'!A:N,11,0)/$M$4)),"")</f>
        <v>0.1353103041</v>
      </c>
      <c r="R31" s="174" t="str">
        <f>IFERROR(VLOOKUP(B31,'Номенклатура'!A:N,12,0),"")</f>
        <v/>
      </c>
      <c r="S31" s="97" t="str">
        <f>IFERROR(VLOOKUP(B31,'Номенклатура'!A:N,13,0),"")</f>
        <v/>
      </c>
      <c r="T31" s="175" t="str">
        <f>IFERROR(if((VLOOKUP(B31,'Номенклатура'!A:N,14,0)/$M$4)=0,"",(VLOOKUP(B31,'Номенклатура'!A:N,14,0)/$M$4)),"")</f>
        <v/>
      </c>
      <c r="U31" s="91"/>
      <c r="V31" s="178" t="b">
        <f>AND(E31&lt;&gt;"8543.70.4500",((VLOOKUP(B31,'Номенклатура'!A:F,4,0))/$M$4)&lt;&gt;0)</f>
        <v>0</v>
      </c>
      <c r="Y31" s="9"/>
      <c r="Z31" s="9"/>
      <c r="AA31" s="9"/>
    </row>
    <row r="32">
      <c r="A32" s="198" t="s">
        <v>76</v>
      </c>
      <c r="B32" s="99" t="s">
        <v>77</v>
      </c>
      <c r="C32" s="181" t="str">
        <f>if(B32="","", VLOOKUP(B32,'Номенклатура'!A$3:B944,2,false))</f>
        <v>Transducer 1 Turn C&amp;A Flange servo mount with 10mm shaft</v>
      </c>
      <c r="D32" s="101">
        <v>5.0</v>
      </c>
      <c r="E32" s="183" t="str">
        <f t="array" ref="E32">_xlfn.XLOOKUP(B32, 'Данни'!A:A, 'Данни'!D:D, "", 0)</f>
        <v>8543.70.4500</v>
      </c>
      <c r="F32" s="183">
        <f t="array" ref="F32">_xlfn.XLOOKUP(B32, 'Данни'!A:A, 'Данни'!C:C, "", 0)</f>
        <v>91</v>
      </c>
      <c r="G32" s="184">
        <f t="shared" si="1"/>
        <v>455</v>
      </c>
      <c r="H32" s="160" t="str">
        <f>IfError(IF(V32=TRUE,(VLOOKUP(B32,'Номенклатура'!A:F,4,0)/$M$4),""),"")</f>
        <v/>
      </c>
      <c r="I32" s="160" t="str">
        <f t="shared" si="2"/>
        <v/>
      </c>
      <c r="J32" s="185" t="str">
        <f t="shared" si="3"/>
        <v/>
      </c>
      <c r="K32" s="186" t="str">
        <f>iferror(VLOOKUP(B32,'Номенклатура'!A:F,5,0),"")</f>
        <v/>
      </c>
      <c r="L32" s="187" t="str">
        <f>iferror(VLOOKUP(B32,'Номенклатура'!A:N,6,0),"")</f>
        <v>Ф65 AL 2017 Italy</v>
      </c>
      <c r="M32" s="109">
        <f>iferror(VLOOKUP(B32,'Номенклатура'!A:N,7,0),"")</f>
        <v>0.311</v>
      </c>
      <c r="N32" s="188">
        <f>IFERROR(if((VLOOKUP(B32,'Номенклатура'!A:N,8,0)/$M$4)=0,"",(VLOOKUP(B32,'Номенклатура'!A:N,8,0)/$M$4)),"")</f>
        <v>4.58299411</v>
      </c>
      <c r="O32" s="109" t="str">
        <f>IFERROR(VLOOKUP(B32,'Номенклатура'!A:N,9,0),"")</f>
        <v>Ф65 AL 2017 Italy</v>
      </c>
      <c r="P32" s="109">
        <f>IFERROR(VLOOKUP(B32,'Номенклатура'!A:N,10,0),"")</f>
        <v>0.053</v>
      </c>
      <c r="Q32" s="164">
        <f>IFERROR(if((VLOOKUP(B32,'Номенклатура'!A:N,11,0)/$M$4)=0,"",(VLOOKUP(B32,'Номенклатура'!A:N,11,0)/$M$4)),"")</f>
        <v>0.7810247197</v>
      </c>
      <c r="R32" s="187" t="str">
        <f>IFERROR(VLOOKUP(B32,'Номенклатура'!A:N,12,0),"")</f>
        <v/>
      </c>
      <c r="S32" s="109" t="str">
        <f>IFERROR(VLOOKUP(B32,'Номенклатура'!A:N,13,0),"")</f>
        <v/>
      </c>
      <c r="T32" s="188" t="str">
        <f>IFERROR(if((VLOOKUP(B32,'Номенклатура'!A:N,14,0)/$M$4)=0,"",(VLOOKUP(B32,'Номенклатура'!A:N,14,0)/$M$4)),"")</f>
        <v/>
      </c>
      <c r="U32" s="102"/>
      <c r="V32" s="178" t="b">
        <f>AND(E32&lt;&gt;"8543.70.4500",((VLOOKUP(B32,'Номенклатура'!A:F,4,0))/$M$4)&lt;&gt;0)</f>
        <v>0</v>
      </c>
      <c r="Y32" s="9"/>
      <c r="Z32" s="9"/>
      <c r="AA32" s="9"/>
    </row>
    <row r="33">
      <c r="A33" s="192">
        <v>21.0</v>
      </c>
      <c r="B33" s="111" t="s">
        <v>78</v>
      </c>
      <c r="C33" s="168" t="str">
        <f>if(B33="","", VLOOKUP(B33,'Номенклатура'!A$3:B944,2,false))</f>
        <v>H25 Flange mount, Viton Seal, End Connector w/10mm shaft 0.95 TR @ 5000Hz</v>
      </c>
      <c r="D33" s="112">
        <v>5.0</v>
      </c>
      <c r="E33" s="169" t="str">
        <f t="array" ref="E33">_xlfn.XLOOKUP(B33, 'Данни'!A:A, 'Данни'!D:D, "", 0)</f>
        <v>8543.70.4500</v>
      </c>
      <c r="F33" s="169">
        <f t="array" ref="F33">_xlfn.XLOOKUP(B33, 'Данни'!A:A, 'Данни'!C:C, "", 0)</f>
        <v>91</v>
      </c>
      <c r="G33" s="170">
        <f t="shared" si="1"/>
        <v>455</v>
      </c>
      <c r="H33" s="171" t="str">
        <f>IfError(IF(V33=TRUE,(VLOOKUP(B33,'Номенклатура'!A:F,4,0)/$M$4),""),"")</f>
        <v/>
      </c>
      <c r="I33" s="171" t="str">
        <f t="shared" si="2"/>
        <v/>
      </c>
      <c r="J33" s="172" t="str">
        <f t="shared" si="3"/>
        <v/>
      </c>
      <c r="K33" s="173" t="str">
        <f>iferror(VLOOKUP(B33,'Номенклатура'!A:F,5,0),"")</f>
        <v/>
      </c>
      <c r="L33" s="174" t="str">
        <f>iferror(VLOOKUP(B33,'Номенклатура'!A:N,6,0),"")</f>
        <v>Ф65 AL 2017 Italy</v>
      </c>
      <c r="M33" s="97">
        <f>iferror(VLOOKUP(B33,'Номенклатура'!A:N,7,0),"")</f>
        <v>0.311</v>
      </c>
      <c r="N33" s="175">
        <f>IFERROR(if((VLOOKUP(B33,'Номенклатура'!A:N,8,0)/$M$4)=0,"",(VLOOKUP(B33,'Номенклатура'!A:N,8,0)/$M$4)),"")</f>
        <v>4.58299411</v>
      </c>
      <c r="O33" s="97" t="str">
        <f>IFERROR(VLOOKUP(B33,'Номенклатура'!A:N,9,0),"")</f>
        <v>AL USA (pc.)</v>
      </c>
      <c r="P33" s="97">
        <f>IFERROR(VLOOKUP(B33,'Номенклатура'!A:N,10,0),"")</f>
        <v>0.07</v>
      </c>
      <c r="Q33" s="176">
        <f>IFERROR(if((VLOOKUP(B33,'Номенклатура'!A:N,11,0)/$M$4)=0,"",(VLOOKUP(B33,'Номенклатура'!A:N,11,0)/$M$4)),"")</f>
        <v>0.1353103041</v>
      </c>
      <c r="R33" s="174" t="str">
        <f>IFERROR(VLOOKUP(B33,'Номенклатура'!A:N,12,0),"")</f>
        <v/>
      </c>
      <c r="S33" s="97" t="str">
        <f>IFERROR(VLOOKUP(B33,'Номенклатура'!A:N,13,0),"")</f>
        <v/>
      </c>
      <c r="T33" s="175" t="str">
        <f>IFERROR(if((VLOOKUP(B33,'Номенклатура'!A:N,14,0)/$M$4)=0,"",(VLOOKUP(B33,'Номенклатура'!A:N,14,0)/$M$4)),"")</f>
        <v/>
      </c>
      <c r="U33" s="91"/>
      <c r="V33" s="178" t="b">
        <f>AND(E33&lt;&gt;"8543.70.4500",((VLOOKUP(B33,'Номенклатура'!A:F,4,0))/$M$4)&lt;&gt;0)</f>
        <v>0</v>
      </c>
      <c r="Y33" s="203"/>
      <c r="Z33" s="195"/>
      <c r="AA33" s="194"/>
    </row>
    <row r="34">
      <c r="A34" s="179">
        <v>22.0</v>
      </c>
      <c r="B34" s="99" t="s">
        <v>79</v>
      </c>
      <c r="C34" s="181" t="str">
        <f>if(B34="","", VLOOKUP(B34,'Номенклатура'!A$3:B944,2,false))</f>
        <v>NR25 Ethernet rear cover Singleturn; Side conn.</v>
      </c>
      <c r="D34" s="101">
        <v>5.0</v>
      </c>
      <c r="E34" s="183" t="str">
        <f t="array" ref="E34">_xlfn.XLOOKUP(B34, 'Данни'!A:A, 'Данни'!D:D, "", 0)</f>
        <v>8543.90.8885</v>
      </c>
      <c r="F34" s="183">
        <f t="array" ref="F34">_xlfn.XLOOKUP(B34, 'Данни'!A:A, 'Данни'!C:C, "", 0)</f>
        <v>10</v>
      </c>
      <c r="G34" s="184">
        <f t="shared" si="1"/>
        <v>50</v>
      </c>
      <c r="H34" s="160" t="str">
        <f>IfError(IF(V34=TRUE,(VLOOKUP(B34,'Номенклатура'!A:F,4,0)/$M$4),""),"")</f>
        <v/>
      </c>
      <c r="I34" s="160" t="str">
        <f t="shared" si="2"/>
        <v/>
      </c>
      <c r="J34" s="185" t="str">
        <f t="shared" si="3"/>
        <v/>
      </c>
      <c r="K34" s="186" t="str">
        <f>iferror(VLOOKUP(B34,'Номенклатура'!A:F,5,0),"")</f>
        <v/>
      </c>
      <c r="L34" s="187" t="str">
        <f>iferror(VLOOKUP(B34,'Номенклатура'!A:N,6,0),"")</f>
        <v/>
      </c>
      <c r="M34" s="109" t="str">
        <f>iferror(VLOOKUP(B34,'Номенклатура'!A:N,7,0),"")</f>
        <v/>
      </c>
      <c r="N34" s="188" t="str">
        <f>IFERROR(if((VLOOKUP(B34,'Номенклатура'!A:N,8,0)/$M$4)=0,"",(VLOOKUP(B34,'Номенклатура'!A:N,8,0)/$M$4)),"")</f>
        <v/>
      </c>
      <c r="O34" s="109" t="str">
        <f>IFERROR(VLOOKUP(B34,'Номенклатура'!A:N,9,0),"")</f>
        <v/>
      </c>
      <c r="P34" s="109" t="str">
        <f>IFERROR(VLOOKUP(B34,'Номенклатура'!A:N,10,0),"")</f>
        <v/>
      </c>
      <c r="Q34" s="164" t="str">
        <f>IFERROR(if((VLOOKUP(B34,'Номенклатура'!A:N,11,0)/$M$4)=0,"",(VLOOKUP(B34,'Номенклатура'!A:N,11,0)/$M$4)),"")</f>
        <v/>
      </c>
      <c r="R34" s="187" t="str">
        <f>IFERROR(VLOOKUP(B34,'Номенклатура'!A:N,12,0),"")</f>
        <v>Ф28 S303</v>
      </c>
      <c r="S34" s="109">
        <f>IFERROR(VLOOKUP(B34,'Номенклатура'!A:N,13,0),"")</f>
        <v>0</v>
      </c>
      <c r="T34" s="188" t="str">
        <f>IFERROR(if((VLOOKUP(B34,'Номенклатура'!A:N,14,0)/$M$4)=0,"",(VLOOKUP(B34,'Номенклатура'!A:N,14,0)/$M$4)),"")</f>
        <v/>
      </c>
      <c r="U34" s="102"/>
      <c r="V34" s="178" t="b">
        <f>AND(E34&lt;&gt;"8543.70.4500",((VLOOKUP(B34,'Номенклатура'!A:F,4,0))/$M$4)&lt;&gt;0)</f>
        <v>0</v>
      </c>
      <c r="Y34" s="9"/>
      <c r="Z34" s="9"/>
      <c r="AA34" s="9"/>
    </row>
    <row r="35">
      <c r="A35" s="192">
        <v>23.0</v>
      </c>
      <c r="B35" s="111"/>
      <c r="C35" s="90" t="str">
        <f>if(B35="","", VLOOKUP(B35,'Номенклатура'!A$3:B944,2,false))</f>
        <v/>
      </c>
      <c r="D35" s="182"/>
      <c r="E35" s="169" t="str">
        <f t="array" ref="E35">_xlfn.XLOOKUP(B35, 'Данни'!A:A, 'Данни'!D:D, "", 0)</f>
        <v/>
      </c>
      <c r="F35" s="169" t="str">
        <f t="array" ref="F35">_xlfn.XLOOKUP(B35, 'Данни'!A:A, 'Данни'!C:C, "", 0)</f>
        <v/>
      </c>
      <c r="G35" s="170" t="str">
        <f t="shared" si="1"/>
        <v/>
      </c>
      <c r="H35" s="171" t="str">
        <f>IfError(IF(V35=TRUE,(VLOOKUP(B35,'Номенклатура'!A:F,4,0)/$M$4),""),"")</f>
        <v/>
      </c>
      <c r="I35" s="171" t="str">
        <f t="shared" si="2"/>
        <v/>
      </c>
      <c r="J35" s="172" t="str">
        <f t="shared" si="3"/>
        <v/>
      </c>
      <c r="K35" s="173" t="str">
        <f>iferror(VLOOKUP(B35,'Номенклатура'!A:F,5,0),"")</f>
        <v/>
      </c>
      <c r="L35" s="174" t="str">
        <f>iferror(VLOOKUP(B35,'Номенклатура'!A:N,6,0),"")</f>
        <v/>
      </c>
      <c r="M35" s="97" t="str">
        <f>iferror(VLOOKUP(B35,'Номенклатура'!A:N,7,0),"")</f>
        <v/>
      </c>
      <c r="N35" s="175" t="str">
        <f>IFERROR(if((VLOOKUP(B35,'Номенклатура'!A:N,8,0)/$M$4)=0,"",(VLOOKUP(B35,'Номенклатура'!A:N,8,0)/$M$4)),"")</f>
        <v/>
      </c>
      <c r="O35" s="97" t="str">
        <f>IFERROR(VLOOKUP(B35,'Номенклатура'!A:N,9,0),"")</f>
        <v/>
      </c>
      <c r="P35" s="97" t="str">
        <f>IFERROR(VLOOKUP(B35,'Номенклатура'!A:N,10,0),"")</f>
        <v/>
      </c>
      <c r="Q35" s="176" t="str">
        <f>IFERROR(if((VLOOKUP(B35,'Номенклатура'!A:N,11,0)/$M$4)=0,"",(VLOOKUP(B35,'Номенклатура'!A:N,11,0)/$M$4)),"")</f>
        <v/>
      </c>
      <c r="R35" s="174" t="str">
        <f>IFERROR(VLOOKUP(B35,'Номенклатура'!A:N,12,0),"")</f>
        <v/>
      </c>
      <c r="S35" s="97" t="str">
        <f>IFERROR(VLOOKUP(B35,'Номенклатура'!A:N,13,0),"")</f>
        <v/>
      </c>
      <c r="T35" s="175" t="str">
        <f>IFERROR(if((VLOOKUP(B35,'Номенклатура'!A:N,14,0)/$M$4)=0,"",(VLOOKUP(B35,'Номенклатура'!A:N,14,0)/$M$4)),"")</f>
        <v/>
      </c>
      <c r="U35" s="91"/>
      <c r="V35" s="178"/>
      <c r="Y35" s="9"/>
      <c r="Z35" s="9"/>
      <c r="AA35" s="9"/>
    </row>
    <row r="36">
      <c r="A36" s="192">
        <v>24.0</v>
      </c>
      <c r="B36" s="99"/>
      <c r="C36" s="100" t="str">
        <f>if(B36="","", VLOOKUP(B36,'Номенклатура'!A$3:B944,2,false))</f>
        <v/>
      </c>
      <c r="D36" s="101"/>
      <c r="E36" s="183" t="str">
        <f t="array" ref="E36">_xlfn.XLOOKUP(B36, 'Данни'!A:A, 'Данни'!D:D, "", 0)</f>
        <v/>
      </c>
      <c r="F36" s="183" t="str">
        <f t="array" ref="F36">_xlfn.XLOOKUP(B36, 'Данни'!A:A, 'Данни'!C:C, "", 0)</f>
        <v/>
      </c>
      <c r="G36" s="184" t="str">
        <f t="shared" si="1"/>
        <v/>
      </c>
      <c r="H36" s="160" t="str">
        <f>IfError(IF(V36=TRUE,(VLOOKUP(B36,'Номенклатура'!A:F,4,0)/$M$4),""),"")</f>
        <v/>
      </c>
      <c r="I36" s="160" t="str">
        <f t="shared" si="2"/>
        <v/>
      </c>
      <c r="J36" s="185" t="str">
        <f t="shared" si="3"/>
        <v/>
      </c>
      <c r="K36" s="186" t="str">
        <f>iferror(VLOOKUP(B36,'Номенклатура'!A:F,5,0),"")</f>
        <v/>
      </c>
      <c r="L36" s="187" t="str">
        <f>iferror(VLOOKUP(B36,'Номенклатура'!A:N,6,0),"")</f>
        <v/>
      </c>
      <c r="M36" s="109" t="str">
        <f>iferror(VLOOKUP(B36,'Номенклатура'!A:N,7,0),"")</f>
        <v/>
      </c>
      <c r="N36" s="188" t="str">
        <f>IFERROR(if((VLOOKUP(B36,'Номенклатура'!A:N,8,0)/$M$4)=0,"",(VLOOKUP(B36,'Номенклатура'!A:N,8,0)/$M$4)),"")</f>
        <v/>
      </c>
      <c r="O36" s="109" t="str">
        <f>IFERROR(VLOOKUP(B36,'Номенклатура'!A:N,9,0),"")</f>
        <v/>
      </c>
      <c r="P36" s="109" t="str">
        <f>IFERROR(VLOOKUP(B36,'Номенклатура'!A:N,10,0),"")</f>
        <v/>
      </c>
      <c r="Q36" s="164" t="str">
        <f>IFERROR(if((VLOOKUP(B36,'Номенклатура'!A:N,11,0)/$M$4)=0,"",(VLOOKUP(B36,'Номенклатура'!A:N,11,0)/$M$4)),"")</f>
        <v/>
      </c>
      <c r="R36" s="187" t="str">
        <f>IFERROR(VLOOKUP(B36,'Номенклатура'!A:N,12,0),"")</f>
        <v/>
      </c>
      <c r="S36" s="109" t="str">
        <f>IFERROR(VLOOKUP(B36,'Номенклатура'!A:N,13,0),"")</f>
        <v/>
      </c>
      <c r="T36" s="188" t="str">
        <f>IFERROR(if((VLOOKUP(B36,'Номенклатура'!A:N,14,0)/$M$4)=0,"",(VLOOKUP(B36,'Номенклатура'!A:N,14,0)/$M$4)),"")</f>
        <v/>
      </c>
      <c r="U36" s="102"/>
      <c r="V36" s="178"/>
      <c r="Y36" s="9"/>
      <c r="Z36" s="9"/>
      <c r="AA36" s="9"/>
    </row>
    <row r="37">
      <c r="A37" s="179">
        <v>25.0</v>
      </c>
      <c r="B37" s="111"/>
      <c r="C37" s="90" t="str">
        <f>if(B37="","", VLOOKUP(B37,'Номенклатура'!A$3:B944,2,false))</f>
        <v/>
      </c>
      <c r="D37" s="112"/>
      <c r="E37" s="169" t="str">
        <f t="array" ref="E37">_xlfn.XLOOKUP(B37, 'Данни'!A:A, 'Данни'!D:D, "", 0)</f>
        <v/>
      </c>
      <c r="F37" s="169" t="str">
        <f t="array" ref="F37">_xlfn.XLOOKUP(B37, 'Данни'!A:A, 'Данни'!C:C, "", 0)</f>
        <v/>
      </c>
      <c r="G37" s="170" t="str">
        <f t="shared" si="1"/>
        <v/>
      </c>
      <c r="H37" s="171" t="str">
        <f>IfError(IF(V37=TRUE,(VLOOKUP(B37,'Номенклатура'!A:F,4,0)/$M$4),""),"")</f>
        <v/>
      </c>
      <c r="I37" s="171" t="str">
        <f t="shared" si="2"/>
        <v/>
      </c>
      <c r="J37" s="172" t="str">
        <f t="shared" si="3"/>
        <v/>
      </c>
      <c r="K37" s="173" t="str">
        <f>iferror(VLOOKUP(B37,'Номенклатура'!A:F,5,0),"")</f>
        <v/>
      </c>
      <c r="L37" s="174" t="str">
        <f>iferror(VLOOKUP(B37,'Номенклатура'!A:N,6,0),"")</f>
        <v/>
      </c>
      <c r="M37" s="97" t="str">
        <f>iferror(VLOOKUP(B37,'Номенклатура'!A:N,7,0),"")</f>
        <v/>
      </c>
      <c r="N37" s="175" t="str">
        <f>IFERROR(if((VLOOKUP(B37,'Номенклатура'!A:N,8,0)/$M$4)=0,"",(VLOOKUP(B37,'Номенклатура'!A:N,8,0)/$M$4)),"")</f>
        <v/>
      </c>
      <c r="O37" s="97" t="str">
        <f>IFERROR(VLOOKUP(B37,'Номенклатура'!A:N,9,0),"")</f>
        <v/>
      </c>
      <c r="P37" s="97" t="str">
        <f>IFERROR(VLOOKUP(B37,'Номенклатура'!A:N,10,0),"")</f>
        <v/>
      </c>
      <c r="Q37" s="176" t="str">
        <f>IFERROR(if((VLOOKUP(B37,'Номенклатура'!A:N,11,0)/$M$4)=0,"",(VLOOKUP(B37,'Номенклатура'!A:N,11,0)/$M$4)),"")</f>
        <v/>
      </c>
      <c r="R37" s="174" t="str">
        <f>IFERROR(VLOOKUP(B37,'Номенклатура'!A:N,12,0),"")</f>
        <v/>
      </c>
      <c r="S37" s="97" t="str">
        <f>IFERROR(VLOOKUP(B37,'Номенклатура'!A:N,13,0),"")</f>
        <v/>
      </c>
      <c r="T37" s="175" t="str">
        <f>IFERROR(if((VLOOKUP(B37,'Номенклатура'!A:N,14,0)/$M$4)=0,"",(VLOOKUP(B37,'Номенклатура'!A:N,14,0)/$M$4)),"")</f>
        <v/>
      </c>
      <c r="U37" s="91"/>
      <c r="V37" s="178"/>
      <c r="Y37" s="9"/>
      <c r="Z37" s="9"/>
      <c r="AA37" s="9"/>
    </row>
    <row r="38">
      <c r="A38" s="179">
        <v>26.0</v>
      </c>
      <c r="B38" s="99"/>
      <c r="C38" s="100" t="str">
        <f>if(B38="","", VLOOKUP(B38,'Номенклатура'!A$3:B944,2,false))</f>
        <v/>
      </c>
      <c r="D38" s="189"/>
      <c r="E38" s="183" t="str">
        <f t="array" ref="E38">_xlfn.XLOOKUP(B38, 'Данни'!A:A, 'Данни'!D:D, "", 0)</f>
        <v/>
      </c>
      <c r="F38" s="183" t="str">
        <f t="array" ref="F38">_xlfn.XLOOKUP(B38, 'Данни'!A:A, 'Данни'!C:C, "", 0)</f>
        <v/>
      </c>
      <c r="G38" s="208">
        <v>1.0</v>
      </c>
      <c r="H38" s="160" t="str">
        <f>IfError(IF(V38=TRUE,(VLOOKUP(B38,'Номенклатура'!A:F,4,0)/$M$4),""),"")</f>
        <v/>
      </c>
      <c r="I38" s="160" t="str">
        <f t="shared" si="2"/>
        <v/>
      </c>
      <c r="J38" s="185" t="str">
        <f t="shared" si="3"/>
        <v/>
      </c>
      <c r="K38" s="186" t="str">
        <f>iferror(VLOOKUP(B38,'Номенклатура'!A:F,5,0),"")</f>
        <v/>
      </c>
      <c r="L38" s="187" t="str">
        <f>iferror(VLOOKUP(B38,'Номенклатура'!A:N,6,0),"")</f>
        <v/>
      </c>
      <c r="M38" s="109" t="str">
        <f>iferror(VLOOKUP(B38,'Номенклатура'!A:N,7,0),"")</f>
        <v/>
      </c>
      <c r="N38" s="188" t="str">
        <f>IFERROR(if((VLOOKUP(B38,'Номенклатура'!A:N,8,0)/$M$4)=0,"",(VLOOKUP(B38,'Номенклатура'!A:N,8,0)/$M$4)),"")</f>
        <v/>
      </c>
      <c r="O38" s="109" t="str">
        <f>IFERROR(VLOOKUP(#REF!,'Номенклатура'!A:N,9,0),"")</f>
        <v/>
      </c>
      <c r="P38" s="109" t="str">
        <f>IFERROR(VLOOKUP(B38,'Номенклатура'!A:N,10,0),"")</f>
        <v/>
      </c>
      <c r="Q38" s="164" t="str">
        <f>IFERROR(if((VLOOKUP(B38,'Номенклатура'!A:N,11,0)/$M$4)=0,"",(VLOOKUP(B38,'Номенклатура'!A:N,11,0)/$M$4)),"")</f>
        <v/>
      </c>
      <c r="R38" s="187" t="str">
        <f>IFERROR(VLOOKUP(B38,'Номенклатура'!A:N,12,0),"")</f>
        <v/>
      </c>
      <c r="S38" s="109" t="str">
        <f>IFERROR(VLOOKUP(B38,'Номенклатура'!A:N,13,0),"")</f>
        <v/>
      </c>
      <c r="T38" s="188" t="str">
        <f>IFERROR(if((VLOOKUP(#REF!,'Номенклатура'!A:N,14,0)/$M$4)=0,"",(VLOOKUP(#REF!,'Номенклатура'!A:N,14,0)/$M$4)),"")</f>
        <v/>
      </c>
      <c r="U38" s="102"/>
      <c r="V38" s="178" t="str">
        <f>AND(E38&lt;&gt;"8543.70.4500",((VLOOKUP(B38,'Номенклатура'!A:F,4,0))/$M$4)&lt;&gt;0)</f>
        <v>#N/A</v>
      </c>
      <c r="Y38" s="9"/>
      <c r="Z38" s="9"/>
      <c r="AA38" s="9"/>
    </row>
    <row r="39">
      <c r="A39" s="202">
        <v>27.0</v>
      </c>
      <c r="B39" s="111"/>
      <c r="C39" s="90" t="str">
        <f>if(B39="","", VLOOKUP(B39,'Номенклатура'!A$3:B944,2,false))</f>
        <v/>
      </c>
      <c r="D39" s="182"/>
      <c r="E39" s="169" t="str">
        <f t="array" ref="E39">_xlfn.XLOOKUP(B39, 'Данни'!A:A, 'Данни'!D:D, "", 0)</f>
        <v/>
      </c>
      <c r="F39" s="169" t="str">
        <f t="array" ref="F39">_xlfn.XLOOKUP(B39, 'Данни'!A:A, 'Данни'!C:C, "", 0)</f>
        <v/>
      </c>
      <c r="G39" s="170" t="str">
        <f t="shared" ref="G39:G57" si="4">If(D39="","",D39*F39)</f>
        <v/>
      </c>
      <c r="H39" s="171" t="str">
        <f>IfError(IF(V39=TRUE,(VLOOKUP(B39,'Номенклатура'!A:F,4,0)/$M$4),""),"")</f>
        <v/>
      </c>
      <c r="I39" s="171" t="str">
        <f t="shared" si="2"/>
        <v/>
      </c>
      <c r="J39" s="172" t="str">
        <f t="shared" si="3"/>
        <v/>
      </c>
      <c r="K39" s="173" t="str">
        <f>iferror(VLOOKUP(B39,'Номенклатура'!A:F,5,0),"")</f>
        <v/>
      </c>
      <c r="L39" s="174" t="str">
        <f>iferror(VLOOKUP(B39,'Номенклатура'!A:N,6,0),"")</f>
        <v/>
      </c>
      <c r="M39" s="97" t="str">
        <f>iferror(VLOOKUP(B39,'Номенклатура'!A:N,7,0),"")</f>
        <v/>
      </c>
      <c r="N39" s="175" t="str">
        <f>IFERROR(if((VLOOKUP(B39,'Номенклатура'!A:N,8,0)/$M$4)=0,"",(VLOOKUP(B39,'Номенклатура'!A:N,8,0)/$M$4)),"")</f>
        <v/>
      </c>
      <c r="O39" s="97" t="str">
        <f>IFERROR(VLOOKUP(B39,'Номенклатура'!A:N,9,0),"")</f>
        <v/>
      </c>
      <c r="P39" s="97" t="str">
        <f>IFERROR(VLOOKUP(B39,'Номенклатура'!A:N,10,0),"")</f>
        <v/>
      </c>
      <c r="Q39" s="176" t="str">
        <f>IFERROR(if((VLOOKUP(B39,'Номенклатура'!A:N,11,0)/$M$4)=0,"",(VLOOKUP(B39,'Номенклатура'!A:N,11,0)/$M$4)),"")</f>
        <v/>
      </c>
      <c r="R39" s="174" t="str">
        <f>IFERROR(VLOOKUP(B39,'Номенклатура'!A:N,12,0),"")</f>
        <v/>
      </c>
      <c r="S39" s="97" t="str">
        <f>IFERROR(VLOOKUP(B39,'Номенклатура'!A:N,13,0),"")</f>
        <v/>
      </c>
      <c r="T39" s="175" t="str">
        <f>IFERROR(if((VLOOKUP(B39,'Номенклатура'!A:N,14,0)/$M$4)=0,"",(VLOOKUP(B39,'Номенклатура'!A:N,14,0)/$M$4)),"")</f>
        <v/>
      </c>
      <c r="U39" s="91"/>
      <c r="V39" s="178" t="str">
        <f>AND(E39&lt;&gt;"8543.70.4500",((VLOOKUP(B39,'Номенклатура'!A:F,4,0))/$M$4)&lt;&gt;0)</f>
        <v>#N/A</v>
      </c>
      <c r="Y39" s="9"/>
      <c r="Z39" s="9"/>
      <c r="AA39" s="9"/>
    </row>
    <row r="40">
      <c r="A40" s="204" t="s">
        <v>83</v>
      </c>
      <c r="B40" s="99"/>
      <c r="C40" s="100" t="str">
        <f>if(B40="","", VLOOKUP(B40,'Номенклатура'!A$3:B944,2,false))</f>
        <v/>
      </c>
      <c r="D40" s="189"/>
      <c r="E40" s="209" t="str">
        <f>if(B40="","", VLOOKUP(B40,'Данни'!A:D,4,false))</f>
        <v/>
      </c>
      <c r="F40" s="183" t="str">
        <f t="array" ref="F40">_xlfn.XLOOKUP(B40, 'Данни'!A:A, 'Данни'!C:C, "", 0)</f>
        <v/>
      </c>
      <c r="G40" s="184" t="str">
        <f t="shared" si="4"/>
        <v/>
      </c>
      <c r="H40" s="160" t="str">
        <f>IfError(IF(V40=TRUE,(VLOOKUP(B40,'Номенклатура'!A:F,4,0)/$M$4),""),"")</f>
        <v/>
      </c>
      <c r="I40" s="160" t="str">
        <f t="shared" si="2"/>
        <v/>
      </c>
      <c r="J40" s="185" t="str">
        <f t="shared" si="3"/>
        <v/>
      </c>
      <c r="K40" s="186" t="str">
        <f>iferror(VLOOKUP(B40,'Номенклатура'!A:F,5,0),"")</f>
        <v/>
      </c>
      <c r="L40" s="187" t="str">
        <f>iferror(VLOOKUP(B40,'Номенклатура'!A:N,6,0),"")</f>
        <v/>
      </c>
      <c r="M40" s="109" t="str">
        <f>iferror(VLOOKUP(B40,'Номенклатура'!A:N,7,0),"")</f>
        <v/>
      </c>
      <c r="N40" s="188" t="str">
        <f>IFERROR(if((VLOOKUP(B40,'Номенклатура'!A:N,8,0)/$M$4)=0,"",(VLOOKUP(B40,'Номенклатура'!A:N,8,0)/$M$4)),"")</f>
        <v/>
      </c>
      <c r="O40" s="109" t="str">
        <f>IFERROR(VLOOKUP(B40,'Номенклатура'!A:N,9,0),"")</f>
        <v/>
      </c>
      <c r="P40" s="109" t="str">
        <f>IFERROR(VLOOKUP(B40,'Номенклатура'!A:N,10,0),"")</f>
        <v/>
      </c>
      <c r="Q40" s="164" t="str">
        <f>IFERROR(if((VLOOKUP(B40,'Номенклатура'!A:N,11,0)/$M$4)=0,"",(VLOOKUP(B40,'Номенклатура'!A:N,11,0)/$M$4)),"")</f>
        <v/>
      </c>
      <c r="R40" s="187" t="str">
        <f>IFERROR(VLOOKUP(B40,'Номенклатура'!A:N,12,0),"")</f>
        <v/>
      </c>
      <c r="S40" s="109" t="str">
        <f>IFERROR(VLOOKUP(B40,'Номенклатура'!A:N,13,0),"")</f>
        <v/>
      </c>
      <c r="T40" s="188" t="str">
        <f>IFERROR(if((VLOOKUP(B40,'Номенклатура'!A:N,14,0)/$M$4)=0,"",(VLOOKUP(B40,'Номенклатура'!A:N,14,0)/$M$4)),"")</f>
        <v/>
      </c>
      <c r="U40" s="102"/>
      <c r="V40" s="178" t="str">
        <f>AND(E40&lt;&gt;"8543.70.4500",((VLOOKUP(B40,'Номенклатура'!A:F,4,0))/$M$4)&lt;&gt;0)</f>
        <v>#N/A</v>
      </c>
      <c r="Y40" s="203" t="s">
        <v>84</v>
      </c>
      <c r="Z40" s="203" t="s">
        <v>85</v>
      </c>
      <c r="AA40" s="194">
        <v>10.0</v>
      </c>
    </row>
    <row r="41">
      <c r="A41" s="202">
        <v>29.0</v>
      </c>
      <c r="B41" s="111"/>
      <c r="C41" s="90" t="str">
        <f>if(B41="","", VLOOKUP(B41,'Номенклатура'!A$3:B944,2,false))</f>
        <v/>
      </c>
      <c r="D41" s="182"/>
      <c r="E41" s="210" t="str">
        <f>if(B41="","", VLOOKUP(B41,'Данни'!A:D,4,false))</f>
        <v/>
      </c>
      <c r="F41" s="169" t="str">
        <f t="array" ref="F41">_xlfn.XLOOKUP(B41, 'Данни'!A:A, 'Данни'!C:C, "", 0)</f>
        <v/>
      </c>
      <c r="G41" s="170" t="str">
        <f t="shared" si="4"/>
        <v/>
      </c>
      <c r="H41" s="171" t="str">
        <f>IfError(IF(V41=TRUE,(VLOOKUP(B41,'Номенклатура'!A:F,4,0)/$M$4),""),"")</f>
        <v/>
      </c>
      <c r="I41" s="171" t="str">
        <f t="shared" si="2"/>
        <v/>
      </c>
      <c r="J41" s="172" t="str">
        <f t="shared" si="3"/>
        <v/>
      </c>
      <c r="K41" s="173" t="str">
        <f>iferror(VLOOKUP(B41,'Номенклатура'!A:F,5,0),"")</f>
        <v/>
      </c>
      <c r="L41" s="174" t="str">
        <f>iferror(VLOOKUP(B41,'Номенклатура'!A:N,6,0),"")</f>
        <v/>
      </c>
      <c r="M41" s="97" t="str">
        <f>iferror(VLOOKUP(B41,'Номенклатура'!A:N,7,0),"")</f>
        <v/>
      </c>
      <c r="N41" s="175" t="str">
        <f>IFERROR(if((VLOOKUP(B41,'Номенклатура'!A:N,8,0)/$M$4)=0,"",(VLOOKUP(B41,'Номенклатура'!A:N,8,0)/$M$4)),"")</f>
        <v/>
      </c>
      <c r="O41" s="97" t="str">
        <f>IFERROR(VLOOKUP(B41,'Номенклатура'!A:N,9,0),"")</f>
        <v/>
      </c>
      <c r="P41" s="97" t="str">
        <f>IFERROR(VLOOKUP(B41,'Номенклатура'!A:N,10,0),"")</f>
        <v/>
      </c>
      <c r="Q41" s="176" t="str">
        <f>IFERROR(if((VLOOKUP(B41,'Номенклатура'!A:N,11,0)/$M$4)=0,"",(VLOOKUP(B41,'Номенклатура'!A:N,11,0)/$M$4)),"")</f>
        <v/>
      </c>
      <c r="R41" s="174" t="str">
        <f>IFERROR(VLOOKUP(B41,'Номенклатура'!A:N,12,0),"")</f>
        <v/>
      </c>
      <c r="S41" s="97" t="str">
        <f>IFERROR(VLOOKUP(B41,'Номенклатура'!A:N,13,0),"")</f>
        <v/>
      </c>
      <c r="T41" s="175" t="str">
        <f>IFERROR(if((VLOOKUP(B41,'Номенклатура'!A:N,14,0)/$M$4)=0,"",(VLOOKUP(B41,'Номенклатура'!A:N,14,0)/$M$4)),"")</f>
        <v/>
      </c>
      <c r="U41" s="91"/>
      <c r="V41" s="178" t="str">
        <f>AND(E41&lt;&gt;"8543.70.4500",((VLOOKUP(B41,'Номенклатура'!A:F,4,0))/$M$4)&lt;&gt;0)</f>
        <v>#N/A</v>
      </c>
      <c r="Y41" s="9"/>
      <c r="Z41" s="9"/>
      <c r="AA41" s="9"/>
    </row>
    <row r="42">
      <c r="A42" s="201">
        <v>30.0</v>
      </c>
      <c r="B42" s="211"/>
      <c r="C42" s="100" t="str">
        <f>if(B42="","", VLOOKUP(B42,'Номенклатура'!A$3:B944,2,false))</f>
        <v/>
      </c>
      <c r="D42" s="189"/>
      <c r="E42" s="209" t="str">
        <f>if(B42="","", VLOOKUP(B42,'Данни'!A:D,4,false))</f>
        <v/>
      </c>
      <c r="F42" s="183" t="str">
        <f t="array" ref="F42">_xlfn.XLOOKUP(B42, 'Данни'!A:A, 'Данни'!C:C, "", 0)</f>
        <v/>
      </c>
      <c r="G42" s="184" t="str">
        <f t="shared" si="4"/>
        <v/>
      </c>
      <c r="H42" s="160" t="str">
        <f>IfError(IF(V42=TRUE,(VLOOKUP(B42,'Номенклатура'!A:F,4,0)/$M$4),""),"")</f>
        <v/>
      </c>
      <c r="I42" s="160" t="str">
        <f t="shared" si="2"/>
        <v/>
      </c>
      <c r="J42" s="185" t="str">
        <f t="shared" si="3"/>
        <v/>
      </c>
      <c r="K42" s="186" t="str">
        <f>iferror(VLOOKUP(B42,'Номенклатура'!A:F,5,0),"")</f>
        <v/>
      </c>
      <c r="L42" s="187" t="str">
        <f>iferror(VLOOKUP(B42,'Номенклатура'!A:N,6,0),"")</f>
        <v/>
      </c>
      <c r="M42" s="109" t="str">
        <f>iferror(VLOOKUP(B42,'Номенклатура'!A:N,7,0),"")</f>
        <v/>
      </c>
      <c r="N42" s="188" t="str">
        <f>IFERROR(if((VLOOKUP(B42,'Номенклатура'!A:N,8,0)/$M$4)=0,"",(VLOOKUP(B42,'Номенклатура'!A:N,8,0)/$M$4)),"")</f>
        <v/>
      </c>
      <c r="O42" s="109" t="str">
        <f>IFERROR(VLOOKUP(B42,'Номенклатура'!A:N,9,0),"")</f>
        <v/>
      </c>
      <c r="P42" s="109" t="str">
        <f>IFERROR(VLOOKUP(B42,'Номенклатура'!A:N,10,0),"")</f>
        <v/>
      </c>
      <c r="Q42" s="164" t="str">
        <f>IFERROR(if((VLOOKUP(B42,'Номенклатура'!A:N,11,0)/$M$4)=0,"",(VLOOKUP(B42,'Номенклатура'!A:N,11,0)/$M$4)),"")</f>
        <v/>
      </c>
      <c r="R42" s="187" t="str">
        <f>IFERROR(VLOOKUP(B42,'Номенклатура'!A:N,12,0),"")</f>
        <v/>
      </c>
      <c r="S42" s="109" t="str">
        <f>IFERROR(VLOOKUP(B42,'Номенклатура'!A:N,13,0),"")</f>
        <v/>
      </c>
      <c r="T42" s="188" t="str">
        <f>IFERROR(if((VLOOKUP(B42,'Номенклатура'!A:N,14,0)/$M$4)=0,"",(VLOOKUP(B42,'Номенклатура'!A:N,14,0)/$M$4)),"")</f>
        <v/>
      </c>
      <c r="U42" s="102"/>
      <c r="V42" s="178" t="str">
        <f>AND(E42&lt;&gt;"8543.70.4500",((VLOOKUP(B42,'Номенклатура'!A:F,4,0))/$M$4)&lt;&gt;0)</f>
        <v>#N/A</v>
      </c>
      <c r="Y42" s="9"/>
      <c r="Z42" s="9"/>
      <c r="AA42" s="9"/>
    </row>
    <row r="43" ht="19.5" customHeight="1">
      <c r="A43" s="202">
        <v>31.0</v>
      </c>
      <c r="B43" s="212"/>
      <c r="C43" s="90" t="str">
        <f>if(B43="","", VLOOKUP(B43,'Номенклатура'!A$3:B944,2,false))</f>
        <v/>
      </c>
      <c r="D43" s="112"/>
      <c r="E43" s="210" t="str">
        <f>if(B43="","", VLOOKUP(B43,'Данни'!A:D,4,false))</f>
        <v/>
      </c>
      <c r="F43" s="169" t="str">
        <f t="array" ref="F43">_xlfn.XLOOKUP(B43, 'Данни'!A:A, 'Данни'!C:C, "", 0)</f>
        <v/>
      </c>
      <c r="G43" s="170" t="str">
        <f t="shared" si="4"/>
        <v/>
      </c>
      <c r="H43" s="171" t="str">
        <f>IfError(IF(V43=TRUE,(VLOOKUP(B43,'Номенклатура'!A:F,4,0)/$M$4),""),"")</f>
        <v/>
      </c>
      <c r="I43" s="171" t="str">
        <f t="shared" si="2"/>
        <v/>
      </c>
      <c r="J43" s="172" t="str">
        <f t="shared" si="3"/>
        <v/>
      </c>
      <c r="K43" s="173" t="str">
        <f>iferror(VLOOKUP(B43,'Номенклатура'!A:F,5,0),"")</f>
        <v/>
      </c>
      <c r="L43" s="174" t="str">
        <f>iferror(VLOOKUP(B43,'Номенклатура'!A:N,6,0),"")</f>
        <v/>
      </c>
      <c r="M43" s="97" t="str">
        <f>iferror(VLOOKUP(B43,'Номенклатура'!A:N,7,0),"")</f>
        <v/>
      </c>
      <c r="N43" s="175" t="str">
        <f>IFERROR(if((VLOOKUP(B43,'Номенклатура'!A:N,8,0)/$M$4)=0,"",(VLOOKUP(B43,'Номенклатура'!A:N,8,0)/$M$4)),"")</f>
        <v/>
      </c>
      <c r="O43" s="97" t="str">
        <f>IFERROR(VLOOKUP(B43,'Номенклатура'!A:N,9,0),"")</f>
        <v/>
      </c>
      <c r="P43" s="97" t="str">
        <f>IFERROR(VLOOKUP(B43,'Номенклатура'!A:N,10,0),"")</f>
        <v/>
      </c>
      <c r="Q43" s="176" t="str">
        <f>IFERROR(if((VLOOKUP(B43,'Номенклатура'!A:N,11,0)/$M$4)=0,"",(VLOOKUP(B43,'Номенклатура'!A:N,11,0)/$M$4)),"")</f>
        <v/>
      </c>
      <c r="R43" s="174" t="str">
        <f>IFERROR(VLOOKUP(B43,'Номенклатура'!A:N,12,0),"")</f>
        <v/>
      </c>
      <c r="S43" s="97" t="str">
        <f>IFERROR(VLOOKUP(B43,'Номенклатура'!A:N,13,0),"")</f>
        <v/>
      </c>
      <c r="T43" s="175" t="str">
        <f>IFERROR(if((VLOOKUP(B43,'Номенклатура'!A:N,14,0)/$M$4)=0,"",(VLOOKUP(B43,'Номенклатура'!A:N,14,0)/$M$4)),"")</f>
        <v/>
      </c>
      <c r="U43" s="91"/>
      <c r="V43" s="178" t="str">
        <f>AND(E43&lt;&gt;"8543.70.4500",((VLOOKUP(B43,'Номенклатура'!A:F,4,0))/$M$4)&lt;&gt;0)</f>
        <v>#N/A</v>
      </c>
      <c r="Y43" s="203" t="s">
        <v>86</v>
      </c>
      <c r="Z43" s="195" t="s">
        <v>87</v>
      </c>
      <c r="AA43" s="194">
        <v>20.0</v>
      </c>
    </row>
    <row r="44">
      <c r="A44" s="201">
        <v>64.0</v>
      </c>
      <c r="B44" s="213"/>
      <c r="C44" s="191" t="s">
        <v>88</v>
      </c>
      <c r="D44" s="102"/>
      <c r="E44" s="209" t="str">
        <f>if(B44="","", VLOOKUP(B44,'Данни'!A:D,4,false))</f>
        <v/>
      </c>
      <c r="F44" s="183" t="str">
        <f>if(B44="","", VLOOKUP(B44,'Данни'!A:D,3,false))</f>
        <v/>
      </c>
      <c r="G44" s="184" t="str">
        <f t="shared" si="4"/>
        <v/>
      </c>
      <c r="H44" s="160" t="str">
        <f>IfError(IF(V44=TRUE,(VLOOKUP(B44,'Номенклатура'!A:F,4,0)/$M$4),""),"")</f>
        <v/>
      </c>
      <c r="I44" s="160" t="str">
        <f t="shared" si="2"/>
        <v/>
      </c>
      <c r="J44" s="185" t="str">
        <f t="shared" si="3"/>
        <v/>
      </c>
      <c r="K44" s="186" t="str">
        <f>iferror(VLOOKUP(B44,'Номенклатура'!A:F,5,0),"")</f>
        <v/>
      </c>
      <c r="L44" s="187" t="str">
        <f>iferror(VLOOKUP(B44,'Номенклатура'!A:N,6,0),"")</f>
        <v/>
      </c>
      <c r="M44" s="109" t="str">
        <f>iferror(VLOOKUP(B44,'Номенклатура'!A:N,7,0),"")</f>
        <v/>
      </c>
      <c r="N44" s="188" t="str">
        <f>IFERROR(if((VLOOKUP(B44,'Номенклатура'!A:N,8,0)/$M$4)=0,"",(VLOOKUP(B44,'Номенклатура'!A:N,8,0)/$M$4)),"")</f>
        <v/>
      </c>
      <c r="O44" s="109" t="str">
        <f>IFERROR(VLOOKUP(B44,'Номенклатура'!A:N,9,0),"")</f>
        <v/>
      </c>
      <c r="P44" s="109" t="str">
        <f>IFERROR(VLOOKUP(B44,'Номенклатура'!A:N,10,0),"")</f>
        <v/>
      </c>
      <c r="Q44" s="164" t="str">
        <f>IFERROR(if((VLOOKUP(B44,'Номенклатура'!A:N,11,0)/$M$4)=0,"",(VLOOKUP(B44,'Номенклатура'!A:N,11,0)/$M$4)),"")</f>
        <v/>
      </c>
      <c r="R44" s="187" t="str">
        <f>IFERROR(VLOOKUP(B44,'Номенклатура'!A:N,12,0),"")</f>
        <v/>
      </c>
      <c r="S44" s="109" t="str">
        <f>IFERROR(VLOOKUP(B44,'Номенклатура'!A:N,13,0),"")</f>
        <v/>
      </c>
      <c r="T44" s="188" t="str">
        <f>IFERROR(if((VLOOKUP(B44,'Номенклатура'!A:N,14,0)/$M$4)=0,"",(VLOOKUP(B44,'Номенклатура'!A:N,14,0)/$M$4)),"")</f>
        <v/>
      </c>
      <c r="U44" s="102"/>
      <c r="V44" s="178" t="str">
        <f>AND(E44&lt;&gt;"8543.70.4500",((VLOOKUP(B44,'Номенклатура'!A:F,4,0))/$M$4)&lt;&gt;0)</f>
        <v>#N/A</v>
      </c>
      <c r="Y44" s="9"/>
      <c r="Z44" s="9"/>
      <c r="AA44" s="9"/>
    </row>
    <row r="45">
      <c r="A45" s="202">
        <v>65.0</v>
      </c>
      <c r="B45" s="214" t="s">
        <v>88</v>
      </c>
      <c r="C45" s="177" t="s">
        <v>88</v>
      </c>
      <c r="D45" s="91"/>
      <c r="E45" s="210" t="str">
        <f>if(B45="","", VLOOKUP(B45,'Данни'!A:D,4,false))</f>
        <v/>
      </c>
      <c r="F45" s="169" t="str">
        <f>if(B45="","", VLOOKUP(B45,'Данни'!A:D,3,false))</f>
        <v/>
      </c>
      <c r="G45" s="170" t="str">
        <f t="shared" si="4"/>
        <v/>
      </c>
      <c r="H45" s="171" t="str">
        <f>IfError(IF(V45=TRUE,(VLOOKUP(B45,'Номенклатура'!A:F,4,0)/$M$4),""),"")</f>
        <v/>
      </c>
      <c r="I45" s="171" t="str">
        <f t="shared" si="2"/>
        <v/>
      </c>
      <c r="J45" s="172" t="str">
        <f t="shared" si="3"/>
        <v/>
      </c>
      <c r="K45" s="173" t="str">
        <f>iferror(VLOOKUP(B45,'Номенклатура'!A:F,5,0),"")</f>
        <v/>
      </c>
      <c r="L45" s="174" t="str">
        <f>iferror(VLOOKUP(B45,'Номенклатура'!A:N,6,0),"")</f>
        <v/>
      </c>
      <c r="M45" s="97" t="str">
        <f>iferror(VLOOKUP(B45,'Номенклатура'!A:N,7,0),"")</f>
        <v/>
      </c>
      <c r="N45" s="175" t="str">
        <f>IFERROR(if((VLOOKUP(B45,'Номенклатура'!A:N,8,0)/$M$4)=0,"",(VLOOKUP(B45,'Номенклатура'!A:N,8,0)/$M$4)),"")</f>
        <v/>
      </c>
      <c r="O45" s="97" t="str">
        <f>IFERROR(VLOOKUP(B45,'Номенклатура'!A:N,9,0),"")</f>
        <v/>
      </c>
      <c r="P45" s="97" t="str">
        <f>IFERROR(VLOOKUP(B45,'Номенклатура'!A:N,10,0),"")</f>
        <v/>
      </c>
      <c r="Q45" s="176" t="str">
        <f>IFERROR(if((VLOOKUP(B45,'Номенклатура'!A:N,11,0)/$M$4)=0,"",(VLOOKUP(B45,'Номенклатура'!A:N,11,0)/$M$4)),"")</f>
        <v/>
      </c>
      <c r="R45" s="174" t="str">
        <f>IFERROR(VLOOKUP(B45,'Номенклатура'!A:N,12,0),"")</f>
        <v/>
      </c>
      <c r="S45" s="97" t="str">
        <f>IFERROR(VLOOKUP(B45,'Номенклатура'!A:N,13,0),"")</f>
        <v/>
      </c>
      <c r="T45" s="175" t="str">
        <f>IFERROR(if((VLOOKUP(B45,'Номенклатура'!A:N,14,0)/$M$4)=0,"",(VLOOKUP(B45,'Номенклатура'!A:N,14,0)/$M$4)),"")</f>
        <v/>
      </c>
      <c r="U45" s="91"/>
      <c r="V45" s="178" t="str">
        <f>AND(E45&lt;&gt;"8543.70.4500",((VLOOKUP(B45,'Номенклатура'!A:F,4,0))/$M$4)&lt;&gt;0)</f>
        <v>#N/A</v>
      </c>
      <c r="Y45" s="9"/>
      <c r="Z45" s="9"/>
      <c r="AA45" s="9"/>
    </row>
    <row r="46">
      <c r="A46" s="201">
        <v>66.0</v>
      </c>
      <c r="B46" s="215" t="s">
        <v>88</v>
      </c>
      <c r="C46" s="191" t="s">
        <v>88</v>
      </c>
      <c r="D46" s="102"/>
      <c r="E46" s="209" t="str">
        <f>if(B46="","", VLOOKUP(B46,'Данни'!A:D,4,false))</f>
        <v/>
      </c>
      <c r="F46" s="183" t="str">
        <f>if(B46="","", VLOOKUP(B46,'Данни'!A:D,3,false))</f>
        <v/>
      </c>
      <c r="G46" s="184" t="str">
        <f t="shared" si="4"/>
        <v/>
      </c>
      <c r="H46" s="160" t="str">
        <f>IfError(IF(V46=TRUE,(VLOOKUP(B46,'Номенклатура'!A:F,4,0)/$M$4),""),"")</f>
        <v/>
      </c>
      <c r="I46" s="160" t="str">
        <f t="shared" si="2"/>
        <v/>
      </c>
      <c r="J46" s="185" t="str">
        <f t="shared" si="3"/>
        <v/>
      </c>
      <c r="K46" s="107" t="str">
        <f>iferror(VLOOKUP(B46,'Номенклатура'!A:F,5,0),"")</f>
        <v/>
      </c>
      <c r="L46" s="187" t="str">
        <f>iferror(VLOOKUP(B46,'Номенклатура'!A:N,6,0),"")</f>
        <v/>
      </c>
      <c r="M46" s="109" t="str">
        <f>iferror(VLOOKUP(B46,'Номенклатура'!A:N,7,0),"")</f>
        <v/>
      </c>
      <c r="N46" s="188" t="str">
        <f>IFERROR(if((VLOOKUP(B46,'Номенклатура'!A:N,8,0)/$M$4)=0,"",(VLOOKUP(B46,'Номенклатура'!A:N,8,0)/$M$4)),"")</f>
        <v/>
      </c>
      <c r="O46" s="109" t="str">
        <f>IFERROR(VLOOKUP(B46,'Номенклатура'!A:N,9,0),"")</f>
        <v/>
      </c>
      <c r="P46" s="109" t="str">
        <f>IFERROR(VLOOKUP(B46,'Номенклатура'!A:N,10,0),"")</f>
        <v/>
      </c>
      <c r="Q46" s="164" t="str">
        <f>IFERROR(if((VLOOKUP(B46,'Номенклатура'!A:N,11,0)/$M$4)=0,"",(VLOOKUP(B46,'Номенклатура'!A:N,11,0)/$M$4)),"")</f>
        <v/>
      </c>
      <c r="R46" s="187" t="str">
        <f>IFERROR(VLOOKUP(B46,'Номенклатура'!A:N,12,0),"")</f>
        <v/>
      </c>
      <c r="S46" s="109" t="str">
        <f>IFERROR(VLOOKUP(B46,'Номенклатура'!A:N,13,0),"")</f>
        <v/>
      </c>
      <c r="T46" s="188" t="str">
        <f>IFERROR(if((VLOOKUP(B46,'Номенклатура'!A:N,14,0)/$M$4)=0,"",(VLOOKUP(B46,'Номенклатура'!A:N,14,0)/$M$4)),"")</f>
        <v/>
      </c>
      <c r="U46" s="102"/>
      <c r="V46" s="178" t="str">
        <f>AND(E46&lt;&gt;"8543.70.4500",((VLOOKUP(B46,'Номенклатура'!A:F,4,0))/$M$4)&lt;&gt;0)</f>
        <v>#N/A</v>
      </c>
      <c r="Y46" s="203" t="s">
        <v>89</v>
      </c>
      <c r="Z46" s="195" t="s">
        <v>90</v>
      </c>
      <c r="AA46" s="194">
        <v>5.0</v>
      </c>
    </row>
    <row r="47">
      <c r="A47" s="202">
        <v>67.0</v>
      </c>
      <c r="B47" s="214" t="s">
        <v>88</v>
      </c>
      <c r="C47" s="177" t="s">
        <v>88</v>
      </c>
      <c r="D47" s="91"/>
      <c r="E47" s="210" t="str">
        <f>if(B47="","", VLOOKUP(B47,'Данни'!A:D,4,false))</f>
        <v/>
      </c>
      <c r="F47" s="169" t="str">
        <f>if(B47="","", VLOOKUP(B47,'Данни'!A:D,3,false))</f>
        <v/>
      </c>
      <c r="G47" s="170" t="str">
        <f t="shared" si="4"/>
        <v/>
      </c>
      <c r="H47" s="171" t="str">
        <f>IfError(IF(V47=TRUE,(VLOOKUP(B47,'Номенклатура'!A:F,4,0)/$M$4),""),"")</f>
        <v/>
      </c>
      <c r="I47" s="171" t="str">
        <f t="shared" si="2"/>
        <v/>
      </c>
      <c r="J47" s="172" t="str">
        <f t="shared" si="3"/>
        <v/>
      </c>
      <c r="K47" s="96" t="str">
        <f>iferror(VLOOKUP(B47,'Номенклатура'!A:F,5,0),"")</f>
        <v/>
      </c>
      <c r="L47" s="174" t="str">
        <f>iferror(VLOOKUP(B47,'Номенклатура'!A:N,6,0),"")</f>
        <v/>
      </c>
      <c r="M47" s="97" t="str">
        <f>iferror(VLOOKUP(B47,'Номенклатура'!A:N,7,0),"")</f>
        <v/>
      </c>
      <c r="N47" s="175" t="str">
        <f>IFERROR(if((VLOOKUP(B47,'Номенклатура'!A:N,8,0)/$M$4)=0,"",(VLOOKUP(B47,'Номенклатура'!A:N,8,0)/$M$4)),"")</f>
        <v/>
      </c>
      <c r="O47" s="97" t="str">
        <f>IFERROR(VLOOKUP(B47,'Номенклатура'!A:N,9,0),"")</f>
        <v/>
      </c>
      <c r="P47" s="97" t="str">
        <f>IFERROR(VLOOKUP(B47,'Номенклатура'!A:N,10,0),"")</f>
        <v/>
      </c>
      <c r="Q47" s="176" t="str">
        <f>IFERROR(if((VLOOKUP(B47,'Номенклатура'!A:N,11,0)/$M$4)=0,"",(VLOOKUP(B47,'Номенклатура'!A:N,11,0)/$M$4)),"")</f>
        <v/>
      </c>
      <c r="R47" s="174" t="str">
        <f>IFERROR(VLOOKUP(B47,'Номенклатура'!A:N,12,0),"")</f>
        <v/>
      </c>
      <c r="S47" s="97" t="str">
        <f>IFERROR(VLOOKUP(B47,'Номенклатура'!A:N,13,0),"")</f>
        <v/>
      </c>
      <c r="T47" s="175" t="str">
        <f>IFERROR(if((VLOOKUP(B47,'Номенклатура'!A:N,14,0)/$M$4)=0,"",(VLOOKUP(B47,'Номенклатура'!A:N,14,0)/$M$4)),"")</f>
        <v/>
      </c>
      <c r="U47" s="91"/>
      <c r="V47" s="178" t="str">
        <f>AND(E47&lt;&gt;"8543.70.4500",((VLOOKUP(B47,'Номенклатура'!A:F,4,0))/$M$4)&lt;&gt;0)</f>
        <v>#N/A</v>
      </c>
      <c r="Y47" s="9"/>
      <c r="Z47" s="9"/>
      <c r="AA47" s="9"/>
    </row>
    <row r="48">
      <c r="A48" s="201">
        <v>68.0</v>
      </c>
      <c r="B48" s="215" t="s">
        <v>88</v>
      </c>
      <c r="C48" s="191" t="s">
        <v>88</v>
      </c>
      <c r="D48" s="102"/>
      <c r="E48" s="209" t="str">
        <f>if(B48="","", VLOOKUP(B48,'Данни'!A:D,4,false))</f>
        <v/>
      </c>
      <c r="F48" s="183" t="str">
        <f>if(B48="","", VLOOKUP(B48,'Данни'!A:D,3,false))</f>
        <v/>
      </c>
      <c r="G48" s="184" t="str">
        <f t="shared" si="4"/>
        <v/>
      </c>
      <c r="H48" s="160" t="str">
        <f>IfError(IF(V48=TRUE,(VLOOKUP(B48,'Номенклатура'!A:F,4,0)/$M$4),""),"")</f>
        <v/>
      </c>
      <c r="I48" s="160" t="str">
        <f t="shared" si="2"/>
        <v/>
      </c>
      <c r="J48" s="185" t="str">
        <f t="shared" si="3"/>
        <v/>
      </c>
      <c r="K48" s="107" t="str">
        <f>iferror(VLOOKUP(B48,'Номенклатура'!A:F,5,0),"")</f>
        <v/>
      </c>
      <c r="L48" s="187" t="str">
        <f>iferror(VLOOKUP(B48,'Номенклатура'!A:N,6,0),"")</f>
        <v/>
      </c>
      <c r="M48" s="109" t="str">
        <f>iferror(VLOOKUP(B48,'Номенклатура'!A:N,7,0),"")</f>
        <v/>
      </c>
      <c r="N48" s="188" t="str">
        <f>IFERROR(if((VLOOKUP(B48,'Номенклатура'!A:N,8,0)/$M$4)=0,"",(VLOOKUP(B48,'Номенклатура'!A:N,8,0)/$M$4)),"")</f>
        <v/>
      </c>
      <c r="O48" s="109" t="str">
        <f>IFERROR(VLOOKUP(B48,'Номенклатура'!A:N,9,0),"")</f>
        <v/>
      </c>
      <c r="P48" s="109" t="str">
        <f>IFERROR(VLOOKUP(B48,'Номенклатура'!A:N,10,0),"")</f>
        <v/>
      </c>
      <c r="Q48" s="164" t="str">
        <f>IFERROR(if((VLOOKUP(B48,'Номенклатура'!A:N,11,0)/$M$4)=0,"",(VLOOKUP(B48,'Номенклатура'!A:N,11,0)/$M$4)),"")</f>
        <v/>
      </c>
      <c r="R48" s="187" t="str">
        <f>IFERROR(VLOOKUP(B48,'Номенклатура'!A:N,12,0),"")</f>
        <v/>
      </c>
      <c r="S48" s="109" t="str">
        <f>IFERROR(VLOOKUP(B48,'Номенклатура'!A:N,13,0),"")</f>
        <v/>
      </c>
      <c r="T48" s="188" t="str">
        <f>IFERROR(if((VLOOKUP(B48,'Номенклатура'!A:N,14,0)/$M$4)=0,"",(VLOOKUP(B48,'Номенклатура'!A:N,14,0)/$M$4)),"")</f>
        <v/>
      </c>
      <c r="U48" s="102"/>
      <c r="V48" s="178" t="str">
        <f>AND(E48&lt;&gt;"8543.70.4500",((VLOOKUP(B48,'Номенклатура'!A:F,4,0))/$M$4)&lt;&gt;0)</f>
        <v>#N/A</v>
      </c>
      <c r="Y48" s="9"/>
      <c r="Z48" s="9"/>
      <c r="AA48" s="9"/>
    </row>
    <row r="49">
      <c r="A49" s="205">
        <v>69.0</v>
      </c>
      <c r="B49" s="214" t="s">
        <v>88</v>
      </c>
      <c r="C49" s="91" t="s">
        <v>88</v>
      </c>
      <c r="D49" s="91"/>
      <c r="E49" s="210" t="str">
        <f>if(B49="","", VLOOKUP(B49,'Данни'!A:D,4,false))</f>
        <v/>
      </c>
      <c r="F49" s="169" t="str">
        <f>if(B49="","", VLOOKUP(B49,'Данни'!A:D,3,false))</f>
        <v/>
      </c>
      <c r="G49" s="170" t="str">
        <f t="shared" si="4"/>
        <v/>
      </c>
      <c r="H49" s="171" t="str">
        <f>IfError(IF(V49=TRUE,(VLOOKUP(B49,'Номенклатура'!A:F,4,0)/$M$4),""),"")</f>
        <v/>
      </c>
      <c r="I49" s="171" t="str">
        <f t="shared" si="2"/>
        <v/>
      </c>
      <c r="J49" s="172" t="str">
        <f t="shared" si="3"/>
        <v/>
      </c>
      <c r="K49" s="96" t="str">
        <f>iferror(VLOOKUP(B49,'Номенклатура'!A:F,5,0),"")</f>
        <v/>
      </c>
      <c r="L49" s="174" t="str">
        <f>iferror(VLOOKUP(B49,'Номенклатура'!A:N,6,0),"")</f>
        <v/>
      </c>
      <c r="M49" s="97" t="str">
        <f>iferror(VLOOKUP(B49,'Номенклатура'!A:N,7,0),"")</f>
        <v/>
      </c>
      <c r="N49" s="175" t="str">
        <f>IFERROR(if((VLOOKUP(B49,'Номенклатура'!A:N,8,0)/$M$4)=0,"",(VLOOKUP(B49,'Номенклатура'!A:N,8,0)/$M$4)),"")</f>
        <v/>
      </c>
      <c r="O49" s="97" t="str">
        <f>IFERROR(VLOOKUP(B49,'Номенклатура'!A:N,9,0),"")</f>
        <v/>
      </c>
      <c r="P49" s="97" t="str">
        <f>IFERROR(VLOOKUP(B49,'Номенклатура'!A:N,10,0),"")</f>
        <v/>
      </c>
      <c r="Q49" s="176" t="str">
        <f>IFERROR(if((VLOOKUP(B49,'Номенклатура'!A:N,11,0)/$M$4)=0,"",(VLOOKUP(B49,'Номенклатура'!A:N,11,0)/$M$4)),"")</f>
        <v/>
      </c>
      <c r="R49" s="174" t="str">
        <f>IFERROR(VLOOKUP(B49,'Номенклатура'!A:N,12,0),"")</f>
        <v/>
      </c>
      <c r="S49" s="97" t="str">
        <f>IFERROR(VLOOKUP(B49,'Номенклатура'!A:N,13,0),"")</f>
        <v/>
      </c>
      <c r="T49" s="175" t="str">
        <f>IFERROR(if((VLOOKUP(B49,'Номенклатура'!A:N,14,0)/$M$4)=0,"",(VLOOKUP(B49,'Номенклатура'!A:N,14,0)/$M$4)),"")</f>
        <v/>
      </c>
      <c r="U49" s="91"/>
      <c r="V49" s="178" t="str">
        <f>AND(E49&lt;&gt;"8543.70.4500",((VLOOKUP(B49,'Номенклатура'!A:F,4,0))/$M$4)&lt;&gt;0)</f>
        <v>#N/A</v>
      </c>
      <c r="Y49" s="203" t="s">
        <v>91</v>
      </c>
      <c r="Z49" s="195" t="s">
        <v>92</v>
      </c>
      <c r="AA49" s="194">
        <v>50.0</v>
      </c>
    </row>
    <row r="50">
      <c r="A50" s="204">
        <v>70.0</v>
      </c>
      <c r="B50" s="215" t="s">
        <v>88</v>
      </c>
      <c r="C50" s="102" t="s">
        <v>88</v>
      </c>
      <c r="D50" s="102"/>
      <c r="E50" s="209" t="str">
        <f>if(B50="","", VLOOKUP(B50,'Данни'!A:D,4,false))</f>
        <v/>
      </c>
      <c r="F50" s="183" t="str">
        <f>if(B50="","", VLOOKUP(B50,'Данни'!A:D,3,false))</f>
        <v/>
      </c>
      <c r="G50" s="184" t="str">
        <f t="shared" si="4"/>
        <v/>
      </c>
      <c r="H50" s="160" t="str">
        <f>IfError(IF(V50=TRUE,(VLOOKUP(B50,'Номенклатура'!A:F,4,0)/$M$4),""),"")</f>
        <v/>
      </c>
      <c r="I50" s="160" t="str">
        <f t="shared" si="2"/>
        <v/>
      </c>
      <c r="J50" s="185" t="str">
        <f t="shared" si="3"/>
        <v/>
      </c>
      <c r="K50" s="107" t="str">
        <f>iferror(VLOOKUP(B50,'Номенклатура'!A:F,5,0),"")</f>
        <v/>
      </c>
      <c r="L50" s="187" t="str">
        <f>iferror(VLOOKUP(B50,'Номенклатура'!A:N,6,0),"")</f>
        <v/>
      </c>
      <c r="M50" s="109" t="str">
        <f>iferror(VLOOKUP(B50,'Номенклатура'!A:N,7,0),"")</f>
        <v/>
      </c>
      <c r="N50" s="188" t="str">
        <f>IFERROR(if((VLOOKUP(B50,'Номенклатура'!A:N,8,0)/$M$4)=0,"",(VLOOKUP(B50,'Номенклатура'!A:N,8,0)/$M$4)),"")</f>
        <v/>
      </c>
      <c r="O50" s="109" t="str">
        <f>IFERROR(VLOOKUP(B50,'Номенклатура'!A:N,9,0),"")</f>
        <v/>
      </c>
      <c r="P50" s="109" t="str">
        <f>IFERROR(VLOOKUP(B50,'Номенклатура'!A:N,10,0),"")</f>
        <v/>
      </c>
      <c r="Q50" s="164" t="str">
        <f>IFERROR(if((VLOOKUP(B50,'Номенклатура'!A:N,11,0)/$M$4)=0,"",(VLOOKUP(B50,'Номенклатура'!A:N,11,0)/$M$4)),"")</f>
        <v/>
      </c>
      <c r="R50" s="187" t="str">
        <f>IFERROR(VLOOKUP(B50,'Номенклатура'!A:N,12,0),"")</f>
        <v/>
      </c>
      <c r="S50" s="109" t="str">
        <f>IFERROR(VLOOKUP(B50,'Номенклатура'!A:N,13,0),"")</f>
        <v/>
      </c>
      <c r="T50" s="188" t="str">
        <f>IFERROR(if((VLOOKUP(B50,'Номенклатура'!A:N,14,0)/$M$4)=0,"",(VLOOKUP(B50,'Номенклатура'!A:N,14,0)/$M$4)),"")</f>
        <v/>
      </c>
      <c r="U50" s="102"/>
      <c r="V50" s="178" t="str">
        <f>AND(E50&lt;&gt;"8543.70.4500",((VLOOKUP(B50,'Номенклатура'!A:F,4,0))/$M$4)&lt;&gt;0)</f>
        <v>#N/A</v>
      </c>
      <c r="Y50" s="9"/>
      <c r="Z50" s="9"/>
      <c r="AA50" s="9"/>
    </row>
    <row r="51">
      <c r="A51" s="202">
        <v>71.0</v>
      </c>
      <c r="B51" s="214" t="s">
        <v>88</v>
      </c>
      <c r="C51" s="177" t="s">
        <v>88</v>
      </c>
      <c r="D51" s="91"/>
      <c r="E51" s="210" t="str">
        <f>if(B51="","", VLOOKUP(B51,'Данни'!A:D,4,false))</f>
        <v/>
      </c>
      <c r="F51" s="169" t="str">
        <f>if(B51="","", VLOOKUP(B51,'Данни'!A:D,3,false))</f>
        <v/>
      </c>
      <c r="G51" s="170" t="str">
        <f t="shared" si="4"/>
        <v/>
      </c>
      <c r="H51" s="171" t="str">
        <f>IfError(IF(V51=TRUE,(VLOOKUP(B51,'Номенклатура'!A:F,4,0)/$M$4),""),"")</f>
        <v/>
      </c>
      <c r="I51" s="171" t="str">
        <f t="shared" si="2"/>
        <v/>
      </c>
      <c r="J51" s="172" t="str">
        <f t="shared" si="3"/>
        <v/>
      </c>
      <c r="K51" s="96" t="str">
        <f>iferror(VLOOKUP(B51,'Номенклатура'!A:F,5,0),"")</f>
        <v/>
      </c>
      <c r="L51" s="174" t="str">
        <f>iferror(VLOOKUP(B51,'Номенклатура'!A:N,6,0),"")</f>
        <v/>
      </c>
      <c r="M51" s="97" t="str">
        <f>iferror(VLOOKUP(B51,'Номенклатура'!A:N,7,0),"")</f>
        <v/>
      </c>
      <c r="N51" s="175" t="str">
        <f>IFERROR(if((VLOOKUP(B51,'Номенклатура'!A:N,8,0)/$M$4)=0,"",(VLOOKUP(B51,'Номенклатура'!A:N,8,0)/$M$4)),"")</f>
        <v/>
      </c>
      <c r="O51" s="97" t="str">
        <f>IFERROR(VLOOKUP(B51,'Номенклатура'!A:N,9,0),"")</f>
        <v/>
      </c>
      <c r="P51" s="97" t="str">
        <f>IFERROR(VLOOKUP(B51,'Номенклатура'!A:N,10,0),"")</f>
        <v/>
      </c>
      <c r="Q51" s="176" t="str">
        <f>IFERROR(if((VLOOKUP(B51,'Номенклатура'!A:N,11,0)/$M$4)=0,"",(VLOOKUP(B51,'Номенклатура'!A:N,11,0)/$M$4)),"")</f>
        <v/>
      </c>
      <c r="R51" s="174" t="str">
        <f>IFERROR(VLOOKUP(B51,'Номенклатура'!A:N,12,0),"")</f>
        <v/>
      </c>
      <c r="S51" s="97" t="str">
        <f>IFERROR(VLOOKUP(B51,'Номенклатура'!A:N,13,0),"")</f>
        <v/>
      </c>
      <c r="T51" s="175" t="str">
        <f>IFERROR(if((VLOOKUP(B51,'Номенклатура'!A:N,14,0)/$M$4)=0,"",(VLOOKUP(B51,'Номенклатура'!A:N,14,0)/$M$4)),"")</f>
        <v/>
      </c>
      <c r="U51" s="91"/>
      <c r="V51" s="178" t="str">
        <f>AND(E51&lt;&gt;"8543.70.4500",((VLOOKUP(B51,'Номенклатура'!A:F,4,0))/$M$4)&lt;&gt;0)</f>
        <v>#N/A</v>
      </c>
      <c r="Y51" s="9"/>
      <c r="Z51" s="9"/>
      <c r="AA51" s="9"/>
    </row>
    <row r="52">
      <c r="A52" s="201">
        <v>72.0</v>
      </c>
      <c r="B52" s="215" t="s">
        <v>88</v>
      </c>
      <c r="C52" s="191" t="s">
        <v>88</v>
      </c>
      <c r="D52" s="102"/>
      <c r="E52" s="209" t="str">
        <f>if(B52="","", VLOOKUP(B52,'Данни'!A:D,4,false))</f>
        <v/>
      </c>
      <c r="F52" s="183" t="str">
        <f>if(B52="","", VLOOKUP(B52,'Данни'!A:D,3,false))</f>
        <v/>
      </c>
      <c r="G52" s="184" t="str">
        <f t="shared" si="4"/>
        <v/>
      </c>
      <c r="H52" s="160" t="str">
        <f>IfError(IF(V52=TRUE,(VLOOKUP(B52,'Номенклатура'!A:F,4,0)/$M$4),""),"")</f>
        <v/>
      </c>
      <c r="I52" s="160" t="str">
        <f t="shared" si="2"/>
        <v/>
      </c>
      <c r="J52" s="185" t="str">
        <f t="shared" si="3"/>
        <v/>
      </c>
      <c r="K52" s="107" t="str">
        <f>iferror(VLOOKUP(B52,'Номенклатура'!A:F,5,0),"")</f>
        <v/>
      </c>
      <c r="L52" s="187" t="str">
        <f>iferror(VLOOKUP(B52,'Номенклатура'!A:N,6,0),"")</f>
        <v/>
      </c>
      <c r="M52" s="109" t="str">
        <f>iferror(VLOOKUP(B52,'Номенклатура'!A:N,7,0),"")</f>
        <v/>
      </c>
      <c r="N52" s="188" t="str">
        <f>IFERROR(if((VLOOKUP(B52,'Номенклатура'!A:N,8,0)/$M$4)=0,"",(VLOOKUP(B52,'Номенклатура'!A:N,8,0)/$M$4)),"")</f>
        <v/>
      </c>
      <c r="O52" s="109" t="str">
        <f>IFERROR(VLOOKUP(B52,'Номенклатура'!A:N,9,0),"")</f>
        <v/>
      </c>
      <c r="P52" s="109" t="str">
        <f>IFERROR(VLOOKUP(B52,'Номенклатура'!A:N,10,0),"")</f>
        <v/>
      </c>
      <c r="Q52" s="164" t="str">
        <f>IFERROR(if((VLOOKUP(B52,'Номенклатура'!A:N,11,0)/$M$4)=0,"",(VLOOKUP(B52,'Номенклатура'!A:N,11,0)/$M$4)),"")</f>
        <v/>
      </c>
      <c r="R52" s="187" t="str">
        <f>IFERROR(VLOOKUP(B52,'Номенклатура'!A:N,12,0),"")</f>
        <v/>
      </c>
      <c r="S52" s="109" t="str">
        <f>IFERROR(VLOOKUP(B52,'Номенклатура'!A:N,13,0),"")</f>
        <v/>
      </c>
      <c r="T52" s="188" t="str">
        <f>IFERROR(if((VLOOKUP(B52,'Номенклатура'!A:N,14,0)/$M$4)=0,"",(VLOOKUP(B52,'Номенклатура'!A:N,14,0)/$M$4)),"")</f>
        <v/>
      </c>
      <c r="U52" s="102"/>
      <c r="V52" s="178" t="str">
        <f>AND(E52&lt;&gt;"8543.70.4500",((VLOOKUP(B52,'Номенклатура'!A:F,4,0))/$M$4)&lt;&gt;0)</f>
        <v>#N/A</v>
      </c>
      <c r="Y52" s="203" t="s">
        <v>93</v>
      </c>
      <c r="Z52" s="195" t="s">
        <v>94</v>
      </c>
      <c r="AA52" s="194">
        <v>175.0</v>
      </c>
    </row>
    <row r="53">
      <c r="A53" s="202">
        <v>73.0</v>
      </c>
      <c r="B53" s="214" t="s">
        <v>88</v>
      </c>
      <c r="C53" s="177" t="s">
        <v>88</v>
      </c>
      <c r="D53" s="91"/>
      <c r="E53" s="210" t="str">
        <f>if(B53="","", VLOOKUP(B53,'Данни'!A:D,4,false))</f>
        <v/>
      </c>
      <c r="F53" s="169" t="str">
        <f>if(B53="","", VLOOKUP(B53,'Данни'!A:D,3,false))</f>
        <v/>
      </c>
      <c r="G53" s="170" t="str">
        <f t="shared" si="4"/>
        <v/>
      </c>
      <c r="H53" s="171" t="str">
        <f>IfError(IF(V53=TRUE,(VLOOKUP(B53,'Номенклатура'!A:F,4,0)/$M$4),""),"")</f>
        <v/>
      </c>
      <c r="I53" s="171" t="str">
        <f t="shared" si="2"/>
        <v/>
      </c>
      <c r="J53" s="172" t="str">
        <f t="shared" si="3"/>
        <v/>
      </c>
      <c r="K53" s="96" t="str">
        <f>iferror(VLOOKUP(B53,'Номенклатура'!A:F,5,0),"")</f>
        <v/>
      </c>
      <c r="L53" s="174" t="str">
        <f>iferror(VLOOKUP(B53,'Номенклатура'!A:N,6,0),"")</f>
        <v/>
      </c>
      <c r="M53" s="97" t="str">
        <f>iferror(VLOOKUP(B53,'Номенклатура'!A:N,7,0),"")</f>
        <v/>
      </c>
      <c r="N53" s="175" t="str">
        <f>IFERROR(if((VLOOKUP(B53,'Номенклатура'!A:N,8,0)/$M$4)=0,"",(VLOOKUP(B53,'Номенклатура'!A:N,8,0)/$M$4)),"")</f>
        <v/>
      </c>
      <c r="O53" s="97" t="str">
        <f>IFERROR(VLOOKUP(B53,'Номенклатура'!A:N,9,0),"")</f>
        <v/>
      </c>
      <c r="P53" s="97" t="str">
        <f>IFERROR(VLOOKUP(B53,'Номенклатура'!A:N,10,0),"")</f>
        <v/>
      </c>
      <c r="Q53" s="176" t="str">
        <f>IFERROR(if((VLOOKUP(B53,'Номенклатура'!A:N,11,0)/$M$4)=0,"",(VLOOKUP(B53,'Номенклатура'!A:N,11,0)/$M$4)),"")</f>
        <v/>
      </c>
      <c r="R53" s="174" t="str">
        <f>IFERROR(VLOOKUP(B53,'Номенклатура'!A:N,12,0),"")</f>
        <v/>
      </c>
      <c r="S53" s="97" t="str">
        <f>IFERROR(VLOOKUP(B53,'Номенклатура'!A:N,13,0),"")</f>
        <v/>
      </c>
      <c r="T53" s="175" t="str">
        <f>IFERROR(if((VLOOKUP(B53,'Номенклатура'!A:N,14,0)/$M$4)=0,"",(VLOOKUP(B53,'Номенклатура'!A:N,14,0)/$M$4)),"")</f>
        <v/>
      </c>
      <c r="U53" s="91"/>
      <c r="V53" s="178" t="str">
        <f>AND(E53&lt;&gt;"8543.70.4500",((VLOOKUP(B53,'Номенклатура'!A:F,4,0))/$M$4)&lt;&gt;0)</f>
        <v>#N/A</v>
      </c>
      <c r="Y53" s="9"/>
      <c r="Z53" s="9"/>
      <c r="AA53" s="9"/>
    </row>
    <row r="54">
      <c r="A54" s="201">
        <v>74.0</v>
      </c>
      <c r="B54" s="215" t="s">
        <v>88</v>
      </c>
      <c r="C54" s="191" t="s">
        <v>88</v>
      </c>
      <c r="D54" s="102"/>
      <c r="E54" s="209" t="str">
        <f>if(B54="","", VLOOKUP(B54,'Данни'!A:D,4,false))</f>
        <v/>
      </c>
      <c r="F54" s="183" t="str">
        <f>if(B54="","", VLOOKUP(B54,'Данни'!A:D,3,false))</f>
        <v/>
      </c>
      <c r="G54" s="184" t="str">
        <f t="shared" si="4"/>
        <v/>
      </c>
      <c r="H54" s="160" t="str">
        <f>IfError(IF(V54=TRUE,(VLOOKUP(B54,'Номенклатура'!A:F,4,0)/$M$4),""),"")</f>
        <v/>
      </c>
      <c r="I54" s="160" t="str">
        <f t="shared" si="2"/>
        <v/>
      </c>
      <c r="J54" s="185" t="str">
        <f t="shared" si="3"/>
        <v/>
      </c>
      <c r="K54" s="107" t="str">
        <f>iferror(VLOOKUP(B54,'Номенклатура'!A:F,5,0),"")</f>
        <v/>
      </c>
      <c r="L54" s="187" t="str">
        <f>iferror(VLOOKUP(B54,'Номенклатура'!A:N,6,0),"")</f>
        <v/>
      </c>
      <c r="M54" s="109" t="str">
        <f>iferror(VLOOKUP(B54,'Номенклатура'!A:N,7,0),"")</f>
        <v/>
      </c>
      <c r="N54" s="188" t="str">
        <f>IFERROR(if((VLOOKUP(B54,'Номенклатура'!A:N,8,0)/$M$4)=0,"",(VLOOKUP(B54,'Номенклатура'!A:N,8,0)/$M$4)),"")</f>
        <v/>
      </c>
      <c r="O54" s="109" t="str">
        <f>IFERROR(VLOOKUP(B54,'Номенклатура'!A:N,9,0),"")</f>
        <v/>
      </c>
      <c r="P54" s="109" t="str">
        <f>IFERROR(VLOOKUP(B54,'Номенклатура'!A:N,10,0),"")</f>
        <v/>
      </c>
      <c r="Q54" s="164" t="str">
        <f>IFERROR(if((VLOOKUP(B54,'Номенклатура'!A:N,11,0)/$M$4)=0,"",(VLOOKUP(B54,'Номенклатура'!A:N,11,0)/$M$4)),"")</f>
        <v/>
      </c>
      <c r="R54" s="187" t="str">
        <f>IFERROR(VLOOKUP(B54,'Номенклатура'!A:N,12,0),"")</f>
        <v/>
      </c>
      <c r="S54" s="109" t="str">
        <f>IFERROR(VLOOKUP(B54,'Номенклатура'!A:N,13,0),"")</f>
        <v/>
      </c>
      <c r="T54" s="188" t="str">
        <f>IFERROR(if((VLOOKUP(B54,'Номенклатура'!A:N,14,0)/$M$4)=0,"",(VLOOKUP(B54,'Номенклатура'!A:N,14,0)/$M$4)),"")</f>
        <v/>
      </c>
      <c r="U54" s="102"/>
      <c r="V54" s="178" t="str">
        <f>AND(E54&lt;&gt;"8543.70.4500",((VLOOKUP(B54,'Номенклатура'!A:F,4,0))/$M$4)&lt;&gt;0)</f>
        <v>#N/A</v>
      </c>
      <c r="Y54" s="9"/>
      <c r="Z54" s="9"/>
      <c r="AA54" s="9"/>
    </row>
    <row r="55">
      <c r="A55" s="202">
        <v>75.0</v>
      </c>
      <c r="B55" s="214" t="s">
        <v>88</v>
      </c>
      <c r="C55" s="177" t="s">
        <v>88</v>
      </c>
      <c r="D55" s="91"/>
      <c r="E55" s="210" t="str">
        <f>if(B55="","", VLOOKUP(B55,'Данни'!A:D,4,false))</f>
        <v/>
      </c>
      <c r="F55" s="169" t="str">
        <f>if(B55="","", VLOOKUP(B55,'Данни'!A:D,3,false))</f>
        <v/>
      </c>
      <c r="G55" s="170" t="str">
        <f t="shared" si="4"/>
        <v/>
      </c>
      <c r="H55" s="171" t="str">
        <f>IfError(IF(V55=TRUE,(VLOOKUP(B55,'Номенклатура'!A:F,4,0)/$M$4),""),"")</f>
        <v/>
      </c>
      <c r="I55" s="171" t="str">
        <f t="shared" si="2"/>
        <v/>
      </c>
      <c r="J55" s="172" t="str">
        <f t="shared" si="3"/>
        <v/>
      </c>
      <c r="K55" s="96" t="str">
        <f>iferror(VLOOKUP(B55,'Номенклатура'!A:F,5,0),"")</f>
        <v/>
      </c>
      <c r="L55" s="174" t="str">
        <f>iferror(VLOOKUP(B55,'Номенклатура'!A:N,6,0),"")</f>
        <v/>
      </c>
      <c r="M55" s="97" t="str">
        <f>iferror(VLOOKUP(B55,'Номенклатура'!A:N,7,0),"")</f>
        <v/>
      </c>
      <c r="N55" s="175" t="str">
        <f>IFERROR(if((VLOOKUP(B55,'Номенклатура'!A:N,8,0)/$M$4)=0,"",(VLOOKUP(B55,'Номенклатура'!A:N,8,0)/$M$4)),"")</f>
        <v/>
      </c>
      <c r="O55" s="97" t="str">
        <f>IFERROR(VLOOKUP(B55,'Номенклатура'!A:N,9,0),"")</f>
        <v/>
      </c>
      <c r="P55" s="97" t="str">
        <f>IFERROR(VLOOKUP(B55,'Номенклатура'!A:N,10,0),"")</f>
        <v/>
      </c>
      <c r="Q55" s="176" t="str">
        <f>IFERROR(if((VLOOKUP(B55,'Номенклатура'!A:N,11,0)/$M$4)=0,"",(VLOOKUP(B55,'Номенклатура'!A:N,11,0)/$M$4)),"")</f>
        <v/>
      </c>
      <c r="R55" s="174" t="str">
        <f>IFERROR(VLOOKUP(B55,'Номенклатура'!A:N,12,0),"")</f>
        <v/>
      </c>
      <c r="S55" s="97" t="str">
        <f>IFERROR(VLOOKUP(B55,'Номенклатура'!A:N,13,0),"")</f>
        <v/>
      </c>
      <c r="T55" s="175" t="str">
        <f>IFERROR(if((VLOOKUP(B55,'Номенклатура'!A:N,14,0)/$M$4)=0,"",(VLOOKUP(B55,'Номенклатура'!A:N,14,0)/$M$4)),"")</f>
        <v/>
      </c>
      <c r="U55" s="91"/>
      <c r="V55" s="178" t="str">
        <f>AND(E55&lt;&gt;"8543.70.4500",((VLOOKUP(B55,'Номенклатура'!A:F,4,0))/$M$4)&lt;&gt;0)</f>
        <v>#N/A</v>
      </c>
      <c r="Y55" s="203" t="s">
        <v>79</v>
      </c>
      <c r="Z55" s="195" t="s">
        <v>95</v>
      </c>
      <c r="AA55" s="194">
        <v>5.0</v>
      </c>
    </row>
    <row r="56">
      <c r="A56" s="201">
        <v>76.0</v>
      </c>
      <c r="B56" s="215" t="s">
        <v>88</v>
      </c>
      <c r="C56" s="191" t="s">
        <v>88</v>
      </c>
      <c r="D56" s="102"/>
      <c r="E56" s="209" t="str">
        <f>if(B56="","", VLOOKUP(B56,'Данни'!A:D,4,false))</f>
        <v/>
      </c>
      <c r="F56" s="183" t="str">
        <f>if(B56="","", VLOOKUP(B56,'Данни'!A:D,3,false))</f>
        <v/>
      </c>
      <c r="G56" s="184" t="str">
        <f t="shared" si="4"/>
        <v/>
      </c>
      <c r="H56" s="160" t="str">
        <f>IfError(IF(V56=TRUE,(VLOOKUP(B56,'Номенклатура'!A:F,4,0)/$M$4),""),"")</f>
        <v/>
      </c>
      <c r="I56" s="160" t="str">
        <f t="shared" si="2"/>
        <v/>
      </c>
      <c r="J56" s="185" t="str">
        <f t="shared" si="3"/>
        <v/>
      </c>
      <c r="K56" s="107" t="str">
        <f>iferror(VLOOKUP(B56,'Номенклатура'!A:F,5,0),"")</f>
        <v/>
      </c>
      <c r="L56" s="187" t="str">
        <f>iferror(VLOOKUP(B56,'Номенклатура'!A:N,6,0),"")</f>
        <v/>
      </c>
      <c r="M56" s="109" t="str">
        <f>iferror(VLOOKUP(B56,'Номенклатура'!A:N,7,0),"")</f>
        <v/>
      </c>
      <c r="N56" s="188" t="str">
        <f>IFERROR(if((VLOOKUP(B56,'Номенклатура'!A:N,8,0)/$M$4)=0,"",(VLOOKUP(B56,'Номенклатура'!A:N,8,0)/$M$4)),"")</f>
        <v/>
      </c>
      <c r="O56" s="109" t="str">
        <f>IFERROR(VLOOKUP(B56,'Номенклатура'!A:N,9,0),"")</f>
        <v/>
      </c>
      <c r="P56" s="109" t="str">
        <f>IFERROR(VLOOKUP(B56,'Номенклатура'!A:N,10,0),"")</f>
        <v/>
      </c>
      <c r="Q56" s="164" t="str">
        <f>IFERROR(if((VLOOKUP(B56,'Номенклатура'!A:N,11,0)/$M$4)=0,"",(VLOOKUP(B56,'Номенклатура'!A:N,11,0)/$M$4)),"")</f>
        <v/>
      </c>
      <c r="R56" s="187" t="str">
        <f>IFERROR(VLOOKUP(B56,'Номенклатура'!A:N,12,0),"")</f>
        <v/>
      </c>
      <c r="S56" s="109" t="str">
        <f>IFERROR(VLOOKUP(B56,'Номенклатура'!A:N,13,0),"")</f>
        <v/>
      </c>
      <c r="T56" s="188" t="str">
        <f>IFERROR(if((VLOOKUP(B56,'Номенклатура'!A:N,14,0)/$M$4)=0,"",(VLOOKUP(B56,'Номенклатура'!A:N,14,0)/$M$4)),"")</f>
        <v/>
      </c>
      <c r="U56" s="102"/>
      <c r="V56" s="178" t="str">
        <f>AND(E56&lt;&gt;"8543.70.4500",((VLOOKUP(B56,'Номенклатура'!A:F,4,0))/$M$4)&lt;&gt;0)</f>
        <v>#N/A</v>
      </c>
      <c r="Y56" s="9"/>
      <c r="Z56" s="9"/>
      <c r="AA56" s="9"/>
    </row>
    <row r="57">
      <c r="A57" s="202">
        <v>77.0</v>
      </c>
      <c r="B57" s="214" t="s">
        <v>88</v>
      </c>
      <c r="C57" s="177" t="s">
        <v>88</v>
      </c>
      <c r="D57" s="91"/>
      <c r="E57" s="210" t="str">
        <f>if(B57="","", VLOOKUP(B57,'Данни'!A:D,4,false))</f>
        <v/>
      </c>
      <c r="F57" s="169" t="str">
        <f>if(B57="","", VLOOKUP(B57,'Данни'!A:D,3,false))</f>
        <v/>
      </c>
      <c r="G57" s="170" t="str">
        <f t="shared" si="4"/>
        <v/>
      </c>
      <c r="H57" s="171" t="str">
        <f>IfError(IF(V57=TRUE,(VLOOKUP(B57,'Номенклатура'!A:F,4,0)/$M$4),""),"")</f>
        <v/>
      </c>
      <c r="I57" s="171" t="str">
        <f t="shared" si="2"/>
        <v/>
      </c>
      <c r="J57" s="172" t="str">
        <f t="shared" si="3"/>
        <v/>
      </c>
      <c r="K57" s="96" t="str">
        <f>iferror(VLOOKUP(B57,'Номенклатура'!A:F,5,0),"")</f>
        <v/>
      </c>
      <c r="L57" s="217" t="str">
        <f>iferror(VLOOKUP(B57,'Номенклатура'!A:N,6,0),"")</f>
        <v/>
      </c>
      <c r="M57" s="218" t="str">
        <f>iferror(VLOOKUP(B57,'Номенклатура'!A:N,7,0),"")</f>
        <v/>
      </c>
      <c r="N57" s="219" t="str">
        <f>IFERROR(if((VLOOKUP(B57,'Номенклатура'!A:N,8,0)/$M$4)=0,"",(VLOOKUP(B57,'Номенклатура'!A:N,8,0)/$M$4)),"")</f>
        <v/>
      </c>
      <c r="O57" s="97" t="str">
        <f>IFERROR(VLOOKUP(B57,'Номенклатура'!A:N,9,0),"")</f>
        <v/>
      </c>
      <c r="P57" s="97" t="str">
        <f>IFERROR(VLOOKUP(B57,'Номенклатура'!A:N,10,0),"")</f>
        <v/>
      </c>
      <c r="Q57" s="176" t="str">
        <f>IFERROR(if((VLOOKUP(B57,'Номенклатура'!A:N,11,0)/$M$4)=0,"",(VLOOKUP(B57,'Номенклатура'!A:N,11,0)/$M$4)),"")</f>
        <v/>
      </c>
      <c r="R57" s="217" t="str">
        <f>IFERROR(VLOOKUP(B57,'Номенклатура'!A:N,12,0),"")</f>
        <v/>
      </c>
      <c r="S57" s="218" t="str">
        <f>IFERROR(VLOOKUP(B57,'Номенклатура'!A:N,13,0),"")</f>
        <v/>
      </c>
      <c r="T57" s="219" t="str">
        <f>IFERROR(if((VLOOKUP(B57,'Номенклатура'!A:N,14,0)/$M$4)=0,"",(VLOOKUP(B57,'Номенклатура'!A:N,14,0)/$M$4)),"")</f>
        <v/>
      </c>
      <c r="U57" s="91"/>
      <c r="V57" s="178" t="str">
        <f>AND(E57&lt;&gt;"8543.70.4500",((VLOOKUP(B57,'Номенклатура'!A:F,4,0))/$M$4)&lt;&gt;0)</f>
        <v>#N/A</v>
      </c>
      <c r="Y57" s="9"/>
      <c r="Z57" s="9"/>
      <c r="AA57" s="9"/>
    </row>
    <row r="58">
      <c r="A58" s="220"/>
      <c r="B58" s="221"/>
      <c r="C58" s="222"/>
      <c r="D58" s="223"/>
      <c r="E58" s="223"/>
      <c r="F58" s="224" t="s">
        <v>96</v>
      </c>
      <c r="G58" s="225">
        <f>SUM(G1:G57)</f>
        <v>47521</v>
      </c>
      <c r="H58" s="226"/>
      <c r="I58" s="227"/>
      <c r="J58" s="228"/>
      <c r="K58" s="229"/>
      <c r="L58" s="230"/>
      <c r="M58" s="230"/>
      <c r="N58" s="231"/>
      <c r="O58" s="223"/>
      <c r="P58" s="223"/>
      <c r="Q58" s="232"/>
      <c r="R58" s="230"/>
      <c r="S58" s="230"/>
      <c r="T58" s="231"/>
      <c r="U58" s="109"/>
      <c r="V58" s="178" t="str">
        <f>AND(E58&lt;&gt;"8543.70.4500",((VLOOKUP(B58,'Номенклатура'!A:F,4,0))/$M$4)&lt;&gt;0)</f>
        <v>#N/A</v>
      </c>
      <c r="Y58" s="9"/>
      <c r="Z58" s="9"/>
      <c r="AA58" s="9"/>
    </row>
    <row r="59">
      <c r="A59" s="233" t="s">
        <v>97</v>
      </c>
      <c r="B59" s="234"/>
      <c r="C59" s="235"/>
      <c r="D59" s="236"/>
      <c r="E59" s="236"/>
      <c r="F59" s="237"/>
      <c r="G59" s="237"/>
      <c r="H59" s="238"/>
      <c r="I59" s="227"/>
      <c r="J59" s="228"/>
      <c r="K59" s="239"/>
      <c r="L59" s="240"/>
      <c r="M59" s="240"/>
      <c r="N59" s="241"/>
      <c r="O59" s="240"/>
      <c r="P59" s="240"/>
      <c r="Q59" s="241"/>
      <c r="R59" s="240"/>
      <c r="S59" s="240"/>
      <c r="T59" s="241"/>
      <c r="U59" s="97"/>
      <c r="Y59" s="203" t="s">
        <v>49</v>
      </c>
      <c r="Z59" s="195" t="s">
        <v>98</v>
      </c>
      <c r="AA59" s="194">
        <v>15.0</v>
      </c>
    </row>
    <row r="60">
      <c r="A60" s="242" t="s">
        <v>99</v>
      </c>
      <c r="B60" s="243"/>
      <c r="C60" s="244"/>
      <c r="D60" s="236"/>
      <c r="E60" s="236"/>
      <c r="F60" s="237"/>
      <c r="G60" s="237"/>
      <c r="H60" s="238"/>
      <c r="I60" s="227"/>
      <c r="J60" s="228"/>
      <c r="K60" s="239"/>
      <c r="L60" s="240"/>
      <c r="M60" s="240"/>
      <c r="N60" s="241"/>
      <c r="O60" s="240"/>
      <c r="P60" s="240"/>
      <c r="Q60" s="241"/>
      <c r="R60" s="240"/>
      <c r="S60" s="240"/>
      <c r="T60" s="241"/>
      <c r="U60" s="109"/>
      <c r="Y60" s="9"/>
      <c r="Z60" s="9"/>
      <c r="AA60" s="9"/>
    </row>
    <row r="61">
      <c r="A61" s="245" t="s">
        <v>100</v>
      </c>
      <c r="B61" s="234"/>
      <c r="C61" s="235"/>
      <c r="D61" s="236"/>
      <c r="E61" s="236"/>
      <c r="F61" s="237"/>
      <c r="G61" s="237"/>
      <c r="H61" s="238"/>
      <c r="I61" s="227"/>
      <c r="J61" s="228"/>
      <c r="K61" s="239"/>
      <c r="L61" s="240"/>
      <c r="M61" s="240"/>
      <c r="N61" s="241"/>
      <c r="O61" s="240"/>
      <c r="P61" s="240"/>
      <c r="Q61" s="241"/>
      <c r="R61" s="240"/>
      <c r="S61" s="240"/>
      <c r="T61" s="241"/>
      <c r="U61" s="97"/>
      <c r="Y61" s="9"/>
      <c r="Z61" s="9"/>
      <c r="AA61" s="9"/>
    </row>
    <row r="62" ht="17.25" customHeight="1">
      <c r="A62" s="246" t="s">
        <v>101</v>
      </c>
      <c r="B62" s="243"/>
      <c r="C62" s="244"/>
      <c r="D62" s="247"/>
      <c r="E62" s="247"/>
      <c r="F62" s="248"/>
      <c r="G62" s="248"/>
      <c r="H62" s="249"/>
      <c r="I62" s="227"/>
      <c r="J62" s="228"/>
      <c r="K62" s="250"/>
      <c r="L62" s="251"/>
      <c r="M62" s="251"/>
      <c r="N62" s="252"/>
      <c r="O62" s="251"/>
      <c r="P62" s="251"/>
      <c r="Q62" s="252"/>
      <c r="R62" s="251"/>
      <c r="S62" s="251"/>
      <c r="T62" s="252"/>
      <c r="U62" s="253"/>
      <c r="Y62" s="203" t="s">
        <v>102</v>
      </c>
      <c r="Z62" s="195" t="s">
        <v>103</v>
      </c>
      <c r="AA62" s="194">
        <v>55.0</v>
      </c>
    </row>
    <row r="63">
      <c r="A63" s="245" t="s">
        <v>104</v>
      </c>
      <c r="B63" s="234"/>
      <c r="C63" s="235"/>
      <c r="D63" s="247"/>
      <c r="E63" s="247"/>
      <c r="F63" s="248"/>
      <c r="G63" s="248"/>
      <c r="H63" s="249"/>
      <c r="I63" s="227"/>
      <c r="J63" s="228"/>
      <c r="K63" s="250"/>
      <c r="L63" s="251"/>
      <c r="M63" s="251"/>
      <c r="N63" s="252"/>
      <c r="O63" s="251"/>
      <c r="P63" s="251"/>
      <c r="Q63" s="252"/>
      <c r="R63" s="251"/>
      <c r="S63" s="251"/>
      <c r="T63" s="252"/>
      <c r="U63" s="254"/>
      <c r="Y63" s="9"/>
      <c r="Z63" s="9"/>
      <c r="AA63" s="9"/>
    </row>
    <row r="64">
      <c r="A64" s="246" t="s">
        <v>105</v>
      </c>
      <c r="B64" s="243"/>
      <c r="C64" s="244"/>
      <c r="D64" s="247"/>
      <c r="E64" s="247"/>
      <c r="F64" s="248"/>
      <c r="G64" s="248"/>
      <c r="H64" s="249"/>
      <c r="I64" s="227"/>
      <c r="J64" s="228"/>
      <c r="K64" s="250"/>
      <c r="L64" s="251"/>
      <c r="M64" s="251"/>
      <c r="N64" s="252"/>
      <c r="O64" s="251"/>
      <c r="P64" s="251"/>
      <c r="Q64" s="252"/>
      <c r="R64" s="251"/>
      <c r="S64" s="251"/>
      <c r="T64" s="252"/>
      <c r="U64" s="253"/>
      <c r="Y64" s="9"/>
      <c r="Z64" s="9"/>
      <c r="AA64" s="9"/>
    </row>
    <row r="65">
      <c r="A65" s="255"/>
      <c r="B65" s="256"/>
      <c r="C65" s="257"/>
      <c r="D65" s="247"/>
      <c r="E65" s="247"/>
      <c r="F65" s="248"/>
      <c r="G65" s="248"/>
      <c r="H65" s="249"/>
      <c r="I65" s="227"/>
      <c r="J65" s="228"/>
      <c r="K65" s="250"/>
      <c r="L65" s="251"/>
      <c r="M65" s="251"/>
      <c r="N65" s="252"/>
      <c r="O65" s="251"/>
      <c r="P65" s="251"/>
      <c r="Q65" s="252"/>
      <c r="R65" s="251"/>
      <c r="S65" s="251"/>
      <c r="T65" s="252"/>
      <c r="U65" s="254"/>
      <c r="Y65" s="203" t="s">
        <v>106</v>
      </c>
      <c r="Z65" s="195" t="s">
        <v>107</v>
      </c>
      <c r="AA65" s="194">
        <v>55.0</v>
      </c>
    </row>
    <row r="66">
      <c r="A66" s="255"/>
      <c r="B66" s="258"/>
      <c r="C66" s="259"/>
      <c r="D66" s="247"/>
      <c r="E66" s="247"/>
      <c r="F66" s="248"/>
      <c r="G66" s="248"/>
      <c r="H66" s="249"/>
      <c r="I66" s="227"/>
      <c r="J66" s="228"/>
      <c r="K66" s="250"/>
      <c r="L66" s="251"/>
      <c r="M66" s="251"/>
      <c r="N66" s="252"/>
      <c r="O66" s="251"/>
      <c r="P66" s="251"/>
      <c r="Q66" s="252"/>
      <c r="R66" s="251"/>
      <c r="S66" s="251"/>
      <c r="T66" s="252"/>
      <c r="U66" s="253"/>
      <c r="Y66" s="9"/>
      <c r="Z66" s="9"/>
      <c r="AA66" s="9"/>
    </row>
    <row r="67">
      <c r="A67" s="255"/>
      <c r="B67" s="256"/>
      <c r="C67" s="257"/>
      <c r="D67" s="247"/>
      <c r="E67" s="247"/>
      <c r="F67" s="248"/>
      <c r="G67" s="248"/>
      <c r="H67" s="249"/>
      <c r="I67" s="227"/>
      <c r="J67" s="228"/>
      <c r="K67" s="250"/>
      <c r="L67" s="251"/>
      <c r="M67" s="251"/>
      <c r="N67" s="252"/>
      <c r="O67" s="251"/>
      <c r="P67" s="251"/>
      <c r="Q67" s="252"/>
      <c r="R67" s="251"/>
      <c r="S67" s="251"/>
      <c r="T67" s="252"/>
      <c r="U67" s="254"/>
      <c r="Y67" s="9"/>
      <c r="Z67" s="9"/>
      <c r="AA67" s="9"/>
    </row>
    <row r="68">
      <c r="A68" s="255"/>
      <c r="B68" s="258"/>
      <c r="C68" s="259"/>
      <c r="D68" s="247"/>
      <c r="E68" s="247"/>
      <c r="F68" s="248"/>
      <c r="G68" s="248"/>
      <c r="H68" s="249"/>
      <c r="I68" s="227"/>
      <c r="J68" s="228"/>
      <c r="K68" s="250"/>
      <c r="L68" s="251"/>
      <c r="M68" s="251"/>
      <c r="N68" s="252"/>
      <c r="O68" s="251"/>
      <c r="P68" s="251"/>
      <c r="Q68" s="252"/>
      <c r="R68" s="251"/>
      <c r="S68" s="251"/>
      <c r="T68" s="252"/>
      <c r="U68" s="253"/>
      <c r="Y68" s="203" t="s">
        <v>108</v>
      </c>
      <c r="Z68" s="195" t="s">
        <v>109</v>
      </c>
      <c r="AA68" s="194">
        <v>55.0</v>
      </c>
    </row>
    <row r="69">
      <c r="A69" s="260"/>
      <c r="B69" s="261"/>
      <c r="C69" s="262"/>
      <c r="D69" s="260"/>
      <c r="E69" s="260"/>
      <c r="F69" s="263"/>
      <c r="G69" s="263"/>
      <c r="H69" s="264"/>
      <c r="I69" s="265"/>
      <c r="J69" s="263"/>
      <c r="K69" s="266"/>
      <c r="L69" s="260"/>
      <c r="M69" s="260"/>
      <c r="N69" s="267"/>
      <c r="O69" s="260"/>
      <c r="P69" s="260"/>
      <c r="Q69" s="267"/>
      <c r="R69" s="260"/>
      <c r="S69" s="260"/>
      <c r="T69" s="267"/>
      <c r="U69" s="268"/>
      <c r="Y69" s="9"/>
      <c r="Z69" s="9"/>
      <c r="AA69" s="9"/>
    </row>
    <row r="70">
      <c r="A70" s="269"/>
      <c r="B70" s="270"/>
      <c r="C70" s="271"/>
      <c r="D70" s="269"/>
      <c r="E70" s="269"/>
      <c r="F70" s="272"/>
      <c r="G70" s="272"/>
      <c r="H70" s="273"/>
      <c r="I70" s="274"/>
      <c r="J70" s="272"/>
      <c r="K70" s="275"/>
      <c r="L70" s="269"/>
      <c r="M70" s="269"/>
      <c r="N70" s="276"/>
      <c r="O70" s="269"/>
      <c r="P70" s="269"/>
      <c r="Q70" s="276"/>
      <c r="R70" s="269"/>
      <c r="S70" s="269"/>
      <c r="T70" s="276"/>
      <c r="Y70" s="9"/>
      <c r="Z70" s="9"/>
      <c r="AA70" s="9"/>
    </row>
    <row r="71">
      <c r="A71" s="269"/>
      <c r="B71" s="270"/>
      <c r="C71" s="271"/>
      <c r="D71" s="269"/>
      <c r="E71" s="269"/>
      <c r="F71" s="272"/>
      <c r="G71" s="272"/>
      <c r="H71" s="273"/>
      <c r="I71" s="274"/>
      <c r="J71" s="272"/>
      <c r="K71" s="275"/>
      <c r="L71" s="269"/>
      <c r="M71" s="269"/>
      <c r="N71" s="276"/>
      <c r="O71" s="269"/>
      <c r="P71" s="269"/>
      <c r="Q71" s="276"/>
      <c r="R71" s="269"/>
      <c r="S71" s="269"/>
      <c r="T71" s="276"/>
      <c r="Y71" s="203" t="s">
        <v>110</v>
      </c>
      <c r="Z71" s="195" t="s">
        <v>111</v>
      </c>
      <c r="AA71" s="194">
        <v>55.0</v>
      </c>
    </row>
    <row r="72">
      <c r="A72" s="269"/>
      <c r="B72" s="270"/>
      <c r="C72" s="271"/>
      <c r="D72" s="269"/>
      <c r="E72" s="269"/>
      <c r="F72" s="272"/>
      <c r="G72" s="272"/>
      <c r="H72" s="273"/>
      <c r="I72" s="274"/>
      <c r="J72" s="272"/>
      <c r="K72" s="275"/>
      <c r="L72" s="269"/>
      <c r="M72" s="269"/>
      <c r="N72" s="276"/>
      <c r="O72" s="269"/>
      <c r="P72" s="269"/>
      <c r="Q72" s="276"/>
      <c r="R72" s="269"/>
      <c r="S72" s="269"/>
      <c r="T72" s="276"/>
      <c r="Y72" s="9"/>
      <c r="Z72" s="9"/>
      <c r="AA72" s="9"/>
    </row>
    <row r="73">
      <c r="A73" s="269"/>
      <c r="B73" s="270"/>
      <c r="C73" s="271"/>
      <c r="D73" s="269"/>
      <c r="E73" s="269"/>
      <c r="F73" s="272"/>
      <c r="G73" s="272"/>
      <c r="H73" s="273"/>
      <c r="I73" s="274"/>
      <c r="J73" s="272"/>
      <c r="K73" s="275"/>
      <c r="L73" s="269"/>
      <c r="M73" s="269"/>
      <c r="N73" s="276"/>
      <c r="O73" s="269"/>
      <c r="P73" s="269"/>
      <c r="Q73" s="276"/>
      <c r="R73" s="269"/>
      <c r="S73" s="269"/>
      <c r="T73" s="276"/>
      <c r="Y73" s="9"/>
      <c r="Z73" s="9"/>
      <c r="AA73" s="9"/>
    </row>
    <row r="74">
      <c r="A74" s="269"/>
      <c r="B74" s="270"/>
      <c r="C74" s="271"/>
      <c r="D74" s="269"/>
      <c r="E74" s="269"/>
      <c r="F74" s="272"/>
      <c r="G74" s="272"/>
      <c r="H74" s="273"/>
      <c r="I74" s="274"/>
      <c r="J74" s="272"/>
      <c r="K74" s="275"/>
      <c r="L74" s="269"/>
      <c r="M74" s="269"/>
      <c r="N74" s="276"/>
      <c r="O74" s="269"/>
      <c r="P74" s="269"/>
      <c r="Q74" s="276"/>
      <c r="R74" s="269"/>
      <c r="S74" s="269"/>
      <c r="T74" s="276"/>
      <c r="Y74" s="203" t="s">
        <v>59</v>
      </c>
      <c r="Z74" s="195" t="s">
        <v>112</v>
      </c>
      <c r="AA74" s="194">
        <v>10.0</v>
      </c>
    </row>
    <row r="75">
      <c r="A75" s="269"/>
      <c r="B75" s="270"/>
      <c r="C75" s="271"/>
      <c r="D75" s="269"/>
      <c r="E75" s="269"/>
      <c r="F75" s="272"/>
      <c r="G75" s="272"/>
      <c r="H75" s="273"/>
      <c r="I75" s="274"/>
      <c r="J75" s="272"/>
      <c r="K75" s="275"/>
      <c r="L75" s="269"/>
      <c r="M75" s="269"/>
      <c r="N75" s="276"/>
      <c r="O75" s="269"/>
      <c r="P75" s="269"/>
      <c r="Q75" s="276"/>
      <c r="R75" s="269"/>
      <c r="S75" s="269"/>
      <c r="T75" s="276"/>
      <c r="Y75" s="9"/>
      <c r="Z75" s="9"/>
      <c r="AA75" s="9"/>
    </row>
    <row r="76">
      <c r="A76" s="269"/>
      <c r="B76" s="270"/>
      <c r="C76" s="271"/>
      <c r="D76" s="269"/>
      <c r="E76" s="269"/>
      <c r="F76" s="272"/>
      <c r="G76" s="272"/>
      <c r="H76" s="273"/>
      <c r="I76" s="274"/>
      <c r="J76" s="272"/>
      <c r="K76" s="275"/>
      <c r="L76" s="269"/>
      <c r="M76" s="269"/>
      <c r="N76" s="276"/>
      <c r="O76" s="269"/>
      <c r="P76" s="269"/>
      <c r="Q76" s="276"/>
      <c r="R76" s="269"/>
      <c r="S76" s="269"/>
      <c r="T76" s="276"/>
      <c r="Y76" s="9"/>
      <c r="Z76" s="9"/>
      <c r="AA76" s="9"/>
    </row>
    <row r="77">
      <c r="A77" s="269"/>
      <c r="B77" s="270"/>
      <c r="C77" s="271"/>
      <c r="D77" s="269"/>
      <c r="E77" s="269"/>
      <c r="F77" s="272"/>
      <c r="G77" s="272"/>
      <c r="H77" s="273"/>
      <c r="I77" s="274"/>
      <c r="J77" s="272"/>
      <c r="K77" s="275"/>
      <c r="L77" s="269"/>
      <c r="M77" s="269"/>
      <c r="N77" s="276"/>
      <c r="O77" s="269"/>
      <c r="P77" s="269"/>
      <c r="Q77" s="276"/>
      <c r="R77" s="269"/>
      <c r="S77" s="269"/>
      <c r="T77" s="276"/>
      <c r="Y77" s="203" t="s">
        <v>60</v>
      </c>
      <c r="Z77" s="195" t="s">
        <v>113</v>
      </c>
      <c r="AA77" s="194">
        <v>10.0</v>
      </c>
    </row>
    <row r="78">
      <c r="A78" s="269"/>
      <c r="B78" s="270"/>
      <c r="C78" s="271"/>
      <c r="D78" s="269"/>
      <c r="E78" s="269"/>
      <c r="F78" s="272"/>
      <c r="G78" s="272"/>
      <c r="H78" s="273"/>
      <c r="I78" s="274"/>
      <c r="J78" s="272"/>
      <c r="K78" s="275"/>
      <c r="L78" s="269"/>
      <c r="M78" s="269"/>
      <c r="N78" s="276"/>
      <c r="O78" s="269"/>
      <c r="P78" s="269"/>
      <c r="Q78" s="276"/>
      <c r="R78" s="269"/>
      <c r="S78" s="269"/>
      <c r="T78" s="276"/>
      <c r="Y78" s="9"/>
      <c r="Z78" s="9"/>
      <c r="AA78" s="9"/>
    </row>
    <row r="79">
      <c r="A79" s="269"/>
      <c r="B79" s="270"/>
      <c r="C79" s="271"/>
      <c r="D79" s="269"/>
      <c r="E79" s="269"/>
      <c r="F79" s="272"/>
      <c r="G79" s="272"/>
      <c r="H79" s="273"/>
      <c r="I79" s="274"/>
      <c r="J79" s="272"/>
      <c r="K79" s="275"/>
      <c r="L79" s="269"/>
      <c r="M79" s="269"/>
      <c r="N79" s="276"/>
      <c r="O79" s="269"/>
      <c r="P79" s="269"/>
      <c r="Q79" s="276"/>
      <c r="R79" s="269"/>
      <c r="S79" s="269"/>
      <c r="T79" s="276"/>
      <c r="Y79" s="9"/>
      <c r="Z79" s="9"/>
      <c r="AA79" s="9"/>
    </row>
    <row r="80">
      <c r="A80" s="269"/>
      <c r="B80" s="270"/>
      <c r="C80" s="271"/>
      <c r="D80" s="269"/>
      <c r="E80" s="269"/>
      <c r="F80" s="272"/>
      <c r="G80" s="272"/>
      <c r="H80" s="273"/>
      <c r="I80" s="274"/>
      <c r="J80" s="272"/>
      <c r="K80" s="275"/>
      <c r="L80" s="269"/>
      <c r="M80" s="269"/>
      <c r="N80" s="276"/>
      <c r="O80" s="269"/>
      <c r="P80" s="269"/>
      <c r="Q80" s="276"/>
      <c r="R80" s="269"/>
      <c r="S80" s="269"/>
      <c r="T80" s="276"/>
      <c r="Y80" s="203" t="s">
        <v>61</v>
      </c>
      <c r="Z80" s="195" t="s">
        <v>114</v>
      </c>
      <c r="AA80" s="194">
        <v>10.0</v>
      </c>
    </row>
    <row r="81">
      <c r="A81" s="269"/>
      <c r="B81" s="270"/>
      <c r="C81" s="271"/>
      <c r="D81" s="269"/>
      <c r="E81" s="269"/>
      <c r="F81" s="272"/>
      <c r="G81" s="272"/>
      <c r="H81" s="273"/>
      <c r="I81" s="274"/>
      <c r="J81" s="272"/>
      <c r="K81" s="275"/>
      <c r="L81" s="269"/>
      <c r="M81" s="269"/>
      <c r="N81" s="276"/>
      <c r="O81" s="269"/>
      <c r="P81" s="269"/>
      <c r="Q81" s="276"/>
      <c r="R81" s="269"/>
      <c r="S81" s="269"/>
      <c r="T81" s="276"/>
      <c r="Y81" s="9"/>
      <c r="Z81" s="9"/>
      <c r="AA81" s="9"/>
    </row>
    <row r="82">
      <c r="A82" s="269"/>
      <c r="B82" s="270"/>
      <c r="C82" s="271"/>
      <c r="D82" s="269"/>
      <c r="E82" s="269"/>
      <c r="F82" s="272"/>
      <c r="G82" s="272"/>
      <c r="H82" s="273"/>
      <c r="I82" s="274"/>
      <c r="J82" s="272"/>
      <c r="K82" s="275"/>
      <c r="L82" s="269"/>
      <c r="M82" s="269"/>
      <c r="N82" s="276"/>
      <c r="O82" s="269"/>
      <c r="P82" s="269"/>
      <c r="Q82" s="276"/>
      <c r="R82" s="269"/>
      <c r="S82" s="269"/>
      <c r="T82" s="276"/>
      <c r="Y82" s="9"/>
      <c r="Z82" s="9"/>
      <c r="AA82" s="9"/>
    </row>
    <row r="83">
      <c r="A83" s="269"/>
      <c r="B83" s="270"/>
      <c r="C83" s="271"/>
      <c r="D83" s="269"/>
      <c r="E83" s="269"/>
      <c r="F83" s="272"/>
      <c r="G83" s="272"/>
      <c r="H83" s="273"/>
      <c r="I83" s="274"/>
      <c r="J83" s="272"/>
      <c r="K83" s="275"/>
      <c r="L83" s="269"/>
      <c r="M83" s="269"/>
      <c r="N83" s="276"/>
      <c r="O83" s="269"/>
      <c r="P83" s="269"/>
      <c r="Q83" s="276"/>
      <c r="R83" s="269"/>
      <c r="S83" s="269"/>
      <c r="T83" s="276"/>
      <c r="Y83" s="203" t="s">
        <v>45</v>
      </c>
      <c r="Z83" s="195" t="s">
        <v>115</v>
      </c>
      <c r="AA83" s="194">
        <v>8.0</v>
      </c>
    </row>
    <row r="84">
      <c r="A84" s="269"/>
      <c r="B84" s="270"/>
      <c r="C84" s="271"/>
      <c r="D84" s="269"/>
      <c r="E84" s="269"/>
      <c r="F84" s="272"/>
      <c r="G84" s="272"/>
      <c r="H84" s="273"/>
      <c r="I84" s="274"/>
      <c r="J84" s="272"/>
      <c r="K84" s="275"/>
      <c r="L84" s="269"/>
      <c r="M84" s="269"/>
      <c r="N84" s="276"/>
      <c r="O84" s="269"/>
      <c r="P84" s="269"/>
      <c r="Q84" s="276"/>
      <c r="R84" s="269"/>
      <c r="S84" s="269"/>
      <c r="T84" s="276"/>
      <c r="Y84" s="9"/>
      <c r="Z84" s="9"/>
      <c r="AA84" s="9"/>
    </row>
    <row r="85">
      <c r="A85" s="269"/>
      <c r="B85" s="270"/>
      <c r="C85" s="271"/>
      <c r="D85" s="269"/>
      <c r="E85" s="269"/>
      <c r="F85" s="272"/>
      <c r="G85" s="272"/>
      <c r="H85" s="273"/>
      <c r="I85" s="274"/>
      <c r="J85" s="272"/>
      <c r="K85" s="275"/>
      <c r="L85" s="269"/>
      <c r="M85" s="269"/>
      <c r="N85" s="276"/>
      <c r="O85" s="269"/>
      <c r="P85" s="269"/>
      <c r="Q85" s="276"/>
      <c r="R85" s="269"/>
      <c r="S85" s="269"/>
      <c r="T85" s="276"/>
      <c r="Y85" s="9"/>
      <c r="Z85" s="9"/>
      <c r="AA85" s="9"/>
    </row>
    <row r="86">
      <c r="A86" s="269"/>
      <c r="B86" s="270"/>
      <c r="C86" s="271"/>
      <c r="D86" s="269"/>
      <c r="E86" s="269"/>
      <c r="F86" s="272"/>
      <c r="G86" s="272"/>
      <c r="H86" s="273"/>
      <c r="I86" s="274"/>
      <c r="J86" s="272"/>
      <c r="K86" s="275"/>
      <c r="L86" s="269"/>
      <c r="M86" s="269"/>
      <c r="N86" s="276"/>
      <c r="O86" s="269"/>
      <c r="P86" s="269"/>
      <c r="Q86" s="276"/>
      <c r="R86" s="269"/>
      <c r="S86" s="269"/>
      <c r="T86" s="276"/>
      <c r="Y86" s="203" t="s">
        <v>116</v>
      </c>
      <c r="Z86" s="195" t="s">
        <v>117</v>
      </c>
      <c r="AA86" s="194">
        <v>5.0</v>
      </c>
    </row>
    <row r="87">
      <c r="A87" s="269"/>
      <c r="B87" s="270"/>
      <c r="C87" s="271"/>
      <c r="D87" s="269"/>
      <c r="E87" s="269"/>
      <c r="F87" s="272"/>
      <c r="G87" s="272"/>
      <c r="H87" s="273"/>
      <c r="I87" s="274"/>
      <c r="J87" s="272"/>
      <c r="K87" s="275"/>
      <c r="L87" s="269"/>
      <c r="M87" s="269"/>
      <c r="N87" s="276"/>
      <c r="O87" s="269"/>
      <c r="P87" s="269"/>
      <c r="Q87" s="276"/>
      <c r="R87" s="269"/>
      <c r="S87" s="269"/>
      <c r="T87" s="276"/>
      <c r="Y87" s="9"/>
      <c r="Z87" s="9"/>
      <c r="AA87" s="9"/>
    </row>
    <row r="88">
      <c r="A88" s="269"/>
      <c r="B88" s="270"/>
      <c r="C88" s="271"/>
      <c r="D88" s="269"/>
      <c r="E88" s="269"/>
      <c r="F88" s="272"/>
      <c r="G88" s="272"/>
      <c r="H88" s="273"/>
      <c r="I88" s="274"/>
      <c r="J88" s="272"/>
      <c r="K88" s="275"/>
      <c r="L88" s="269"/>
      <c r="M88" s="269"/>
      <c r="N88" s="276"/>
      <c r="O88" s="269"/>
      <c r="P88" s="269"/>
      <c r="Q88" s="276"/>
      <c r="R88" s="269"/>
      <c r="S88" s="269"/>
      <c r="T88" s="276"/>
      <c r="Y88" s="9"/>
      <c r="Z88" s="9"/>
      <c r="AA88" s="9"/>
    </row>
    <row r="89">
      <c r="A89" s="269"/>
      <c r="B89" s="270"/>
      <c r="C89" s="271"/>
      <c r="D89" s="269"/>
      <c r="E89" s="269"/>
      <c r="F89" s="272"/>
      <c r="G89" s="272"/>
      <c r="H89" s="273"/>
      <c r="I89" s="274"/>
      <c r="J89" s="272"/>
      <c r="K89" s="275"/>
      <c r="L89" s="269"/>
      <c r="M89" s="269"/>
      <c r="N89" s="276"/>
      <c r="O89" s="269"/>
      <c r="P89" s="269"/>
      <c r="Q89" s="276"/>
      <c r="R89" s="269"/>
      <c r="S89" s="269"/>
      <c r="T89" s="276"/>
      <c r="Y89" s="203" t="s">
        <v>118</v>
      </c>
      <c r="Z89" s="195" t="s">
        <v>119</v>
      </c>
      <c r="AA89" s="194">
        <v>13.0</v>
      </c>
    </row>
    <row r="90">
      <c r="A90" s="269"/>
      <c r="B90" s="270"/>
      <c r="C90" s="271"/>
      <c r="D90" s="269"/>
      <c r="E90" s="269"/>
      <c r="F90" s="272"/>
      <c r="G90" s="272"/>
      <c r="H90" s="273"/>
      <c r="I90" s="274"/>
      <c r="J90" s="272"/>
      <c r="K90" s="275"/>
      <c r="L90" s="269"/>
      <c r="M90" s="269"/>
      <c r="N90" s="276"/>
      <c r="O90" s="269"/>
      <c r="P90" s="269"/>
      <c r="Q90" s="276"/>
      <c r="R90" s="269"/>
      <c r="S90" s="269"/>
      <c r="T90" s="276"/>
      <c r="Y90" s="9"/>
      <c r="Z90" s="9"/>
      <c r="AA90" s="9"/>
    </row>
    <row r="91">
      <c r="A91" s="269"/>
      <c r="B91" s="270"/>
      <c r="C91" s="271"/>
      <c r="D91" s="269"/>
      <c r="E91" s="269"/>
      <c r="F91" s="272"/>
      <c r="G91" s="272"/>
      <c r="H91" s="273"/>
      <c r="I91" s="274"/>
      <c r="J91" s="272"/>
      <c r="K91" s="275"/>
      <c r="L91" s="269"/>
      <c r="M91" s="269"/>
      <c r="N91" s="276"/>
      <c r="O91" s="269"/>
      <c r="P91" s="269"/>
      <c r="Q91" s="276"/>
      <c r="R91" s="269"/>
      <c r="S91" s="269"/>
      <c r="T91" s="276"/>
      <c r="Y91" s="9"/>
      <c r="Z91" s="9"/>
      <c r="AA91" s="9"/>
    </row>
    <row r="92">
      <c r="A92" s="269"/>
      <c r="B92" s="270"/>
      <c r="C92" s="271"/>
      <c r="D92" s="269"/>
      <c r="E92" s="269"/>
      <c r="F92" s="272"/>
      <c r="G92" s="272"/>
      <c r="H92" s="273"/>
      <c r="I92" s="274"/>
      <c r="J92" s="272"/>
      <c r="K92" s="275"/>
      <c r="L92" s="269"/>
      <c r="M92" s="269"/>
      <c r="N92" s="276"/>
      <c r="O92" s="269"/>
      <c r="P92" s="269"/>
      <c r="Q92" s="276"/>
      <c r="R92" s="269"/>
      <c r="S92" s="269"/>
      <c r="T92" s="276"/>
      <c r="Y92" s="203" t="s">
        <v>120</v>
      </c>
      <c r="Z92" s="203" t="s">
        <v>121</v>
      </c>
      <c r="AA92" s="194">
        <v>3.0</v>
      </c>
    </row>
    <row r="93">
      <c r="A93" s="269"/>
      <c r="B93" s="270"/>
      <c r="C93" s="271"/>
      <c r="D93" s="269"/>
      <c r="E93" s="269"/>
      <c r="F93" s="272"/>
      <c r="G93" s="272"/>
      <c r="H93" s="273"/>
      <c r="I93" s="274"/>
      <c r="J93" s="272"/>
      <c r="K93" s="275"/>
      <c r="L93" s="269"/>
      <c r="M93" s="269"/>
      <c r="N93" s="276"/>
      <c r="O93" s="269"/>
      <c r="P93" s="269"/>
      <c r="Q93" s="276"/>
      <c r="R93" s="269"/>
      <c r="S93" s="269"/>
      <c r="T93" s="276"/>
      <c r="Y93" s="9"/>
      <c r="Z93" s="9"/>
      <c r="AA93" s="9"/>
    </row>
    <row r="94">
      <c r="A94" s="269"/>
      <c r="B94" s="270"/>
      <c r="C94" s="271"/>
      <c r="D94" s="269"/>
      <c r="E94" s="269"/>
      <c r="F94" s="272"/>
      <c r="G94" s="272"/>
      <c r="H94" s="273"/>
      <c r="I94" s="274"/>
      <c r="J94" s="272"/>
      <c r="K94" s="275"/>
      <c r="L94" s="269"/>
      <c r="M94" s="269"/>
      <c r="N94" s="276"/>
      <c r="O94" s="269"/>
      <c r="P94" s="269"/>
      <c r="Q94" s="276"/>
      <c r="R94" s="269"/>
      <c r="S94" s="269"/>
      <c r="T94" s="276"/>
      <c r="Y94" s="9"/>
      <c r="Z94" s="9"/>
      <c r="AA94" s="9"/>
    </row>
    <row r="95">
      <c r="A95" s="269"/>
      <c r="B95" s="270"/>
      <c r="C95" s="271"/>
      <c r="D95" s="269"/>
      <c r="E95" s="269"/>
      <c r="F95" s="272"/>
      <c r="G95" s="272"/>
      <c r="H95" s="273"/>
      <c r="I95" s="274"/>
      <c r="J95" s="272"/>
      <c r="K95" s="275"/>
      <c r="L95" s="269"/>
      <c r="M95" s="269"/>
      <c r="N95" s="276"/>
      <c r="O95" s="269"/>
      <c r="P95" s="269"/>
      <c r="Q95" s="276"/>
      <c r="R95" s="269"/>
      <c r="S95" s="269"/>
      <c r="T95" s="276"/>
      <c r="Y95" s="203" t="s">
        <v>44</v>
      </c>
      <c r="Z95" s="203" t="s">
        <v>122</v>
      </c>
      <c r="AA95" s="194">
        <v>3.0</v>
      </c>
    </row>
    <row r="96">
      <c r="A96" s="269"/>
      <c r="B96" s="270"/>
      <c r="C96" s="271"/>
      <c r="D96" s="269"/>
      <c r="E96" s="269"/>
      <c r="F96" s="272"/>
      <c r="G96" s="272"/>
      <c r="H96" s="273"/>
      <c r="I96" s="274"/>
      <c r="J96" s="272"/>
      <c r="K96" s="275"/>
      <c r="L96" s="269"/>
      <c r="M96" s="269"/>
      <c r="N96" s="276"/>
      <c r="O96" s="269"/>
      <c r="P96" s="269"/>
      <c r="Q96" s="276"/>
      <c r="R96" s="269"/>
      <c r="S96" s="269"/>
      <c r="T96" s="276"/>
      <c r="Y96" s="9"/>
      <c r="Z96" s="9"/>
      <c r="AA96" s="9"/>
    </row>
    <row r="97">
      <c r="A97" s="269"/>
      <c r="B97" s="270"/>
      <c r="C97" s="271"/>
      <c r="D97" s="269"/>
      <c r="E97" s="269"/>
      <c r="F97" s="272"/>
      <c r="G97" s="272"/>
      <c r="H97" s="273"/>
      <c r="I97" s="274"/>
      <c r="J97" s="272"/>
      <c r="K97" s="275"/>
      <c r="L97" s="269"/>
      <c r="M97" s="269"/>
      <c r="N97" s="276"/>
      <c r="O97" s="269"/>
      <c r="P97" s="269"/>
      <c r="Q97" s="276"/>
      <c r="R97" s="269"/>
      <c r="S97" s="269"/>
      <c r="T97" s="276"/>
      <c r="Y97" s="9"/>
      <c r="Z97" s="9"/>
      <c r="AA97" s="9"/>
    </row>
    <row r="98">
      <c r="A98" s="269"/>
      <c r="B98" s="270"/>
      <c r="C98" s="271"/>
      <c r="D98" s="269"/>
      <c r="E98" s="269"/>
      <c r="F98" s="272"/>
      <c r="G98" s="272"/>
      <c r="H98" s="273"/>
      <c r="I98" s="274"/>
      <c r="J98" s="272"/>
      <c r="K98" s="275"/>
      <c r="L98" s="269"/>
      <c r="M98" s="269"/>
      <c r="N98" s="276"/>
      <c r="O98" s="269"/>
      <c r="P98" s="269"/>
      <c r="Q98" s="276"/>
      <c r="R98" s="269"/>
      <c r="S98" s="269"/>
      <c r="T98" s="276"/>
      <c r="Y98" s="203" t="s">
        <v>123</v>
      </c>
      <c r="Z98" s="203" t="s">
        <v>124</v>
      </c>
      <c r="AA98" s="194">
        <v>1.0</v>
      </c>
    </row>
    <row r="99">
      <c r="A99" s="269"/>
      <c r="B99" s="270"/>
      <c r="C99" s="271"/>
      <c r="D99" s="269"/>
      <c r="E99" s="269"/>
      <c r="F99" s="272"/>
      <c r="G99" s="272"/>
      <c r="H99" s="273"/>
      <c r="I99" s="274"/>
      <c r="J99" s="272"/>
      <c r="K99" s="275"/>
      <c r="L99" s="269"/>
      <c r="M99" s="269"/>
      <c r="N99" s="276"/>
      <c r="O99" s="269"/>
      <c r="P99" s="269"/>
      <c r="Q99" s="276"/>
      <c r="R99" s="269"/>
      <c r="S99" s="269"/>
      <c r="T99" s="276"/>
      <c r="Y99" s="9"/>
      <c r="Z99" s="9"/>
      <c r="AA99" s="9"/>
    </row>
    <row r="100">
      <c r="A100" s="269"/>
      <c r="B100" s="270"/>
      <c r="C100" s="271"/>
      <c r="D100" s="269"/>
      <c r="E100" s="269"/>
      <c r="F100" s="272"/>
      <c r="G100" s="272"/>
      <c r="H100" s="273"/>
      <c r="I100" s="274"/>
      <c r="J100" s="272"/>
      <c r="K100" s="275"/>
      <c r="L100" s="269"/>
      <c r="M100" s="269"/>
      <c r="N100" s="276"/>
      <c r="O100" s="269"/>
      <c r="P100" s="269"/>
      <c r="Q100" s="276"/>
      <c r="R100" s="269"/>
      <c r="S100" s="269"/>
      <c r="T100" s="276"/>
      <c r="Y100" s="9"/>
      <c r="Z100" s="9"/>
      <c r="AA100" s="9"/>
    </row>
    <row r="101">
      <c r="A101" s="269"/>
      <c r="B101" s="270"/>
      <c r="C101" s="271"/>
      <c r="D101" s="269"/>
      <c r="E101" s="269"/>
      <c r="F101" s="272"/>
      <c r="G101" s="272"/>
      <c r="H101" s="273"/>
      <c r="I101" s="274"/>
      <c r="J101" s="272"/>
      <c r="K101" s="275"/>
      <c r="L101" s="269"/>
      <c r="M101" s="269"/>
      <c r="N101" s="276"/>
      <c r="O101" s="269"/>
      <c r="P101" s="269"/>
      <c r="Q101" s="276"/>
      <c r="R101" s="269"/>
      <c r="S101" s="269"/>
      <c r="T101" s="276"/>
      <c r="Y101" s="9"/>
      <c r="Z101" s="9"/>
      <c r="AA101" s="9"/>
    </row>
    <row r="102">
      <c r="A102" s="269"/>
      <c r="B102" s="270"/>
      <c r="C102" s="271"/>
      <c r="D102" s="269"/>
      <c r="E102" s="269"/>
      <c r="F102" s="272"/>
      <c r="G102" s="272"/>
      <c r="H102" s="273"/>
      <c r="I102" s="274"/>
      <c r="J102" s="272"/>
      <c r="K102" s="275"/>
      <c r="L102" s="269"/>
      <c r="M102" s="269"/>
      <c r="N102" s="276"/>
      <c r="O102" s="269"/>
      <c r="P102" s="269"/>
      <c r="Q102" s="276"/>
      <c r="R102" s="269"/>
      <c r="S102" s="269"/>
      <c r="T102" s="276"/>
      <c r="Y102" s="9"/>
      <c r="Z102" s="9"/>
      <c r="AA102" s="9"/>
    </row>
    <row r="103">
      <c r="A103" s="269"/>
      <c r="B103" s="270"/>
      <c r="C103" s="271"/>
      <c r="D103" s="269"/>
      <c r="E103" s="269"/>
      <c r="F103" s="272"/>
      <c r="G103" s="272"/>
      <c r="H103" s="273"/>
      <c r="I103" s="274"/>
      <c r="J103" s="272"/>
      <c r="K103" s="275"/>
      <c r="L103" s="269"/>
      <c r="M103" s="269"/>
      <c r="N103" s="276"/>
      <c r="O103" s="269"/>
      <c r="P103" s="269"/>
      <c r="Q103" s="276"/>
      <c r="R103" s="269"/>
      <c r="S103" s="269"/>
      <c r="T103" s="276"/>
      <c r="Y103" s="9"/>
      <c r="Z103" s="9"/>
      <c r="AA103" s="9"/>
    </row>
    <row r="104">
      <c r="A104" s="269"/>
      <c r="B104" s="270"/>
      <c r="C104" s="271"/>
      <c r="D104" s="269"/>
      <c r="E104" s="269"/>
      <c r="F104" s="272"/>
      <c r="G104" s="272"/>
      <c r="H104" s="273"/>
      <c r="I104" s="274"/>
      <c r="J104" s="272"/>
      <c r="K104" s="275"/>
      <c r="L104" s="269"/>
      <c r="M104" s="269"/>
      <c r="N104" s="276"/>
      <c r="O104" s="269"/>
      <c r="P104" s="269"/>
      <c r="Q104" s="276"/>
      <c r="R104" s="269"/>
      <c r="S104" s="269"/>
      <c r="T104" s="276"/>
      <c r="Y104" s="9"/>
      <c r="Z104" s="9"/>
      <c r="AA104" s="9"/>
    </row>
    <row r="105">
      <c r="A105" s="269"/>
      <c r="B105" s="270"/>
      <c r="C105" s="271"/>
      <c r="D105" s="269"/>
      <c r="E105" s="269"/>
      <c r="F105" s="272"/>
      <c r="G105" s="272"/>
      <c r="H105" s="273"/>
      <c r="I105" s="274"/>
      <c r="J105" s="272"/>
      <c r="K105" s="275"/>
      <c r="L105" s="269"/>
      <c r="M105" s="269"/>
      <c r="N105" s="276"/>
      <c r="O105" s="269"/>
      <c r="P105" s="269"/>
      <c r="Q105" s="276"/>
      <c r="R105" s="269"/>
      <c r="S105" s="269"/>
      <c r="T105" s="276"/>
      <c r="Y105" s="9"/>
      <c r="Z105" s="9"/>
      <c r="AA105" s="9"/>
    </row>
    <row r="106">
      <c r="B106" s="32"/>
      <c r="F106" s="277"/>
      <c r="G106" s="277"/>
      <c r="H106" s="278"/>
      <c r="I106" s="279"/>
      <c r="J106" s="277"/>
      <c r="N106" s="280"/>
      <c r="Q106" s="280"/>
      <c r="T106" s="280"/>
      <c r="Y106" s="9"/>
      <c r="Z106" s="9"/>
      <c r="AA106" s="9"/>
    </row>
    <row r="107">
      <c r="B107" s="32"/>
      <c r="F107" s="277"/>
      <c r="G107" s="277"/>
      <c r="H107" s="278"/>
      <c r="I107" s="279"/>
      <c r="J107" s="277"/>
      <c r="N107" s="280"/>
      <c r="Q107" s="280"/>
      <c r="T107" s="280"/>
      <c r="Y107" s="9"/>
      <c r="Z107" s="9"/>
      <c r="AA107" s="9"/>
    </row>
    <row r="108">
      <c r="B108" s="32"/>
      <c r="F108" s="277"/>
      <c r="G108" s="277"/>
      <c r="H108" s="278"/>
      <c r="I108" s="279"/>
      <c r="J108" s="277"/>
      <c r="N108" s="280"/>
      <c r="Q108" s="280"/>
      <c r="T108" s="280"/>
      <c r="Y108" s="9"/>
      <c r="Z108" s="9"/>
      <c r="AA108" s="9"/>
    </row>
    <row r="109">
      <c r="B109" s="32"/>
      <c r="F109" s="277"/>
      <c r="G109" s="277"/>
      <c r="H109" s="278"/>
      <c r="I109" s="279"/>
      <c r="J109" s="277"/>
      <c r="N109" s="280"/>
      <c r="Q109" s="280"/>
      <c r="T109" s="280"/>
      <c r="Y109" s="9"/>
      <c r="Z109" s="9"/>
      <c r="AA109" s="9"/>
    </row>
    <row r="110">
      <c r="B110" s="32"/>
      <c r="F110" s="277"/>
      <c r="G110" s="277"/>
      <c r="H110" s="278"/>
      <c r="I110" s="279"/>
      <c r="J110" s="277"/>
      <c r="N110" s="280"/>
      <c r="Q110" s="280"/>
      <c r="T110" s="280"/>
      <c r="Y110" s="9"/>
      <c r="Z110" s="9"/>
      <c r="AA110" s="9"/>
    </row>
    <row r="111">
      <c r="B111" s="32"/>
      <c r="F111" s="277"/>
      <c r="G111" s="277"/>
      <c r="H111" s="278"/>
      <c r="I111" s="279"/>
      <c r="J111" s="277"/>
      <c r="N111" s="280"/>
      <c r="Q111" s="280"/>
      <c r="T111" s="280"/>
      <c r="Y111" s="9"/>
      <c r="Z111" s="9"/>
      <c r="AA111" s="9"/>
    </row>
    <row r="112">
      <c r="B112" s="32"/>
      <c r="F112" s="277"/>
      <c r="G112" s="277"/>
      <c r="H112" s="278"/>
      <c r="I112" s="279"/>
      <c r="J112" s="277"/>
      <c r="N112" s="280"/>
      <c r="Q112" s="280"/>
      <c r="T112" s="280"/>
      <c r="Y112" s="9"/>
      <c r="Z112" s="9"/>
      <c r="AA112" s="9"/>
    </row>
    <row r="113">
      <c r="B113" s="32"/>
      <c r="F113" s="277"/>
      <c r="G113" s="277"/>
      <c r="H113" s="278"/>
      <c r="I113" s="279"/>
      <c r="J113" s="277"/>
      <c r="N113" s="280"/>
      <c r="Q113" s="280"/>
      <c r="T113" s="280"/>
      <c r="Y113" s="9"/>
      <c r="Z113" s="9"/>
      <c r="AA113" s="9"/>
    </row>
    <row r="114">
      <c r="B114" s="32"/>
      <c r="F114" s="277"/>
      <c r="G114" s="277"/>
      <c r="H114" s="278"/>
      <c r="I114" s="279"/>
      <c r="J114" s="277"/>
      <c r="N114" s="280"/>
      <c r="Q114" s="280"/>
      <c r="T114" s="280"/>
      <c r="Y114" s="9"/>
      <c r="Z114" s="9"/>
      <c r="AA114" s="9"/>
    </row>
    <row r="115">
      <c r="B115" s="32"/>
      <c r="F115" s="277"/>
      <c r="G115" s="277"/>
      <c r="H115" s="278"/>
      <c r="I115" s="279"/>
      <c r="J115" s="277"/>
      <c r="N115" s="280"/>
      <c r="Q115" s="280"/>
      <c r="T115" s="280"/>
      <c r="Y115" s="9"/>
      <c r="Z115" s="9"/>
      <c r="AA115" s="9"/>
    </row>
    <row r="116">
      <c r="B116" s="32"/>
      <c r="F116" s="277"/>
      <c r="G116" s="277"/>
      <c r="H116" s="278"/>
      <c r="I116" s="279"/>
      <c r="J116" s="277"/>
      <c r="N116" s="280"/>
      <c r="Q116" s="280"/>
      <c r="T116" s="280"/>
    </row>
    <row r="117">
      <c r="B117" s="32"/>
      <c r="F117" s="277"/>
      <c r="G117" s="277"/>
      <c r="H117" s="278"/>
      <c r="I117" s="279"/>
      <c r="J117" s="277"/>
      <c r="N117" s="280"/>
      <c r="Q117" s="280"/>
      <c r="T117" s="280"/>
    </row>
    <row r="118">
      <c r="B118" s="32"/>
      <c r="F118" s="277"/>
      <c r="G118" s="277"/>
      <c r="H118" s="278"/>
      <c r="I118" s="279"/>
      <c r="J118" s="277"/>
      <c r="N118" s="280"/>
      <c r="Q118" s="280"/>
      <c r="T118" s="280"/>
    </row>
    <row r="119">
      <c r="B119" s="32"/>
      <c r="F119" s="277"/>
      <c r="G119" s="277"/>
      <c r="H119" s="278"/>
      <c r="I119" s="279"/>
      <c r="J119" s="277"/>
      <c r="N119" s="280"/>
      <c r="Q119" s="280"/>
      <c r="T119" s="280"/>
    </row>
    <row r="120">
      <c r="B120" s="32"/>
      <c r="F120" s="277"/>
      <c r="G120" s="277"/>
      <c r="H120" s="278"/>
      <c r="I120" s="279"/>
      <c r="J120" s="277"/>
      <c r="N120" s="280"/>
      <c r="Q120" s="280"/>
      <c r="T120" s="280"/>
    </row>
    <row r="121">
      <c r="B121" s="32"/>
      <c r="F121" s="277"/>
      <c r="G121" s="277"/>
      <c r="H121" s="278"/>
      <c r="I121" s="279"/>
      <c r="J121" s="277"/>
      <c r="N121" s="280"/>
      <c r="Q121" s="280"/>
      <c r="T121" s="280"/>
    </row>
    <row r="122">
      <c r="B122" s="32"/>
      <c r="F122" s="277"/>
      <c r="G122" s="277"/>
      <c r="H122" s="278"/>
      <c r="I122" s="279"/>
      <c r="J122" s="277"/>
      <c r="N122" s="280"/>
      <c r="Q122" s="280"/>
      <c r="T122" s="280"/>
    </row>
    <row r="123">
      <c r="B123" s="32"/>
      <c r="F123" s="277"/>
      <c r="G123" s="277"/>
      <c r="H123" s="278"/>
      <c r="I123" s="279"/>
      <c r="J123" s="277"/>
      <c r="N123" s="280"/>
      <c r="Q123" s="280"/>
      <c r="T123" s="280"/>
    </row>
    <row r="124">
      <c r="B124" s="32"/>
      <c r="F124" s="277"/>
      <c r="G124" s="277"/>
      <c r="H124" s="278"/>
      <c r="I124" s="279"/>
      <c r="J124" s="277"/>
      <c r="N124" s="280"/>
      <c r="Q124" s="280"/>
      <c r="T124" s="280"/>
    </row>
    <row r="125">
      <c r="B125" s="32"/>
      <c r="F125" s="277"/>
      <c r="G125" s="277"/>
      <c r="H125" s="278"/>
      <c r="I125" s="279"/>
      <c r="J125" s="277"/>
      <c r="N125" s="280"/>
      <c r="Q125" s="280"/>
      <c r="T125" s="280"/>
    </row>
    <row r="126">
      <c r="B126" s="32"/>
      <c r="F126" s="277"/>
      <c r="G126" s="277"/>
      <c r="H126" s="278"/>
      <c r="I126" s="279"/>
      <c r="J126" s="277"/>
      <c r="N126" s="280"/>
      <c r="Q126" s="280"/>
      <c r="T126" s="280"/>
    </row>
    <row r="127">
      <c r="B127" s="32"/>
      <c r="F127" s="277"/>
      <c r="G127" s="277"/>
      <c r="H127" s="278"/>
      <c r="I127" s="279"/>
      <c r="J127" s="277"/>
      <c r="N127" s="280"/>
      <c r="Q127" s="280"/>
      <c r="T127" s="280"/>
    </row>
    <row r="128">
      <c r="B128" s="32"/>
      <c r="F128" s="277"/>
      <c r="G128" s="277"/>
      <c r="H128" s="278"/>
      <c r="I128" s="279"/>
      <c r="J128" s="277"/>
      <c r="N128" s="280"/>
      <c r="Q128" s="280"/>
      <c r="T128" s="280"/>
    </row>
    <row r="129">
      <c r="B129" s="32"/>
      <c r="F129" s="277"/>
      <c r="G129" s="277"/>
      <c r="H129" s="278"/>
      <c r="I129" s="279"/>
      <c r="J129" s="277"/>
      <c r="N129" s="280"/>
      <c r="Q129" s="280"/>
      <c r="T129" s="280"/>
    </row>
    <row r="130">
      <c r="B130" s="32"/>
      <c r="F130" s="277"/>
      <c r="G130" s="277"/>
      <c r="H130" s="278"/>
      <c r="I130" s="279"/>
      <c r="J130" s="277"/>
      <c r="N130" s="280"/>
      <c r="Q130" s="280"/>
      <c r="T130" s="280"/>
    </row>
    <row r="131">
      <c r="B131" s="32"/>
      <c r="F131" s="277"/>
      <c r="G131" s="277"/>
      <c r="H131" s="278"/>
      <c r="I131" s="279"/>
      <c r="J131" s="277"/>
      <c r="N131" s="280"/>
      <c r="Q131" s="280"/>
      <c r="T131" s="280"/>
    </row>
    <row r="132">
      <c r="B132" s="32"/>
      <c r="F132" s="277"/>
      <c r="G132" s="277"/>
      <c r="H132" s="278"/>
      <c r="I132" s="279"/>
      <c r="J132" s="277"/>
      <c r="N132" s="280"/>
      <c r="Q132" s="280"/>
      <c r="T132" s="280"/>
    </row>
    <row r="133">
      <c r="B133" s="32"/>
      <c r="F133" s="277"/>
      <c r="G133" s="277"/>
      <c r="H133" s="278"/>
      <c r="I133" s="279"/>
      <c r="J133" s="277"/>
      <c r="N133" s="280"/>
      <c r="Q133" s="280"/>
      <c r="T133" s="280"/>
    </row>
    <row r="134">
      <c r="B134" s="32"/>
      <c r="F134" s="277"/>
      <c r="G134" s="277"/>
      <c r="H134" s="278"/>
      <c r="I134" s="279"/>
      <c r="J134" s="277"/>
      <c r="N134" s="280"/>
      <c r="Q134" s="280"/>
      <c r="T134" s="280"/>
    </row>
    <row r="135">
      <c r="B135" s="32"/>
      <c r="F135" s="277"/>
      <c r="G135" s="277"/>
      <c r="H135" s="278"/>
      <c r="I135" s="279"/>
      <c r="J135" s="277"/>
      <c r="N135" s="280"/>
      <c r="Q135" s="280"/>
      <c r="T135" s="280"/>
    </row>
    <row r="136">
      <c r="B136" s="32"/>
      <c r="F136" s="277"/>
      <c r="G136" s="277"/>
      <c r="H136" s="278"/>
      <c r="I136" s="279"/>
      <c r="J136" s="277"/>
      <c r="N136" s="280"/>
      <c r="Q136" s="280"/>
      <c r="T136" s="280"/>
    </row>
    <row r="137">
      <c r="B137" s="32"/>
      <c r="F137" s="277"/>
      <c r="G137" s="277"/>
      <c r="H137" s="278"/>
      <c r="I137" s="279"/>
      <c r="J137" s="277"/>
      <c r="N137" s="280"/>
      <c r="Q137" s="280"/>
      <c r="T137" s="280"/>
    </row>
    <row r="138">
      <c r="B138" s="32"/>
      <c r="F138" s="277"/>
      <c r="G138" s="277"/>
      <c r="H138" s="278"/>
      <c r="I138" s="279"/>
      <c r="J138" s="277"/>
      <c r="N138" s="280"/>
      <c r="Q138" s="280"/>
      <c r="T138" s="280"/>
    </row>
    <row r="139">
      <c r="B139" s="32"/>
      <c r="F139" s="277"/>
      <c r="G139" s="277"/>
      <c r="H139" s="278"/>
      <c r="I139" s="279"/>
      <c r="J139" s="277"/>
      <c r="N139" s="280"/>
      <c r="Q139" s="280"/>
      <c r="T139" s="280"/>
    </row>
    <row r="140">
      <c r="B140" s="32"/>
      <c r="F140" s="277"/>
      <c r="G140" s="277"/>
      <c r="H140" s="278"/>
      <c r="I140" s="279"/>
      <c r="J140" s="277"/>
      <c r="N140" s="280"/>
      <c r="Q140" s="280"/>
      <c r="T140" s="280"/>
    </row>
    <row r="141">
      <c r="B141" s="32"/>
      <c r="F141" s="277"/>
      <c r="G141" s="277"/>
      <c r="H141" s="278"/>
      <c r="I141" s="279"/>
      <c r="J141" s="277"/>
      <c r="N141" s="280"/>
      <c r="Q141" s="280"/>
      <c r="T141" s="280"/>
    </row>
    <row r="142">
      <c r="B142" s="32"/>
      <c r="F142" s="277"/>
      <c r="G142" s="277"/>
      <c r="H142" s="278"/>
      <c r="I142" s="279"/>
      <c r="J142" s="277"/>
      <c r="N142" s="280"/>
      <c r="Q142" s="280"/>
      <c r="T142" s="280"/>
    </row>
    <row r="143">
      <c r="B143" s="32"/>
      <c r="F143" s="277"/>
      <c r="G143" s="277"/>
      <c r="H143" s="278"/>
      <c r="I143" s="279"/>
      <c r="J143" s="277"/>
      <c r="N143" s="280"/>
      <c r="Q143" s="280"/>
      <c r="T143" s="280"/>
    </row>
    <row r="144">
      <c r="B144" s="32"/>
      <c r="F144" s="277"/>
      <c r="G144" s="277"/>
      <c r="H144" s="278"/>
      <c r="I144" s="279"/>
      <c r="J144" s="277"/>
      <c r="N144" s="280"/>
      <c r="Q144" s="280"/>
      <c r="T144" s="280"/>
    </row>
    <row r="145">
      <c r="B145" s="32"/>
      <c r="F145" s="277"/>
      <c r="G145" s="277"/>
      <c r="H145" s="278"/>
      <c r="I145" s="279"/>
      <c r="J145" s="277"/>
      <c r="N145" s="280"/>
      <c r="Q145" s="280"/>
      <c r="T145" s="280"/>
    </row>
    <row r="146">
      <c r="B146" s="32"/>
      <c r="F146" s="277"/>
      <c r="G146" s="277"/>
      <c r="H146" s="278"/>
      <c r="I146" s="279"/>
      <c r="J146" s="277"/>
      <c r="N146" s="280"/>
      <c r="Q146" s="280"/>
      <c r="T146" s="280"/>
    </row>
    <row r="147">
      <c r="B147" s="32"/>
      <c r="F147" s="277"/>
      <c r="G147" s="277"/>
      <c r="H147" s="278"/>
      <c r="I147" s="279"/>
      <c r="J147" s="277"/>
      <c r="N147" s="280"/>
      <c r="Q147" s="280"/>
      <c r="T147" s="280"/>
    </row>
    <row r="148">
      <c r="B148" s="32"/>
      <c r="F148" s="277"/>
      <c r="G148" s="277"/>
      <c r="H148" s="278"/>
      <c r="I148" s="279"/>
      <c r="J148" s="277"/>
      <c r="N148" s="280"/>
      <c r="Q148" s="280"/>
      <c r="T148" s="280"/>
    </row>
    <row r="149">
      <c r="B149" s="32"/>
      <c r="F149" s="277"/>
      <c r="G149" s="277"/>
      <c r="H149" s="278"/>
      <c r="I149" s="279"/>
      <c r="J149" s="277"/>
      <c r="N149" s="280"/>
      <c r="Q149" s="280"/>
      <c r="T149" s="280"/>
    </row>
    <row r="150">
      <c r="B150" s="32"/>
      <c r="F150" s="277"/>
      <c r="G150" s="277"/>
      <c r="H150" s="278"/>
      <c r="I150" s="279"/>
      <c r="J150" s="277"/>
      <c r="N150" s="280"/>
      <c r="Q150" s="280"/>
      <c r="T150" s="280"/>
    </row>
    <row r="151">
      <c r="B151" s="32"/>
      <c r="F151" s="277"/>
      <c r="G151" s="277"/>
      <c r="H151" s="278"/>
      <c r="I151" s="279"/>
      <c r="J151" s="277"/>
      <c r="N151" s="280"/>
      <c r="Q151" s="280"/>
      <c r="T151" s="280"/>
    </row>
    <row r="152">
      <c r="B152" s="32"/>
      <c r="F152" s="277"/>
      <c r="G152" s="277"/>
      <c r="H152" s="278"/>
      <c r="I152" s="279"/>
      <c r="J152" s="277"/>
      <c r="N152" s="280"/>
      <c r="Q152" s="280"/>
      <c r="T152" s="280"/>
    </row>
    <row r="153">
      <c r="B153" s="32"/>
      <c r="F153" s="277"/>
      <c r="G153" s="277"/>
      <c r="H153" s="278"/>
      <c r="I153" s="279"/>
      <c r="J153" s="277"/>
      <c r="N153" s="280"/>
      <c r="Q153" s="280"/>
      <c r="T153" s="280"/>
    </row>
    <row r="154">
      <c r="B154" s="32"/>
      <c r="F154" s="277"/>
      <c r="G154" s="277"/>
      <c r="H154" s="278"/>
      <c r="I154" s="279"/>
      <c r="J154" s="277"/>
      <c r="N154" s="280"/>
      <c r="Q154" s="280"/>
      <c r="T154" s="280"/>
    </row>
    <row r="155">
      <c r="B155" s="32"/>
      <c r="F155" s="277"/>
      <c r="G155" s="277"/>
      <c r="H155" s="278"/>
      <c r="I155" s="279"/>
      <c r="J155" s="277"/>
      <c r="N155" s="280"/>
      <c r="Q155" s="280"/>
      <c r="T155" s="280"/>
    </row>
    <row r="156">
      <c r="B156" s="32"/>
      <c r="F156" s="277"/>
      <c r="G156" s="277"/>
      <c r="H156" s="278"/>
      <c r="I156" s="279"/>
      <c r="J156" s="277"/>
      <c r="N156" s="280"/>
      <c r="Q156" s="280"/>
      <c r="T156" s="280"/>
    </row>
    <row r="157">
      <c r="B157" s="32"/>
      <c r="F157" s="277"/>
      <c r="G157" s="277"/>
      <c r="H157" s="278"/>
      <c r="I157" s="279"/>
      <c r="J157" s="277"/>
      <c r="N157" s="280"/>
      <c r="Q157" s="280"/>
      <c r="T157" s="280"/>
    </row>
    <row r="158">
      <c r="B158" s="32"/>
      <c r="F158" s="277"/>
      <c r="G158" s="277"/>
      <c r="H158" s="278"/>
      <c r="I158" s="279"/>
      <c r="J158" s="277"/>
      <c r="N158" s="280"/>
      <c r="Q158" s="280"/>
      <c r="T158" s="280"/>
    </row>
    <row r="159">
      <c r="B159" s="32"/>
      <c r="F159" s="277"/>
      <c r="G159" s="277"/>
      <c r="H159" s="278"/>
      <c r="I159" s="279"/>
      <c r="J159" s="277"/>
      <c r="N159" s="280"/>
      <c r="Q159" s="280"/>
      <c r="T159" s="280"/>
    </row>
    <row r="160">
      <c r="B160" s="32"/>
      <c r="F160" s="277"/>
      <c r="G160" s="277"/>
      <c r="H160" s="278"/>
      <c r="I160" s="279"/>
      <c r="J160" s="277"/>
      <c r="N160" s="280"/>
      <c r="Q160" s="280"/>
      <c r="T160" s="280"/>
    </row>
    <row r="161">
      <c r="B161" s="32"/>
      <c r="F161" s="277"/>
      <c r="G161" s="277"/>
      <c r="H161" s="278"/>
      <c r="I161" s="279"/>
      <c r="J161" s="277"/>
      <c r="N161" s="280"/>
      <c r="Q161" s="280"/>
      <c r="T161" s="280"/>
    </row>
    <row r="162">
      <c r="B162" s="32"/>
      <c r="F162" s="277"/>
      <c r="G162" s="277"/>
      <c r="H162" s="278"/>
      <c r="I162" s="279"/>
      <c r="J162" s="277"/>
      <c r="N162" s="280"/>
      <c r="Q162" s="280"/>
      <c r="T162" s="280"/>
    </row>
    <row r="163">
      <c r="B163" s="32"/>
      <c r="F163" s="277"/>
      <c r="G163" s="277"/>
      <c r="H163" s="278"/>
      <c r="I163" s="279"/>
      <c r="J163" s="277"/>
      <c r="N163" s="280"/>
      <c r="Q163" s="280"/>
      <c r="T163" s="280"/>
    </row>
    <row r="164">
      <c r="B164" s="32"/>
      <c r="F164" s="277"/>
      <c r="G164" s="277"/>
      <c r="H164" s="278"/>
      <c r="I164" s="279"/>
      <c r="J164" s="277"/>
      <c r="N164" s="280"/>
      <c r="Q164" s="280"/>
      <c r="T164" s="280"/>
    </row>
    <row r="165">
      <c r="B165" s="32"/>
      <c r="F165" s="277"/>
      <c r="G165" s="277"/>
      <c r="H165" s="278"/>
      <c r="I165" s="279"/>
      <c r="J165" s="277"/>
      <c r="N165" s="280"/>
      <c r="Q165" s="280"/>
      <c r="T165" s="280"/>
    </row>
    <row r="166">
      <c r="B166" s="32"/>
      <c r="F166" s="277"/>
      <c r="G166" s="277"/>
      <c r="H166" s="278"/>
      <c r="I166" s="279"/>
      <c r="J166" s="277"/>
      <c r="N166" s="280"/>
      <c r="Q166" s="280"/>
      <c r="T166" s="280"/>
    </row>
    <row r="167">
      <c r="B167" s="32"/>
      <c r="F167" s="277"/>
      <c r="G167" s="277"/>
      <c r="H167" s="278"/>
      <c r="I167" s="279"/>
      <c r="J167" s="277"/>
      <c r="N167" s="280"/>
      <c r="Q167" s="280"/>
      <c r="T167" s="280"/>
    </row>
    <row r="168">
      <c r="B168" s="32"/>
      <c r="F168" s="277"/>
      <c r="G168" s="277"/>
      <c r="H168" s="278"/>
      <c r="I168" s="279"/>
      <c r="J168" s="277"/>
      <c r="N168" s="280"/>
      <c r="Q168" s="280"/>
      <c r="T168" s="280"/>
    </row>
    <row r="169">
      <c r="B169" s="32"/>
      <c r="F169" s="277"/>
      <c r="G169" s="277"/>
      <c r="H169" s="278"/>
      <c r="I169" s="279"/>
      <c r="J169" s="277"/>
      <c r="N169" s="280"/>
      <c r="Q169" s="280"/>
      <c r="T169" s="280"/>
    </row>
    <row r="170">
      <c r="B170" s="32"/>
      <c r="F170" s="277"/>
      <c r="G170" s="277"/>
      <c r="H170" s="278"/>
      <c r="I170" s="279"/>
      <c r="J170" s="277"/>
      <c r="N170" s="280"/>
      <c r="Q170" s="280"/>
      <c r="T170" s="280"/>
    </row>
    <row r="171">
      <c r="B171" s="32"/>
      <c r="F171" s="277"/>
      <c r="G171" s="277"/>
      <c r="H171" s="278"/>
      <c r="I171" s="279"/>
      <c r="J171" s="277"/>
      <c r="N171" s="280"/>
      <c r="Q171" s="280"/>
      <c r="T171" s="280"/>
    </row>
    <row r="172">
      <c r="B172" s="32"/>
      <c r="F172" s="277"/>
      <c r="G172" s="277"/>
      <c r="H172" s="278"/>
      <c r="I172" s="279"/>
      <c r="J172" s="277"/>
      <c r="N172" s="280"/>
      <c r="Q172" s="280"/>
      <c r="T172" s="280"/>
    </row>
    <row r="173">
      <c r="B173" s="32"/>
      <c r="F173" s="277"/>
      <c r="G173" s="277"/>
      <c r="H173" s="278"/>
      <c r="I173" s="279"/>
      <c r="J173" s="277"/>
      <c r="N173" s="280"/>
      <c r="Q173" s="280"/>
      <c r="T173" s="280"/>
    </row>
    <row r="174">
      <c r="B174" s="32"/>
      <c r="F174" s="277"/>
      <c r="G174" s="277"/>
      <c r="H174" s="278"/>
      <c r="I174" s="279"/>
      <c r="J174" s="277"/>
      <c r="N174" s="280"/>
      <c r="Q174" s="280"/>
      <c r="T174" s="280"/>
    </row>
    <row r="175">
      <c r="B175" s="32"/>
      <c r="F175" s="277"/>
      <c r="G175" s="277"/>
      <c r="H175" s="278"/>
      <c r="I175" s="279"/>
      <c r="J175" s="277"/>
      <c r="N175" s="280"/>
      <c r="Q175" s="280"/>
      <c r="T175" s="280"/>
    </row>
    <row r="176">
      <c r="B176" s="32"/>
      <c r="F176" s="277"/>
      <c r="G176" s="277"/>
      <c r="H176" s="278"/>
      <c r="I176" s="279"/>
      <c r="J176" s="277"/>
      <c r="N176" s="280"/>
      <c r="Q176" s="280"/>
      <c r="T176" s="280"/>
    </row>
    <row r="177">
      <c r="B177" s="32"/>
      <c r="F177" s="277"/>
      <c r="G177" s="277"/>
      <c r="H177" s="278"/>
      <c r="I177" s="279"/>
      <c r="J177" s="277"/>
      <c r="N177" s="280"/>
      <c r="Q177" s="280"/>
      <c r="T177" s="280"/>
    </row>
    <row r="178">
      <c r="B178" s="32"/>
      <c r="F178" s="277"/>
      <c r="G178" s="277"/>
      <c r="H178" s="278"/>
      <c r="I178" s="279"/>
      <c r="J178" s="277"/>
      <c r="N178" s="280"/>
      <c r="Q178" s="280"/>
      <c r="T178" s="280"/>
    </row>
    <row r="179">
      <c r="B179" s="32"/>
      <c r="F179" s="277"/>
      <c r="G179" s="277"/>
      <c r="H179" s="278"/>
      <c r="I179" s="279"/>
      <c r="J179" s="277"/>
      <c r="N179" s="280"/>
      <c r="Q179" s="280"/>
      <c r="T179" s="280"/>
    </row>
    <row r="180">
      <c r="B180" s="32"/>
      <c r="F180" s="277"/>
      <c r="G180" s="277"/>
      <c r="H180" s="278"/>
      <c r="I180" s="279"/>
      <c r="J180" s="277"/>
      <c r="N180" s="280"/>
      <c r="Q180" s="280"/>
      <c r="T180" s="280"/>
    </row>
    <row r="181">
      <c r="B181" s="32"/>
      <c r="F181" s="277"/>
      <c r="G181" s="277"/>
      <c r="H181" s="278"/>
      <c r="I181" s="279"/>
      <c r="J181" s="277"/>
      <c r="N181" s="280"/>
      <c r="Q181" s="280"/>
      <c r="T181" s="280"/>
    </row>
    <row r="182">
      <c r="B182" s="32"/>
      <c r="F182" s="277"/>
      <c r="G182" s="277"/>
      <c r="H182" s="278"/>
      <c r="I182" s="279"/>
      <c r="J182" s="277"/>
      <c r="N182" s="280"/>
      <c r="Q182" s="280"/>
      <c r="T182" s="280"/>
    </row>
    <row r="183">
      <c r="B183" s="32"/>
      <c r="F183" s="277"/>
      <c r="G183" s="277"/>
      <c r="H183" s="278"/>
      <c r="I183" s="279"/>
      <c r="J183" s="277"/>
      <c r="N183" s="280"/>
      <c r="Q183" s="280"/>
      <c r="T183" s="280"/>
    </row>
    <row r="184">
      <c r="B184" s="32"/>
      <c r="F184" s="277"/>
      <c r="G184" s="277"/>
      <c r="H184" s="278"/>
      <c r="I184" s="279"/>
      <c r="J184" s="277"/>
      <c r="N184" s="280"/>
      <c r="Q184" s="280"/>
      <c r="T184" s="280"/>
    </row>
    <row r="185">
      <c r="B185" s="32"/>
      <c r="F185" s="277"/>
      <c r="G185" s="277"/>
      <c r="H185" s="278"/>
      <c r="I185" s="279"/>
      <c r="J185" s="277"/>
      <c r="N185" s="280"/>
      <c r="Q185" s="280"/>
      <c r="T185" s="280"/>
    </row>
    <row r="186">
      <c r="B186" s="32"/>
      <c r="F186" s="277"/>
      <c r="G186" s="277"/>
      <c r="H186" s="278"/>
      <c r="I186" s="279"/>
      <c r="J186" s="277"/>
      <c r="N186" s="280"/>
      <c r="Q186" s="280"/>
      <c r="T186" s="280"/>
    </row>
    <row r="187">
      <c r="B187" s="32"/>
      <c r="F187" s="277"/>
      <c r="G187" s="277"/>
      <c r="H187" s="278"/>
      <c r="I187" s="279"/>
      <c r="J187" s="277"/>
      <c r="N187" s="280"/>
      <c r="Q187" s="280"/>
      <c r="T187" s="280"/>
    </row>
    <row r="188">
      <c r="B188" s="32"/>
      <c r="F188" s="277"/>
      <c r="G188" s="277"/>
      <c r="H188" s="278"/>
      <c r="I188" s="279"/>
      <c r="J188" s="277"/>
      <c r="N188" s="280"/>
      <c r="Q188" s="280"/>
      <c r="T188" s="280"/>
    </row>
    <row r="189">
      <c r="B189" s="32"/>
      <c r="F189" s="277"/>
      <c r="G189" s="277"/>
      <c r="H189" s="278"/>
      <c r="I189" s="279"/>
      <c r="J189" s="277"/>
      <c r="N189" s="280"/>
      <c r="Q189" s="280"/>
      <c r="T189" s="280"/>
    </row>
    <row r="190">
      <c r="B190" s="32"/>
      <c r="F190" s="277"/>
      <c r="G190" s="277"/>
      <c r="H190" s="278"/>
      <c r="I190" s="279"/>
      <c r="J190" s="277"/>
      <c r="N190" s="280"/>
      <c r="Q190" s="280"/>
      <c r="T190" s="280"/>
    </row>
    <row r="191">
      <c r="B191" s="32"/>
      <c r="F191" s="277"/>
      <c r="G191" s="277"/>
      <c r="H191" s="278"/>
      <c r="I191" s="279"/>
      <c r="J191" s="277"/>
      <c r="N191" s="280"/>
      <c r="Q191" s="280"/>
      <c r="T191" s="280"/>
    </row>
    <row r="192">
      <c r="B192" s="32"/>
      <c r="F192" s="277"/>
      <c r="G192" s="277"/>
      <c r="H192" s="278"/>
      <c r="I192" s="279"/>
      <c r="J192" s="277"/>
      <c r="N192" s="280"/>
      <c r="Q192" s="280"/>
      <c r="T192" s="280"/>
    </row>
    <row r="193">
      <c r="B193" s="32"/>
      <c r="F193" s="277"/>
      <c r="G193" s="277"/>
      <c r="H193" s="278"/>
      <c r="I193" s="279"/>
      <c r="J193" s="277"/>
      <c r="N193" s="280"/>
      <c r="Q193" s="280"/>
      <c r="T193" s="280"/>
    </row>
    <row r="194">
      <c r="B194" s="32"/>
      <c r="F194" s="277"/>
      <c r="G194" s="277"/>
      <c r="H194" s="278"/>
      <c r="I194" s="279"/>
      <c r="J194" s="277"/>
      <c r="N194" s="280"/>
      <c r="Q194" s="280"/>
      <c r="T194" s="280"/>
    </row>
    <row r="195">
      <c r="B195" s="32"/>
      <c r="F195" s="277"/>
      <c r="G195" s="277"/>
      <c r="H195" s="278"/>
      <c r="I195" s="279"/>
      <c r="J195" s="277"/>
      <c r="N195" s="280"/>
      <c r="Q195" s="280"/>
      <c r="T195" s="280"/>
    </row>
    <row r="196">
      <c r="B196" s="32"/>
      <c r="F196" s="277"/>
      <c r="G196" s="277"/>
      <c r="H196" s="278"/>
      <c r="I196" s="279"/>
      <c r="J196" s="277"/>
      <c r="N196" s="280"/>
      <c r="Q196" s="280"/>
      <c r="T196" s="280"/>
    </row>
    <row r="197">
      <c r="B197" s="32"/>
      <c r="F197" s="277"/>
      <c r="G197" s="277"/>
      <c r="H197" s="278"/>
      <c r="I197" s="279"/>
      <c r="J197" s="277"/>
      <c r="N197" s="280"/>
      <c r="Q197" s="280"/>
      <c r="T197" s="280"/>
    </row>
    <row r="198">
      <c r="B198" s="32"/>
      <c r="F198" s="277"/>
      <c r="G198" s="277"/>
      <c r="H198" s="278"/>
      <c r="I198" s="279"/>
      <c r="J198" s="277"/>
      <c r="N198" s="280"/>
      <c r="Q198" s="280"/>
      <c r="T198" s="280"/>
    </row>
    <row r="199">
      <c r="B199" s="32"/>
      <c r="F199" s="277"/>
      <c r="G199" s="277"/>
      <c r="H199" s="278"/>
      <c r="I199" s="279"/>
      <c r="J199" s="277"/>
      <c r="N199" s="280"/>
      <c r="Q199" s="280"/>
      <c r="T199" s="280"/>
    </row>
    <row r="200">
      <c r="B200" s="32"/>
      <c r="F200" s="277"/>
      <c r="G200" s="277"/>
      <c r="H200" s="278"/>
      <c r="I200" s="279"/>
      <c r="J200" s="277"/>
      <c r="N200" s="280"/>
      <c r="Q200" s="280"/>
      <c r="T200" s="280"/>
    </row>
    <row r="201">
      <c r="B201" s="32"/>
      <c r="F201" s="277"/>
      <c r="G201" s="277"/>
      <c r="H201" s="278"/>
      <c r="I201" s="279"/>
      <c r="J201" s="277"/>
      <c r="N201" s="280"/>
      <c r="Q201" s="280"/>
      <c r="T201" s="280"/>
    </row>
    <row r="202">
      <c r="B202" s="32"/>
      <c r="F202" s="277"/>
      <c r="G202" s="277"/>
      <c r="H202" s="278"/>
      <c r="I202" s="279"/>
      <c r="J202" s="277"/>
      <c r="N202" s="280"/>
      <c r="Q202" s="280"/>
      <c r="T202" s="280"/>
    </row>
    <row r="203">
      <c r="B203" s="32"/>
      <c r="F203" s="277"/>
      <c r="G203" s="277"/>
      <c r="H203" s="278"/>
      <c r="I203" s="279"/>
      <c r="J203" s="277"/>
      <c r="N203" s="280"/>
      <c r="Q203" s="280"/>
      <c r="T203" s="280"/>
    </row>
    <row r="204">
      <c r="B204" s="32"/>
      <c r="F204" s="277"/>
      <c r="G204" s="277"/>
      <c r="H204" s="278"/>
      <c r="I204" s="279"/>
      <c r="J204" s="277"/>
      <c r="N204" s="280"/>
      <c r="Q204" s="280"/>
      <c r="T204" s="280"/>
    </row>
    <row r="205">
      <c r="B205" s="32"/>
      <c r="F205" s="277"/>
      <c r="G205" s="277"/>
      <c r="H205" s="278"/>
      <c r="I205" s="279"/>
      <c r="J205" s="277"/>
      <c r="N205" s="280"/>
      <c r="Q205" s="280"/>
      <c r="T205" s="280"/>
    </row>
    <row r="206">
      <c r="B206" s="32"/>
      <c r="F206" s="277"/>
      <c r="G206" s="277"/>
      <c r="H206" s="278"/>
      <c r="I206" s="279"/>
      <c r="J206" s="277"/>
      <c r="N206" s="280"/>
      <c r="Q206" s="280"/>
      <c r="T206" s="280"/>
    </row>
    <row r="207">
      <c r="B207" s="32"/>
      <c r="F207" s="277"/>
      <c r="G207" s="277"/>
      <c r="H207" s="278"/>
      <c r="I207" s="279"/>
      <c r="J207" s="277"/>
      <c r="N207" s="280"/>
      <c r="Q207" s="280"/>
      <c r="T207" s="280"/>
    </row>
    <row r="208">
      <c r="B208" s="32"/>
      <c r="F208" s="277"/>
      <c r="G208" s="277"/>
      <c r="H208" s="278"/>
      <c r="I208" s="279"/>
      <c r="J208" s="277"/>
      <c r="N208" s="280"/>
      <c r="Q208" s="280"/>
      <c r="T208" s="280"/>
    </row>
    <row r="209">
      <c r="B209" s="32"/>
      <c r="F209" s="277"/>
      <c r="G209" s="277"/>
      <c r="H209" s="278"/>
      <c r="I209" s="279"/>
      <c r="J209" s="277"/>
      <c r="N209" s="280"/>
      <c r="Q209" s="280"/>
      <c r="T209" s="280"/>
    </row>
    <row r="210">
      <c r="B210" s="32"/>
      <c r="F210" s="277"/>
      <c r="G210" s="277"/>
      <c r="H210" s="278"/>
      <c r="I210" s="279"/>
      <c r="J210" s="277"/>
      <c r="N210" s="280"/>
      <c r="Q210" s="280"/>
      <c r="T210" s="280"/>
    </row>
    <row r="211">
      <c r="B211" s="32"/>
      <c r="F211" s="277"/>
      <c r="G211" s="277"/>
      <c r="H211" s="278"/>
      <c r="I211" s="279"/>
      <c r="J211" s="277"/>
      <c r="N211" s="280"/>
      <c r="Q211" s="280"/>
      <c r="T211" s="280"/>
    </row>
    <row r="212">
      <c r="B212" s="32"/>
      <c r="F212" s="277"/>
      <c r="G212" s="277"/>
      <c r="H212" s="278"/>
      <c r="I212" s="279"/>
      <c r="J212" s="277"/>
      <c r="N212" s="280"/>
      <c r="Q212" s="280"/>
      <c r="T212" s="280"/>
    </row>
    <row r="213">
      <c r="B213" s="32"/>
      <c r="F213" s="277"/>
      <c r="G213" s="277"/>
      <c r="H213" s="278"/>
      <c r="I213" s="279"/>
      <c r="J213" s="277"/>
      <c r="N213" s="280"/>
      <c r="Q213" s="280"/>
      <c r="T213" s="280"/>
    </row>
    <row r="214">
      <c r="B214" s="32"/>
      <c r="F214" s="277"/>
      <c r="G214" s="277"/>
      <c r="H214" s="278"/>
      <c r="I214" s="279"/>
      <c r="J214" s="277"/>
      <c r="N214" s="280"/>
      <c r="Q214" s="280"/>
      <c r="T214" s="280"/>
    </row>
    <row r="215">
      <c r="B215" s="32"/>
      <c r="F215" s="277"/>
      <c r="G215" s="277"/>
      <c r="H215" s="278"/>
      <c r="I215" s="279"/>
      <c r="J215" s="277"/>
      <c r="N215" s="280"/>
      <c r="Q215" s="280"/>
      <c r="T215" s="280"/>
    </row>
    <row r="216">
      <c r="B216" s="32"/>
      <c r="F216" s="277"/>
      <c r="G216" s="277"/>
      <c r="H216" s="278"/>
      <c r="I216" s="279"/>
      <c r="J216" s="277"/>
      <c r="N216" s="280"/>
      <c r="Q216" s="280"/>
      <c r="T216" s="280"/>
    </row>
    <row r="217">
      <c r="B217" s="32"/>
      <c r="F217" s="277"/>
      <c r="G217" s="277"/>
      <c r="H217" s="278"/>
      <c r="I217" s="279"/>
      <c r="J217" s="277"/>
      <c r="N217" s="280"/>
      <c r="Q217" s="280"/>
      <c r="T217" s="280"/>
    </row>
    <row r="218">
      <c r="B218" s="32"/>
      <c r="F218" s="277"/>
      <c r="G218" s="277"/>
      <c r="H218" s="278"/>
      <c r="I218" s="279"/>
      <c r="J218" s="277"/>
      <c r="N218" s="280"/>
      <c r="Q218" s="280"/>
      <c r="T218" s="280"/>
    </row>
    <row r="219">
      <c r="B219" s="32"/>
      <c r="F219" s="277"/>
      <c r="G219" s="277"/>
      <c r="H219" s="278"/>
      <c r="I219" s="279"/>
      <c r="J219" s="277"/>
      <c r="N219" s="280"/>
      <c r="Q219" s="280"/>
      <c r="T219" s="280"/>
    </row>
    <row r="220">
      <c r="B220" s="32"/>
      <c r="F220" s="277"/>
      <c r="G220" s="277"/>
      <c r="H220" s="278"/>
      <c r="I220" s="279"/>
      <c r="J220" s="277"/>
      <c r="N220" s="280"/>
      <c r="Q220" s="280"/>
      <c r="T220" s="280"/>
    </row>
    <row r="221">
      <c r="B221" s="32"/>
      <c r="F221" s="277"/>
      <c r="G221" s="277"/>
      <c r="H221" s="278"/>
      <c r="I221" s="279"/>
      <c r="J221" s="277"/>
      <c r="N221" s="280"/>
      <c r="Q221" s="280"/>
      <c r="T221" s="280"/>
    </row>
    <row r="222">
      <c r="B222" s="32"/>
      <c r="F222" s="277"/>
      <c r="G222" s="277"/>
      <c r="H222" s="278"/>
      <c r="I222" s="279"/>
      <c r="J222" s="277"/>
      <c r="N222" s="280"/>
      <c r="Q222" s="280"/>
      <c r="T222" s="280"/>
    </row>
    <row r="223">
      <c r="B223" s="32"/>
      <c r="F223" s="277"/>
      <c r="G223" s="277"/>
      <c r="H223" s="278"/>
      <c r="I223" s="279"/>
      <c r="J223" s="277"/>
      <c r="N223" s="280"/>
      <c r="Q223" s="280"/>
      <c r="T223" s="280"/>
    </row>
    <row r="224">
      <c r="B224" s="32"/>
      <c r="F224" s="277"/>
      <c r="G224" s="277"/>
      <c r="H224" s="278"/>
      <c r="I224" s="279"/>
      <c r="J224" s="277"/>
      <c r="N224" s="280"/>
      <c r="Q224" s="280"/>
      <c r="T224" s="280"/>
    </row>
    <row r="225">
      <c r="B225" s="32"/>
      <c r="F225" s="277"/>
      <c r="G225" s="277"/>
      <c r="H225" s="278"/>
      <c r="I225" s="279"/>
      <c r="J225" s="277"/>
      <c r="N225" s="280"/>
      <c r="Q225" s="280"/>
      <c r="T225" s="280"/>
    </row>
    <row r="226">
      <c r="B226" s="32"/>
      <c r="F226" s="277"/>
      <c r="G226" s="277"/>
      <c r="H226" s="278"/>
      <c r="I226" s="279"/>
      <c r="J226" s="277"/>
      <c r="N226" s="280"/>
      <c r="Q226" s="280"/>
      <c r="T226" s="280"/>
    </row>
    <row r="227">
      <c r="B227" s="32"/>
      <c r="F227" s="277"/>
      <c r="G227" s="277"/>
      <c r="H227" s="278"/>
      <c r="I227" s="279"/>
      <c r="J227" s="277"/>
      <c r="N227" s="280"/>
      <c r="Q227" s="280"/>
      <c r="T227" s="280"/>
    </row>
    <row r="228">
      <c r="B228" s="32"/>
      <c r="F228" s="277"/>
      <c r="G228" s="277"/>
      <c r="H228" s="278"/>
      <c r="I228" s="279"/>
      <c r="J228" s="277"/>
      <c r="N228" s="280"/>
      <c r="Q228" s="280"/>
      <c r="T228" s="280"/>
    </row>
    <row r="229">
      <c r="B229" s="32"/>
      <c r="F229" s="277"/>
      <c r="G229" s="277"/>
      <c r="H229" s="278"/>
      <c r="I229" s="279"/>
      <c r="J229" s="277"/>
      <c r="N229" s="280"/>
      <c r="Q229" s="280"/>
      <c r="T229" s="280"/>
    </row>
    <row r="230">
      <c r="B230" s="32"/>
      <c r="F230" s="277"/>
      <c r="G230" s="277"/>
      <c r="H230" s="278"/>
      <c r="I230" s="279"/>
      <c r="J230" s="277"/>
      <c r="N230" s="280"/>
      <c r="Q230" s="280"/>
      <c r="T230" s="280"/>
    </row>
    <row r="231">
      <c r="B231" s="32"/>
      <c r="F231" s="277"/>
      <c r="G231" s="277"/>
      <c r="H231" s="278"/>
      <c r="I231" s="279"/>
      <c r="J231" s="277"/>
      <c r="N231" s="280"/>
      <c r="Q231" s="280"/>
      <c r="T231" s="280"/>
    </row>
    <row r="232">
      <c r="B232" s="32"/>
      <c r="F232" s="277"/>
      <c r="G232" s="277"/>
      <c r="H232" s="278"/>
      <c r="I232" s="279"/>
      <c r="J232" s="277"/>
      <c r="N232" s="280"/>
      <c r="Q232" s="280"/>
      <c r="T232" s="280"/>
    </row>
    <row r="233">
      <c r="B233" s="32"/>
      <c r="F233" s="277"/>
      <c r="G233" s="277"/>
      <c r="H233" s="278"/>
      <c r="I233" s="279"/>
      <c r="J233" s="277"/>
      <c r="N233" s="280"/>
      <c r="Q233" s="280"/>
      <c r="T233" s="280"/>
    </row>
    <row r="234">
      <c r="B234" s="32"/>
      <c r="F234" s="277"/>
      <c r="G234" s="277"/>
      <c r="H234" s="278"/>
      <c r="I234" s="279"/>
      <c r="J234" s="277"/>
      <c r="N234" s="280"/>
      <c r="Q234" s="280"/>
      <c r="T234" s="280"/>
    </row>
    <row r="235">
      <c r="B235" s="32"/>
      <c r="F235" s="277"/>
      <c r="G235" s="277"/>
      <c r="H235" s="278"/>
      <c r="I235" s="279"/>
      <c r="J235" s="277"/>
      <c r="N235" s="280"/>
      <c r="Q235" s="280"/>
      <c r="T235" s="280"/>
    </row>
    <row r="236">
      <c r="B236" s="32"/>
      <c r="F236" s="277"/>
      <c r="G236" s="277"/>
      <c r="H236" s="278"/>
      <c r="I236" s="279"/>
      <c r="J236" s="277"/>
      <c r="N236" s="280"/>
      <c r="Q236" s="280"/>
      <c r="T236" s="280"/>
    </row>
    <row r="237">
      <c r="B237" s="32"/>
      <c r="F237" s="277"/>
      <c r="G237" s="277"/>
      <c r="H237" s="278"/>
      <c r="I237" s="279"/>
      <c r="J237" s="277"/>
      <c r="N237" s="280"/>
      <c r="Q237" s="280"/>
      <c r="T237" s="280"/>
    </row>
    <row r="238">
      <c r="B238" s="32"/>
      <c r="F238" s="277"/>
      <c r="G238" s="277"/>
      <c r="H238" s="278"/>
      <c r="I238" s="279"/>
      <c r="J238" s="277"/>
      <c r="N238" s="280"/>
      <c r="Q238" s="280"/>
      <c r="T238" s="280"/>
    </row>
    <row r="239">
      <c r="B239" s="32"/>
      <c r="F239" s="277"/>
      <c r="G239" s="277"/>
      <c r="H239" s="278"/>
      <c r="I239" s="279"/>
      <c r="J239" s="277"/>
      <c r="N239" s="280"/>
      <c r="Q239" s="280"/>
      <c r="T239" s="280"/>
    </row>
    <row r="240">
      <c r="B240" s="32"/>
      <c r="F240" s="277"/>
      <c r="G240" s="277"/>
      <c r="H240" s="278"/>
      <c r="I240" s="279"/>
      <c r="J240" s="277"/>
      <c r="N240" s="280"/>
      <c r="Q240" s="280"/>
      <c r="T240" s="280"/>
    </row>
    <row r="241">
      <c r="B241" s="32"/>
      <c r="F241" s="277"/>
      <c r="G241" s="277"/>
      <c r="H241" s="278"/>
      <c r="I241" s="279"/>
      <c r="J241" s="277"/>
      <c r="N241" s="280"/>
      <c r="Q241" s="280"/>
      <c r="T241" s="280"/>
    </row>
    <row r="242">
      <c r="B242" s="32"/>
      <c r="F242" s="277"/>
      <c r="G242" s="277"/>
      <c r="H242" s="278"/>
      <c r="I242" s="279"/>
      <c r="J242" s="277"/>
      <c r="N242" s="280"/>
      <c r="Q242" s="280"/>
      <c r="T242" s="280"/>
    </row>
    <row r="243">
      <c r="B243" s="32"/>
      <c r="F243" s="277"/>
      <c r="G243" s="277"/>
      <c r="H243" s="278"/>
      <c r="I243" s="279"/>
      <c r="J243" s="277"/>
      <c r="N243" s="280"/>
      <c r="Q243" s="280"/>
      <c r="T243" s="280"/>
    </row>
    <row r="244">
      <c r="B244" s="32"/>
      <c r="F244" s="277"/>
      <c r="G244" s="277"/>
      <c r="H244" s="278"/>
      <c r="I244" s="279"/>
      <c r="J244" s="277"/>
      <c r="N244" s="280"/>
      <c r="Q244" s="280"/>
      <c r="T244" s="280"/>
    </row>
    <row r="245">
      <c r="B245" s="32"/>
      <c r="F245" s="277"/>
      <c r="G245" s="277"/>
      <c r="H245" s="278"/>
      <c r="I245" s="279"/>
      <c r="J245" s="277"/>
      <c r="N245" s="280"/>
      <c r="Q245" s="280"/>
      <c r="T245" s="280"/>
    </row>
    <row r="246">
      <c r="B246" s="32"/>
      <c r="F246" s="277"/>
      <c r="G246" s="277"/>
      <c r="H246" s="278"/>
      <c r="I246" s="279"/>
      <c r="J246" s="277"/>
      <c r="N246" s="280"/>
      <c r="Q246" s="280"/>
      <c r="T246" s="280"/>
    </row>
    <row r="247">
      <c r="B247" s="32"/>
      <c r="F247" s="277"/>
      <c r="G247" s="277"/>
      <c r="H247" s="278"/>
      <c r="I247" s="279"/>
      <c r="J247" s="277"/>
      <c r="N247" s="280"/>
      <c r="Q247" s="280"/>
      <c r="T247" s="280"/>
    </row>
    <row r="248">
      <c r="B248" s="32"/>
      <c r="F248" s="277"/>
      <c r="G248" s="277"/>
      <c r="H248" s="278"/>
      <c r="I248" s="279"/>
      <c r="J248" s="277"/>
      <c r="N248" s="280"/>
      <c r="Q248" s="280"/>
      <c r="T248" s="280"/>
    </row>
    <row r="249">
      <c r="B249" s="32"/>
      <c r="F249" s="277"/>
      <c r="G249" s="277"/>
      <c r="H249" s="278"/>
      <c r="I249" s="279"/>
      <c r="J249" s="277"/>
      <c r="N249" s="280"/>
      <c r="Q249" s="280"/>
      <c r="T249" s="280"/>
    </row>
    <row r="250">
      <c r="B250" s="32"/>
      <c r="F250" s="277"/>
      <c r="G250" s="277"/>
      <c r="H250" s="278"/>
      <c r="I250" s="279"/>
      <c r="J250" s="277"/>
      <c r="N250" s="280"/>
      <c r="Q250" s="280"/>
      <c r="T250" s="280"/>
    </row>
    <row r="251">
      <c r="B251" s="32"/>
      <c r="F251" s="277"/>
      <c r="G251" s="277"/>
      <c r="H251" s="278"/>
      <c r="I251" s="279"/>
      <c r="J251" s="277"/>
      <c r="N251" s="280"/>
      <c r="Q251" s="280"/>
      <c r="T251" s="280"/>
    </row>
    <row r="252">
      <c r="B252" s="32"/>
      <c r="F252" s="277"/>
      <c r="G252" s="277"/>
      <c r="H252" s="278"/>
      <c r="I252" s="279"/>
      <c r="J252" s="277"/>
      <c r="N252" s="280"/>
      <c r="Q252" s="280"/>
      <c r="T252" s="280"/>
    </row>
    <row r="253">
      <c r="B253" s="32"/>
      <c r="F253" s="277"/>
      <c r="G253" s="277"/>
      <c r="H253" s="278"/>
      <c r="I253" s="279"/>
      <c r="J253" s="277"/>
      <c r="N253" s="280"/>
      <c r="Q253" s="280"/>
      <c r="T253" s="280"/>
    </row>
    <row r="254">
      <c r="B254" s="32"/>
      <c r="F254" s="277"/>
      <c r="G254" s="277"/>
      <c r="H254" s="278"/>
      <c r="I254" s="279"/>
      <c r="J254" s="277"/>
      <c r="N254" s="280"/>
      <c r="Q254" s="280"/>
      <c r="T254" s="280"/>
    </row>
    <row r="255">
      <c r="B255" s="32"/>
      <c r="F255" s="277"/>
      <c r="G255" s="277"/>
      <c r="H255" s="278"/>
      <c r="I255" s="279"/>
      <c r="J255" s="277"/>
      <c r="N255" s="280"/>
      <c r="Q255" s="280"/>
      <c r="T255" s="280"/>
    </row>
    <row r="256">
      <c r="B256" s="32"/>
      <c r="F256" s="277"/>
      <c r="G256" s="277"/>
      <c r="H256" s="278"/>
      <c r="I256" s="279"/>
      <c r="J256" s="277"/>
      <c r="N256" s="280"/>
      <c r="Q256" s="280"/>
      <c r="T256" s="280"/>
    </row>
    <row r="257">
      <c r="B257" s="32"/>
      <c r="F257" s="277"/>
      <c r="G257" s="277"/>
      <c r="H257" s="278"/>
      <c r="I257" s="279"/>
      <c r="J257" s="277"/>
      <c r="N257" s="280"/>
      <c r="Q257" s="280"/>
      <c r="T257" s="280"/>
    </row>
    <row r="258">
      <c r="B258" s="32"/>
      <c r="F258" s="277"/>
      <c r="G258" s="277"/>
      <c r="H258" s="278"/>
      <c r="I258" s="279"/>
      <c r="J258" s="277"/>
      <c r="N258" s="280"/>
      <c r="Q258" s="280"/>
      <c r="T258" s="280"/>
    </row>
    <row r="259">
      <c r="B259" s="32"/>
      <c r="F259" s="277"/>
      <c r="G259" s="277"/>
      <c r="H259" s="278"/>
      <c r="I259" s="279"/>
      <c r="J259" s="277"/>
      <c r="N259" s="280"/>
      <c r="Q259" s="280"/>
      <c r="T259" s="280"/>
    </row>
    <row r="260">
      <c r="B260" s="32"/>
      <c r="F260" s="277"/>
      <c r="G260" s="277"/>
      <c r="H260" s="278"/>
      <c r="I260" s="279"/>
      <c r="J260" s="277"/>
      <c r="N260" s="280"/>
      <c r="Q260" s="280"/>
      <c r="T260" s="280"/>
    </row>
    <row r="261">
      <c r="B261" s="32"/>
      <c r="F261" s="277"/>
      <c r="G261" s="277"/>
      <c r="H261" s="278"/>
      <c r="I261" s="279"/>
      <c r="J261" s="277"/>
      <c r="N261" s="280"/>
      <c r="Q261" s="280"/>
      <c r="T261" s="280"/>
    </row>
    <row r="262">
      <c r="B262" s="32"/>
      <c r="F262" s="277"/>
      <c r="G262" s="277"/>
      <c r="H262" s="278"/>
      <c r="I262" s="279"/>
      <c r="J262" s="277"/>
      <c r="N262" s="280"/>
      <c r="Q262" s="280"/>
      <c r="T262" s="280"/>
    </row>
    <row r="263">
      <c r="B263" s="32"/>
      <c r="F263" s="277"/>
      <c r="G263" s="277"/>
      <c r="H263" s="278"/>
      <c r="I263" s="279"/>
      <c r="J263" s="277"/>
      <c r="N263" s="280"/>
      <c r="Q263" s="280"/>
      <c r="T263" s="280"/>
    </row>
    <row r="264">
      <c r="B264" s="32"/>
      <c r="F264" s="277"/>
      <c r="G264" s="277"/>
      <c r="H264" s="278"/>
      <c r="I264" s="279"/>
      <c r="J264" s="277"/>
      <c r="N264" s="280"/>
      <c r="Q264" s="280"/>
      <c r="T264" s="280"/>
    </row>
    <row r="265">
      <c r="B265" s="32"/>
      <c r="F265" s="277"/>
      <c r="G265" s="277"/>
      <c r="H265" s="278"/>
      <c r="I265" s="279"/>
      <c r="J265" s="277"/>
      <c r="N265" s="280"/>
      <c r="Q265" s="280"/>
      <c r="T265" s="280"/>
    </row>
    <row r="266">
      <c r="B266" s="32"/>
      <c r="F266" s="277"/>
      <c r="G266" s="277"/>
      <c r="H266" s="278"/>
      <c r="I266" s="279"/>
      <c r="J266" s="277"/>
      <c r="N266" s="280"/>
      <c r="Q266" s="280"/>
      <c r="T266" s="280"/>
    </row>
    <row r="267">
      <c r="B267" s="32"/>
      <c r="F267" s="277"/>
      <c r="G267" s="277"/>
      <c r="H267" s="278"/>
      <c r="I267" s="279"/>
      <c r="J267" s="277"/>
      <c r="N267" s="280"/>
      <c r="Q267" s="280"/>
      <c r="T267" s="280"/>
    </row>
    <row r="268">
      <c r="B268" s="32"/>
      <c r="F268" s="277"/>
      <c r="G268" s="277"/>
      <c r="H268" s="278"/>
      <c r="I268" s="279"/>
      <c r="J268" s="277"/>
      <c r="N268" s="280"/>
      <c r="Q268" s="280"/>
      <c r="T268" s="280"/>
    </row>
    <row r="269">
      <c r="B269" s="32"/>
      <c r="F269" s="277"/>
      <c r="G269" s="277"/>
      <c r="H269" s="278"/>
      <c r="I269" s="279"/>
      <c r="J269" s="277"/>
      <c r="N269" s="280"/>
      <c r="Q269" s="280"/>
      <c r="T269" s="280"/>
    </row>
    <row r="270">
      <c r="B270" s="32"/>
      <c r="F270" s="277"/>
      <c r="G270" s="277"/>
      <c r="H270" s="278"/>
      <c r="I270" s="279"/>
      <c r="J270" s="277"/>
      <c r="N270" s="280"/>
      <c r="Q270" s="280"/>
      <c r="T270" s="280"/>
    </row>
    <row r="271">
      <c r="B271" s="32"/>
      <c r="F271" s="277"/>
      <c r="G271" s="277"/>
      <c r="H271" s="278"/>
      <c r="I271" s="279"/>
      <c r="J271" s="277"/>
      <c r="N271" s="280"/>
      <c r="Q271" s="280"/>
      <c r="T271" s="280"/>
    </row>
    <row r="272">
      <c r="B272" s="32"/>
      <c r="F272" s="277"/>
      <c r="G272" s="277"/>
      <c r="H272" s="278"/>
      <c r="I272" s="279"/>
      <c r="J272" s="277"/>
      <c r="N272" s="280"/>
      <c r="Q272" s="280"/>
      <c r="T272" s="280"/>
    </row>
    <row r="273">
      <c r="B273" s="32"/>
      <c r="F273" s="277"/>
      <c r="G273" s="277"/>
      <c r="H273" s="278"/>
      <c r="I273" s="279"/>
      <c r="J273" s="277"/>
      <c r="N273" s="280"/>
      <c r="Q273" s="280"/>
      <c r="T273" s="280"/>
    </row>
    <row r="274">
      <c r="B274" s="32"/>
      <c r="F274" s="277"/>
      <c r="G274" s="277"/>
      <c r="H274" s="278"/>
      <c r="I274" s="279"/>
      <c r="J274" s="277"/>
      <c r="N274" s="280"/>
      <c r="Q274" s="280"/>
      <c r="T274" s="280"/>
    </row>
    <row r="275">
      <c r="B275" s="32"/>
      <c r="F275" s="277"/>
      <c r="G275" s="277"/>
      <c r="H275" s="278"/>
      <c r="I275" s="279"/>
      <c r="J275" s="277"/>
      <c r="N275" s="280"/>
      <c r="Q275" s="280"/>
      <c r="T275" s="280"/>
    </row>
    <row r="276">
      <c r="B276" s="32"/>
      <c r="F276" s="277"/>
      <c r="G276" s="277"/>
      <c r="H276" s="278"/>
      <c r="I276" s="279"/>
      <c r="J276" s="277"/>
      <c r="N276" s="280"/>
      <c r="Q276" s="280"/>
      <c r="T276" s="280"/>
    </row>
    <row r="277">
      <c r="B277" s="32"/>
      <c r="F277" s="277"/>
      <c r="G277" s="277"/>
      <c r="H277" s="278"/>
      <c r="I277" s="279"/>
      <c r="J277" s="277"/>
      <c r="N277" s="280"/>
      <c r="Q277" s="280"/>
      <c r="T277" s="280"/>
    </row>
    <row r="278">
      <c r="B278" s="32"/>
      <c r="F278" s="277"/>
      <c r="G278" s="277"/>
      <c r="H278" s="278"/>
      <c r="I278" s="279"/>
      <c r="J278" s="277"/>
      <c r="N278" s="280"/>
      <c r="Q278" s="280"/>
      <c r="T278" s="280"/>
    </row>
    <row r="279">
      <c r="B279" s="32"/>
      <c r="F279" s="277"/>
      <c r="G279" s="277"/>
      <c r="H279" s="278"/>
      <c r="I279" s="279"/>
      <c r="J279" s="277"/>
      <c r="N279" s="280"/>
      <c r="Q279" s="280"/>
      <c r="T279" s="280"/>
    </row>
    <row r="280">
      <c r="B280" s="32"/>
      <c r="F280" s="277"/>
      <c r="G280" s="277"/>
      <c r="H280" s="278"/>
      <c r="I280" s="279"/>
      <c r="J280" s="277"/>
      <c r="N280" s="280"/>
      <c r="Q280" s="280"/>
      <c r="T280" s="280"/>
    </row>
    <row r="281">
      <c r="B281" s="32"/>
      <c r="F281" s="277"/>
      <c r="G281" s="277"/>
      <c r="H281" s="278"/>
      <c r="I281" s="279"/>
      <c r="J281" s="277"/>
      <c r="N281" s="280"/>
      <c r="Q281" s="280"/>
      <c r="T281" s="280"/>
    </row>
    <row r="282">
      <c r="B282" s="32"/>
      <c r="F282" s="277"/>
      <c r="G282" s="277"/>
      <c r="H282" s="278"/>
      <c r="I282" s="279"/>
      <c r="J282" s="277"/>
      <c r="N282" s="280"/>
      <c r="Q282" s="280"/>
      <c r="T282" s="280"/>
    </row>
    <row r="283">
      <c r="B283" s="32"/>
      <c r="F283" s="277"/>
      <c r="G283" s="277"/>
      <c r="H283" s="278"/>
      <c r="I283" s="279"/>
      <c r="J283" s="277"/>
      <c r="N283" s="280"/>
      <c r="Q283" s="280"/>
      <c r="T283" s="280"/>
    </row>
    <row r="284">
      <c r="B284" s="32"/>
      <c r="F284" s="277"/>
      <c r="G284" s="277"/>
      <c r="H284" s="278"/>
      <c r="I284" s="279"/>
      <c r="J284" s="277"/>
      <c r="N284" s="280"/>
      <c r="Q284" s="280"/>
      <c r="T284" s="280"/>
    </row>
    <row r="285">
      <c r="B285" s="32"/>
      <c r="F285" s="277"/>
      <c r="G285" s="277"/>
      <c r="H285" s="278"/>
      <c r="I285" s="279"/>
      <c r="J285" s="277"/>
      <c r="N285" s="280"/>
      <c r="Q285" s="280"/>
      <c r="T285" s="280"/>
    </row>
    <row r="286">
      <c r="B286" s="32"/>
      <c r="F286" s="277"/>
      <c r="G286" s="277"/>
      <c r="H286" s="278"/>
      <c r="I286" s="279"/>
      <c r="J286" s="277"/>
      <c r="N286" s="280"/>
      <c r="Q286" s="280"/>
      <c r="T286" s="280"/>
    </row>
    <row r="287">
      <c r="B287" s="32"/>
      <c r="F287" s="277"/>
      <c r="G287" s="277"/>
      <c r="H287" s="278"/>
      <c r="I287" s="279"/>
      <c r="J287" s="277"/>
      <c r="N287" s="280"/>
      <c r="Q287" s="280"/>
      <c r="T287" s="280"/>
    </row>
    <row r="288">
      <c r="B288" s="32"/>
      <c r="F288" s="277"/>
      <c r="G288" s="277"/>
      <c r="H288" s="278"/>
      <c r="I288" s="279"/>
      <c r="J288" s="277"/>
      <c r="N288" s="280"/>
      <c r="Q288" s="280"/>
      <c r="T288" s="280"/>
    </row>
    <row r="289">
      <c r="B289" s="32"/>
      <c r="F289" s="277"/>
      <c r="G289" s="277"/>
      <c r="H289" s="278"/>
      <c r="I289" s="279"/>
      <c r="J289" s="277"/>
      <c r="N289" s="280"/>
      <c r="Q289" s="280"/>
      <c r="T289" s="280"/>
    </row>
    <row r="290">
      <c r="B290" s="32"/>
      <c r="F290" s="277"/>
      <c r="G290" s="277"/>
      <c r="H290" s="278"/>
      <c r="I290" s="279"/>
      <c r="J290" s="277"/>
      <c r="N290" s="280"/>
      <c r="Q290" s="280"/>
      <c r="T290" s="280"/>
    </row>
    <row r="291">
      <c r="B291" s="32"/>
      <c r="F291" s="277"/>
      <c r="G291" s="277"/>
      <c r="H291" s="278"/>
      <c r="I291" s="279"/>
      <c r="J291" s="277"/>
      <c r="N291" s="280"/>
      <c r="Q291" s="280"/>
      <c r="T291" s="280"/>
    </row>
    <row r="292">
      <c r="B292" s="32"/>
      <c r="F292" s="277"/>
      <c r="G292" s="277"/>
      <c r="H292" s="278"/>
      <c r="I292" s="279"/>
      <c r="J292" s="277"/>
      <c r="N292" s="280"/>
      <c r="Q292" s="280"/>
      <c r="T292" s="280"/>
    </row>
    <row r="293">
      <c r="B293" s="32"/>
      <c r="F293" s="277"/>
      <c r="G293" s="277"/>
      <c r="H293" s="278"/>
      <c r="I293" s="279"/>
      <c r="J293" s="277"/>
      <c r="N293" s="280"/>
      <c r="Q293" s="280"/>
      <c r="T293" s="280"/>
    </row>
    <row r="294">
      <c r="B294" s="32"/>
      <c r="F294" s="277"/>
      <c r="G294" s="277"/>
      <c r="H294" s="278"/>
      <c r="I294" s="279"/>
      <c r="J294" s="277"/>
      <c r="N294" s="280"/>
      <c r="Q294" s="280"/>
      <c r="T294" s="280"/>
    </row>
    <row r="295">
      <c r="B295" s="32"/>
      <c r="F295" s="277"/>
      <c r="G295" s="277"/>
      <c r="H295" s="278"/>
      <c r="I295" s="279"/>
      <c r="J295" s="277"/>
      <c r="N295" s="280"/>
      <c r="Q295" s="280"/>
      <c r="T295" s="280"/>
    </row>
    <row r="296">
      <c r="B296" s="32"/>
      <c r="F296" s="277"/>
      <c r="G296" s="277"/>
      <c r="H296" s="278"/>
      <c r="I296" s="279"/>
      <c r="J296" s="277"/>
      <c r="N296" s="280"/>
      <c r="Q296" s="280"/>
      <c r="T296" s="280"/>
    </row>
    <row r="297">
      <c r="B297" s="32"/>
      <c r="F297" s="277"/>
      <c r="G297" s="277"/>
      <c r="H297" s="278"/>
      <c r="I297" s="279"/>
      <c r="J297" s="277"/>
      <c r="N297" s="280"/>
      <c r="Q297" s="280"/>
      <c r="T297" s="280"/>
    </row>
    <row r="298">
      <c r="B298" s="32"/>
      <c r="F298" s="277"/>
      <c r="G298" s="277"/>
      <c r="H298" s="278"/>
      <c r="I298" s="279"/>
      <c r="J298" s="277"/>
      <c r="N298" s="280"/>
      <c r="Q298" s="280"/>
      <c r="T298" s="280"/>
    </row>
    <row r="299">
      <c r="B299" s="32"/>
      <c r="F299" s="277"/>
      <c r="G299" s="277"/>
      <c r="H299" s="278"/>
      <c r="I299" s="279"/>
      <c r="J299" s="277"/>
      <c r="N299" s="280"/>
      <c r="Q299" s="280"/>
      <c r="T299" s="280"/>
    </row>
    <row r="300">
      <c r="B300" s="32"/>
      <c r="F300" s="277"/>
      <c r="G300" s="277"/>
      <c r="H300" s="278"/>
      <c r="I300" s="279"/>
      <c r="J300" s="277"/>
      <c r="N300" s="280"/>
      <c r="Q300" s="280"/>
      <c r="T300" s="280"/>
    </row>
    <row r="301">
      <c r="B301" s="32"/>
      <c r="F301" s="277"/>
      <c r="G301" s="277"/>
      <c r="H301" s="278"/>
      <c r="I301" s="279"/>
      <c r="J301" s="277"/>
      <c r="N301" s="280"/>
      <c r="Q301" s="280"/>
      <c r="T301" s="280"/>
    </row>
    <row r="302">
      <c r="B302" s="32"/>
      <c r="F302" s="277"/>
      <c r="G302" s="277"/>
      <c r="H302" s="278"/>
      <c r="I302" s="279"/>
      <c r="J302" s="277"/>
      <c r="N302" s="280"/>
      <c r="Q302" s="280"/>
      <c r="T302" s="280"/>
    </row>
    <row r="303">
      <c r="B303" s="32"/>
      <c r="F303" s="277"/>
      <c r="G303" s="277"/>
      <c r="H303" s="278"/>
      <c r="I303" s="279"/>
      <c r="J303" s="277"/>
      <c r="N303" s="280"/>
      <c r="Q303" s="280"/>
      <c r="T303" s="280"/>
    </row>
    <row r="304">
      <c r="B304" s="32"/>
      <c r="F304" s="277"/>
      <c r="G304" s="277"/>
      <c r="H304" s="278"/>
      <c r="I304" s="279"/>
      <c r="J304" s="277"/>
      <c r="N304" s="280"/>
      <c r="Q304" s="280"/>
      <c r="T304" s="280"/>
    </row>
    <row r="305">
      <c r="B305" s="32"/>
      <c r="F305" s="277"/>
      <c r="G305" s="277"/>
      <c r="H305" s="278"/>
      <c r="I305" s="279"/>
      <c r="J305" s="277"/>
      <c r="N305" s="280"/>
      <c r="Q305" s="280"/>
      <c r="T305" s="280"/>
    </row>
    <row r="306">
      <c r="B306" s="32"/>
      <c r="F306" s="277"/>
      <c r="G306" s="277"/>
      <c r="H306" s="278"/>
      <c r="I306" s="279"/>
      <c r="J306" s="277"/>
      <c r="N306" s="280"/>
      <c r="Q306" s="280"/>
      <c r="T306" s="280"/>
    </row>
    <row r="307">
      <c r="B307" s="32"/>
      <c r="F307" s="277"/>
      <c r="G307" s="277"/>
      <c r="H307" s="278"/>
      <c r="I307" s="279"/>
      <c r="J307" s="277"/>
      <c r="N307" s="280"/>
      <c r="Q307" s="280"/>
      <c r="T307" s="280"/>
    </row>
    <row r="308">
      <c r="B308" s="32"/>
      <c r="F308" s="277"/>
      <c r="G308" s="277"/>
      <c r="H308" s="278"/>
      <c r="I308" s="279"/>
      <c r="J308" s="277"/>
      <c r="N308" s="280"/>
      <c r="Q308" s="280"/>
      <c r="T308" s="280"/>
    </row>
    <row r="309">
      <c r="B309" s="32"/>
      <c r="F309" s="277"/>
      <c r="G309" s="277"/>
      <c r="H309" s="278"/>
      <c r="I309" s="279"/>
      <c r="J309" s="277"/>
      <c r="N309" s="280"/>
      <c r="Q309" s="280"/>
      <c r="T309" s="280"/>
    </row>
    <row r="310">
      <c r="B310" s="32"/>
      <c r="F310" s="277"/>
      <c r="G310" s="277"/>
      <c r="H310" s="278"/>
      <c r="I310" s="279"/>
      <c r="J310" s="277"/>
      <c r="N310" s="280"/>
      <c r="Q310" s="280"/>
      <c r="T310" s="280"/>
    </row>
    <row r="311">
      <c r="B311" s="32"/>
      <c r="F311" s="277"/>
      <c r="G311" s="277"/>
      <c r="H311" s="278"/>
      <c r="I311" s="279"/>
      <c r="J311" s="277"/>
      <c r="N311" s="280"/>
      <c r="Q311" s="280"/>
      <c r="T311" s="280"/>
    </row>
    <row r="312">
      <c r="B312" s="32"/>
      <c r="F312" s="277"/>
      <c r="G312" s="277"/>
      <c r="H312" s="278"/>
      <c r="I312" s="279"/>
      <c r="J312" s="277"/>
      <c r="N312" s="280"/>
      <c r="Q312" s="280"/>
      <c r="T312" s="280"/>
    </row>
    <row r="313">
      <c r="B313" s="32"/>
      <c r="F313" s="277"/>
      <c r="G313" s="277"/>
      <c r="H313" s="278"/>
      <c r="I313" s="279"/>
      <c r="J313" s="277"/>
      <c r="N313" s="280"/>
      <c r="Q313" s="280"/>
      <c r="T313" s="280"/>
    </row>
    <row r="314">
      <c r="B314" s="32"/>
      <c r="F314" s="277"/>
      <c r="G314" s="277"/>
      <c r="H314" s="278"/>
      <c r="I314" s="279"/>
      <c r="J314" s="277"/>
      <c r="N314" s="280"/>
      <c r="Q314" s="280"/>
      <c r="T314" s="280"/>
    </row>
    <row r="315">
      <c r="B315" s="32"/>
      <c r="F315" s="277"/>
      <c r="G315" s="277"/>
      <c r="H315" s="278"/>
      <c r="I315" s="279"/>
      <c r="J315" s="277"/>
      <c r="N315" s="280"/>
      <c r="Q315" s="280"/>
      <c r="T315" s="280"/>
    </row>
    <row r="316">
      <c r="B316" s="32"/>
      <c r="F316" s="277"/>
      <c r="G316" s="277"/>
      <c r="H316" s="278"/>
      <c r="I316" s="279"/>
      <c r="J316" s="277"/>
      <c r="N316" s="280"/>
      <c r="Q316" s="280"/>
      <c r="T316" s="280"/>
    </row>
    <row r="317">
      <c r="B317" s="32"/>
      <c r="F317" s="277"/>
      <c r="G317" s="277"/>
      <c r="H317" s="278"/>
      <c r="I317" s="279"/>
      <c r="J317" s="277"/>
      <c r="N317" s="280"/>
      <c r="Q317" s="280"/>
      <c r="T317" s="280"/>
    </row>
    <row r="318">
      <c r="B318" s="32"/>
      <c r="F318" s="277"/>
      <c r="G318" s="277"/>
      <c r="H318" s="278"/>
      <c r="I318" s="279"/>
      <c r="J318" s="277"/>
      <c r="N318" s="280"/>
      <c r="Q318" s="280"/>
      <c r="T318" s="280"/>
    </row>
    <row r="319">
      <c r="B319" s="32"/>
      <c r="F319" s="277"/>
      <c r="G319" s="277"/>
      <c r="H319" s="278"/>
      <c r="I319" s="279"/>
      <c r="J319" s="277"/>
      <c r="N319" s="280"/>
      <c r="Q319" s="280"/>
      <c r="T319" s="280"/>
    </row>
    <row r="320">
      <c r="B320" s="32"/>
      <c r="F320" s="277"/>
      <c r="G320" s="277"/>
      <c r="H320" s="278"/>
      <c r="I320" s="279"/>
      <c r="J320" s="277"/>
      <c r="N320" s="280"/>
      <c r="Q320" s="280"/>
      <c r="T320" s="280"/>
    </row>
    <row r="321">
      <c r="B321" s="32"/>
      <c r="F321" s="277"/>
      <c r="G321" s="277"/>
      <c r="H321" s="278"/>
      <c r="I321" s="279"/>
      <c r="J321" s="277"/>
      <c r="N321" s="280"/>
      <c r="Q321" s="280"/>
      <c r="T321" s="280"/>
    </row>
    <row r="322">
      <c r="B322" s="32"/>
      <c r="F322" s="277"/>
      <c r="G322" s="277"/>
      <c r="H322" s="278"/>
      <c r="I322" s="279"/>
      <c r="J322" s="277"/>
      <c r="N322" s="280"/>
      <c r="Q322" s="280"/>
      <c r="T322" s="280"/>
    </row>
    <row r="323">
      <c r="B323" s="32"/>
      <c r="F323" s="277"/>
      <c r="G323" s="277"/>
      <c r="H323" s="278"/>
      <c r="I323" s="279"/>
      <c r="J323" s="277"/>
      <c r="N323" s="280"/>
      <c r="Q323" s="280"/>
      <c r="T323" s="280"/>
    </row>
    <row r="324">
      <c r="B324" s="32"/>
      <c r="F324" s="277"/>
      <c r="G324" s="277"/>
      <c r="H324" s="278"/>
      <c r="I324" s="279"/>
      <c r="J324" s="277"/>
      <c r="N324" s="280"/>
      <c r="Q324" s="280"/>
      <c r="T324" s="280"/>
    </row>
    <row r="325">
      <c r="B325" s="32"/>
      <c r="F325" s="277"/>
      <c r="G325" s="277"/>
      <c r="H325" s="278"/>
      <c r="I325" s="279"/>
      <c r="J325" s="277"/>
      <c r="N325" s="280"/>
      <c r="Q325" s="280"/>
      <c r="T325" s="280"/>
    </row>
    <row r="326">
      <c r="B326" s="32"/>
      <c r="F326" s="277"/>
      <c r="G326" s="277"/>
      <c r="H326" s="278"/>
      <c r="I326" s="279"/>
      <c r="J326" s="277"/>
      <c r="N326" s="280"/>
      <c r="Q326" s="280"/>
      <c r="T326" s="280"/>
    </row>
    <row r="327">
      <c r="B327" s="32"/>
      <c r="F327" s="277"/>
      <c r="G327" s="277"/>
      <c r="H327" s="278"/>
      <c r="I327" s="279"/>
      <c r="J327" s="277"/>
      <c r="N327" s="280"/>
      <c r="Q327" s="280"/>
      <c r="T327" s="280"/>
    </row>
    <row r="328">
      <c r="B328" s="32"/>
      <c r="F328" s="277"/>
      <c r="G328" s="277"/>
      <c r="H328" s="278"/>
      <c r="I328" s="279"/>
      <c r="J328" s="277"/>
      <c r="N328" s="280"/>
      <c r="Q328" s="280"/>
      <c r="T328" s="280"/>
    </row>
    <row r="329">
      <c r="B329" s="32"/>
      <c r="F329" s="277"/>
      <c r="G329" s="277"/>
      <c r="H329" s="278"/>
      <c r="I329" s="279"/>
      <c r="J329" s="277"/>
      <c r="N329" s="280"/>
      <c r="Q329" s="280"/>
      <c r="T329" s="280"/>
    </row>
    <row r="330">
      <c r="B330" s="32"/>
      <c r="F330" s="277"/>
      <c r="G330" s="277"/>
      <c r="H330" s="278"/>
      <c r="I330" s="279"/>
      <c r="J330" s="277"/>
      <c r="N330" s="280"/>
      <c r="Q330" s="280"/>
      <c r="T330" s="280"/>
    </row>
    <row r="331">
      <c r="B331" s="32"/>
      <c r="F331" s="277"/>
      <c r="G331" s="277"/>
      <c r="H331" s="278"/>
      <c r="I331" s="279"/>
      <c r="J331" s="277"/>
      <c r="N331" s="280"/>
      <c r="Q331" s="280"/>
      <c r="T331" s="280"/>
    </row>
    <row r="332">
      <c r="B332" s="32"/>
      <c r="F332" s="277"/>
      <c r="G332" s="277"/>
      <c r="H332" s="278"/>
      <c r="I332" s="279"/>
      <c r="J332" s="277"/>
      <c r="N332" s="280"/>
      <c r="Q332" s="280"/>
      <c r="T332" s="280"/>
    </row>
    <row r="333">
      <c r="B333" s="32"/>
      <c r="F333" s="277"/>
      <c r="G333" s="277"/>
      <c r="H333" s="278"/>
      <c r="I333" s="279"/>
      <c r="J333" s="277"/>
      <c r="N333" s="280"/>
      <c r="Q333" s="280"/>
      <c r="T333" s="280"/>
    </row>
    <row r="334">
      <c r="B334" s="32"/>
      <c r="F334" s="277"/>
      <c r="G334" s="277"/>
      <c r="H334" s="278"/>
      <c r="I334" s="279"/>
      <c r="J334" s="277"/>
      <c r="N334" s="280"/>
      <c r="Q334" s="280"/>
      <c r="T334" s="280"/>
    </row>
    <row r="335">
      <c r="B335" s="32"/>
      <c r="F335" s="277"/>
      <c r="G335" s="277"/>
      <c r="H335" s="278"/>
      <c r="I335" s="279"/>
      <c r="J335" s="277"/>
      <c r="N335" s="280"/>
      <c r="Q335" s="280"/>
      <c r="T335" s="280"/>
    </row>
    <row r="336">
      <c r="B336" s="32"/>
      <c r="F336" s="277"/>
      <c r="G336" s="277"/>
      <c r="H336" s="278"/>
      <c r="I336" s="279"/>
      <c r="J336" s="277"/>
      <c r="N336" s="280"/>
      <c r="Q336" s="280"/>
      <c r="T336" s="280"/>
    </row>
    <row r="337">
      <c r="B337" s="32"/>
      <c r="F337" s="277"/>
      <c r="G337" s="277"/>
      <c r="H337" s="278"/>
      <c r="I337" s="279"/>
      <c r="J337" s="277"/>
      <c r="N337" s="280"/>
      <c r="Q337" s="280"/>
      <c r="T337" s="280"/>
    </row>
    <row r="338">
      <c r="B338" s="32"/>
      <c r="F338" s="277"/>
      <c r="G338" s="277"/>
      <c r="H338" s="278"/>
      <c r="I338" s="279"/>
      <c r="J338" s="277"/>
      <c r="N338" s="280"/>
      <c r="Q338" s="280"/>
      <c r="T338" s="280"/>
    </row>
    <row r="339">
      <c r="B339" s="32"/>
      <c r="F339" s="277"/>
      <c r="G339" s="277"/>
      <c r="H339" s="278"/>
      <c r="I339" s="279"/>
      <c r="J339" s="277"/>
      <c r="N339" s="280"/>
      <c r="Q339" s="280"/>
      <c r="T339" s="280"/>
    </row>
    <row r="340">
      <c r="B340" s="32"/>
      <c r="F340" s="277"/>
      <c r="G340" s="277"/>
      <c r="H340" s="278"/>
      <c r="I340" s="279"/>
      <c r="J340" s="277"/>
      <c r="N340" s="280"/>
      <c r="Q340" s="280"/>
      <c r="T340" s="280"/>
    </row>
    <row r="341">
      <c r="B341" s="32"/>
      <c r="F341" s="277"/>
      <c r="G341" s="277"/>
      <c r="H341" s="278"/>
      <c r="I341" s="279"/>
      <c r="J341" s="277"/>
      <c r="N341" s="280"/>
      <c r="Q341" s="280"/>
      <c r="T341" s="280"/>
    </row>
    <row r="342">
      <c r="B342" s="32"/>
      <c r="F342" s="277"/>
      <c r="G342" s="277"/>
      <c r="H342" s="278"/>
      <c r="I342" s="279"/>
      <c r="J342" s="277"/>
      <c r="N342" s="280"/>
      <c r="Q342" s="280"/>
      <c r="T342" s="280"/>
    </row>
    <row r="343">
      <c r="B343" s="32"/>
      <c r="F343" s="277"/>
      <c r="G343" s="277"/>
      <c r="H343" s="278"/>
      <c r="I343" s="279"/>
      <c r="J343" s="277"/>
      <c r="N343" s="280"/>
      <c r="Q343" s="280"/>
      <c r="T343" s="280"/>
    </row>
    <row r="344">
      <c r="B344" s="32"/>
      <c r="F344" s="277"/>
      <c r="G344" s="277"/>
      <c r="H344" s="278"/>
      <c r="I344" s="279"/>
      <c r="J344" s="277"/>
      <c r="N344" s="280"/>
      <c r="Q344" s="280"/>
      <c r="T344" s="280"/>
    </row>
    <row r="345">
      <c r="B345" s="32"/>
      <c r="F345" s="277"/>
      <c r="G345" s="277"/>
      <c r="H345" s="278"/>
      <c r="I345" s="279"/>
      <c r="J345" s="277"/>
      <c r="N345" s="280"/>
      <c r="Q345" s="280"/>
      <c r="T345" s="280"/>
    </row>
    <row r="346">
      <c r="B346" s="32"/>
      <c r="F346" s="277"/>
      <c r="G346" s="277"/>
      <c r="H346" s="278"/>
      <c r="I346" s="279"/>
      <c r="J346" s="277"/>
      <c r="N346" s="280"/>
      <c r="Q346" s="280"/>
      <c r="T346" s="280"/>
    </row>
    <row r="347">
      <c r="B347" s="32"/>
      <c r="F347" s="277"/>
      <c r="G347" s="277"/>
      <c r="H347" s="278"/>
      <c r="I347" s="279"/>
      <c r="J347" s="277"/>
      <c r="N347" s="280"/>
      <c r="Q347" s="280"/>
      <c r="T347" s="280"/>
    </row>
    <row r="348">
      <c r="B348" s="32"/>
      <c r="F348" s="277"/>
      <c r="G348" s="277"/>
      <c r="H348" s="278"/>
      <c r="I348" s="279"/>
      <c r="J348" s="277"/>
      <c r="N348" s="280"/>
      <c r="Q348" s="280"/>
      <c r="T348" s="280"/>
    </row>
    <row r="349">
      <c r="B349" s="32"/>
      <c r="F349" s="277"/>
      <c r="G349" s="277"/>
      <c r="H349" s="278"/>
      <c r="I349" s="279"/>
      <c r="J349" s="277"/>
      <c r="N349" s="280"/>
      <c r="Q349" s="280"/>
      <c r="T349" s="280"/>
    </row>
    <row r="350">
      <c r="B350" s="32"/>
      <c r="F350" s="277"/>
      <c r="G350" s="277"/>
      <c r="H350" s="278"/>
      <c r="I350" s="279"/>
      <c r="J350" s="277"/>
      <c r="N350" s="280"/>
      <c r="Q350" s="280"/>
      <c r="T350" s="280"/>
    </row>
    <row r="351">
      <c r="B351" s="32"/>
      <c r="F351" s="277"/>
      <c r="G351" s="277"/>
      <c r="H351" s="278"/>
      <c r="I351" s="279"/>
      <c r="J351" s="277"/>
      <c r="N351" s="280"/>
      <c r="Q351" s="280"/>
      <c r="T351" s="280"/>
    </row>
    <row r="352">
      <c r="B352" s="32"/>
      <c r="F352" s="277"/>
      <c r="G352" s="277"/>
      <c r="H352" s="278"/>
      <c r="I352" s="279"/>
      <c r="J352" s="277"/>
      <c r="N352" s="280"/>
      <c r="Q352" s="280"/>
      <c r="T352" s="280"/>
    </row>
    <row r="353">
      <c r="B353" s="32"/>
      <c r="F353" s="277"/>
      <c r="G353" s="277"/>
      <c r="H353" s="278"/>
      <c r="I353" s="279"/>
      <c r="J353" s="277"/>
      <c r="N353" s="280"/>
      <c r="Q353" s="280"/>
      <c r="T353" s="280"/>
    </row>
    <row r="354">
      <c r="B354" s="32"/>
      <c r="F354" s="277"/>
      <c r="G354" s="277"/>
      <c r="H354" s="278"/>
      <c r="I354" s="279"/>
      <c r="J354" s="277"/>
      <c r="N354" s="280"/>
      <c r="Q354" s="280"/>
      <c r="T354" s="280"/>
    </row>
    <row r="355">
      <c r="B355" s="32"/>
      <c r="F355" s="277"/>
      <c r="G355" s="277"/>
      <c r="H355" s="278"/>
      <c r="I355" s="279"/>
      <c r="J355" s="277"/>
      <c r="N355" s="280"/>
      <c r="Q355" s="280"/>
      <c r="T355" s="280"/>
    </row>
    <row r="356">
      <c r="B356" s="32"/>
      <c r="F356" s="277"/>
      <c r="G356" s="277"/>
      <c r="H356" s="278"/>
      <c r="I356" s="279"/>
      <c r="J356" s="277"/>
      <c r="N356" s="280"/>
      <c r="Q356" s="280"/>
      <c r="T356" s="280"/>
    </row>
    <row r="357">
      <c r="B357" s="32"/>
      <c r="F357" s="277"/>
      <c r="G357" s="277"/>
      <c r="H357" s="278"/>
      <c r="I357" s="279"/>
      <c r="J357" s="277"/>
      <c r="N357" s="280"/>
      <c r="Q357" s="280"/>
      <c r="T357" s="280"/>
    </row>
    <row r="358">
      <c r="B358" s="32"/>
      <c r="F358" s="277"/>
      <c r="G358" s="277"/>
      <c r="H358" s="278"/>
      <c r="I358" s="279"/>
      <c r="J358" s="277"/>
      <c r="N358" s="280"/>
      <c r="Q358" s="280"/>
      <c r="T358" s="280"/>
    </row>
    <row r="359">
      <c r="B359" s="32"/>
      <c r="F359" s="277"/>
      <c r="G359" s="277"/>
      <c r="H359" s="278"/>
      <c r="I359" s="279"/>
      <c r="J359" s="277"/>
      <c r="N359" s="280"/>
      <c r="Q359" s="280"/>
      <c r="T359" s="280"/>
    </row>
    <row r="360">
      <c r="B360" s="32"/>
      <c r="F360" s="277"/>
      <c r="G360" s="277"/>
      <c r="H360" s="278"/>
      <c r="I360" s="279"/>
      <c r="J360" s="277"/>
      <c r="N360" s="280"/>
      <c r="Q360" s="280"/>
      <c r="T360" s="280"/>
    </row>
    <row r="361">
      <c r="B361" s="32"/>
      <c r="F361" s="277"/>
      <c r="G361" s="277"/>
      <c r="H361" s="278"/>
      <c r="I361" s="279"/>
      <c r="J361" s="277"/>
      <c r="N361" s="280"/>
      <c r="Q361" s="280"/>
      <c r="T361" s="280"/>
    </row>
    <row r="362">
      <c r="B362" s="32"/>
      <c r="F362" s="277"/>
      <c r="G362" s="277"/>
      <c r="H362" s="278"/>
      <c r="I362" s="279"/>
      <c r="J362" s="277"/>
      <c r="N362" s="280"/>
      <c r="Q362" s="280"/>
      <c r="T362" s="280"/>
    </row>
    <row r="363">
      <c r="B363" s="32"/>
      <c r="F363" s="277"/>
      <c r="G363" s="277"/>
      <c r="H363" s="278"/>
      <c r="I363" s="279"/>
      <c r="J363" s="277"/>
      <c r="N363" s="280"/>
      <c r="Q363" s="280"/>
      <c r="T363" s="280"/>
    </row>
    <row r="364">
      <c r="B364" s="32"/>
      <c r="F364" s="277"/>
      <c r="G364" s="277"/>
      <c r="H364" s="278"/>
      <c r="I364" s="279"/>
      <c r="J364" s="277"/>
      <c r="N364" s="280"/>
      <c r="Q364" s="280"/>
      <c r="T364" s="280"/>
    </row>
    <row r="365">
      <c r="B365" s="32"/>
      <c r="F365" s="277"/>
      <c r="G365" s="277"/>
      <c r="H365" s="278"/>
      <c r="I365" s="279"/>
      <c r="J365" s="277"/>
      <c r="N365" s="280"/>
      <c r="Q365" s="280"/>
      <c r="T365" s="280"/>
    </row>
    <row r="366">
      <c r="B366" s="32"/>
      <c r="F366" s="277"/>
      <c r="G366" s="277"/>
      <c r="H366" s="278"/>
      <c r="I366" s="279"/>
      <c r="J366" s="277"/>
      <c r="N366" s="280"/>
      <c r="Q366" s="280"/>
      <c r="T366" s="280"/>
    </row>
    <row r="367">
      <c r="B367" s="32"/>
      <c r="F367" s="277"/>
      <c r="G367" s="277"/>
      <c r="H367" s="278"/>
      <c r="I367" s="279"/>
      <c r="J367" s="277"/>
      <c r="N367" s="280"/>
      <c r="Q367" s="280"/>
      <c r="T367" s="280"/>
    </row>
    <row r="368">
      <c r="B368" s="32"/>
      <c r="F368" s="277"/>
      <c r="G368" s="277"/>
      <c r="H368" s="278"/>
      <c r="I368" s="279"/>
      <c r="J368" s="277"/>
      <c r="N368" s="280"/>
      <c r="Q368" s="280"/>
      <c r="T368" s="280"/>
    </row>
    <row r="369">
      <c r="B369" s="32"/>
      <c r="F369" s="277"/>
      <c r="G369" s="277"/>
      <c r="H369" s="278"/>
      <c r="I369" s="279"/>
      <c r="J369" s="277"/>
      <c r="N369" s="280"/>
      <c r="Q369" s="280"/>
      <c r="T369" s="280"/>
    </row>
    <row r="370">
      <c r="B370" s="32"/>
      <c r="F370" s="277"/>
      <c r="G370" s="277"/>
      <c r="H370" s="278"/>
      <c r="I370" s="279"/>
      <c r="J370" s="277"/>
      <c r="N370" s="280"/>
      <c r="Q370" s="280"/>
      <c r="T370" s="280"/>
    </row>
    <row r="371">
      <c r="B371" s="32"/>
      <c r="F371" s="277"/>
      <c r="G371" s="277"/>
      <c r="H371" s="278"/>
      <c r="I371" s="279"/>
      <c r="J371" s="277"/>
      <c r="N371" s="280"/>
      <c r="Q371" s="280"/>
      <c r="T371" s="280"/>
    </row>
    <row r="372">
      <c r="B372" s="32"/>
      <c r="F372" s="277"/>
      <c r="G372" s="277"/>
      <c r="H372" s="278"/>
      <c r="I372" s="279"/>
      <c r="J372" s="277"/>
      <c r="N372" s="280"/>
      <c r="Q372" s="280"/>
      <c r="T372" s="280"/>
    </row>
    <row r="373">
      <c r="B373" s="32"/>
      <c r="F373" s="277"/>
      <c r="G373" s="277"/>
      <c r="H373" s="278"/>
      <c r="I373" s="279"/>
      <c r="J373" s="277"/>
      <c r="N373" s="280"/>
      <c r="Q373" s="280"/>
      <c r="T373" s="280"/>
    </row>
    <row r="374">
      <c r="B374" s="32"/>
      <c r="F374" s="277"/>
      <c r="G374" s="277"/>
      <c r="H374" s="278"/>
      <c r="I374" s="279"/>
      <c r="J374" s="277"/>
      <c r="N374" s="280"/>
      <c r="Q374" s="280"/>
      <c r="T374" s="280"/>
    </row>
    <row r="375">
      <c r="B375" s="32"/>
      <c r="F375" s="277"/>
      <c r="G375" s="277"/>
      <c r="H375" s="278"/>
      <c r="I375" s="279"/>
      <c r="J375" s="277"/>
      <c r="N375" s="280"/>
      <c r="Q375" s="280"/>
      <c r="T375" s="280"/>
    </row>
    <row r="376">
      <c r="B376" s="32"/>
      <c r="F376" s="277"/>
      <c r="G376" s="277"/>
      <c r="H376" s="278"/>
      <c r="I376" s="279"/>
      <c r="J376" s="277"/>
      <c r="N376" s="280"/>
      <c r="Q376" s="280"/>
      <c r="T376" s="280"/>
    </row>
    <row r="377">
      <c r="B377" s="32"/>
      <c r="F377" s="277"/>
      <c r="G377" s="277"/>
      <c r="H377" s="278"/>
      <c r="I377" s="279"/>
      <c r="J377" s="277"/>
      <c r="N377" s="280"/>
      <c r="Q377" s="280"/>
      <c r="T377" s="280"/>
    </row>
    <row r="378">
      <c r="B378" s="32"/>
      <c r="F378" s="277"/>
      <c r="G378" s="277"/>
      <c r="H378" s="278"/>
      <c r="I378" s="279"/>
      <c r="J378" s="277"/>
      <c r="N378" s="280"/>
      <c r="Q378" s="280"/>
      <c r="T378" s="280"/>
    </row>
    <row r="379">
      <c r="B379" s="32"/>
      <c r="F379" s="277"/>
      <c r="G379" s="277"/>
      <c r="H379" s="278"/>
      <c r="I379" s="279"/>
      <c r="J379" s="277"/>
      <c r="N379" s="280"/>
      <c r="Q379" s="280"/>
      <c r="T379" s="280"/>
    </row>
    <row r="380">
      <c r="B380" s="32"/>
      <c r="F380" s="277"/>
      <c r="G380" s="277"/>
      <c r="H380" s="278"/>
      <c r="I380" s="279"/>
      <c r="J380" s="277"/>
      <c r="N380" s="280"/>
      <c r="Q380" s="280"/>
      <c r="T380" s="280"/>
    </row>
    <row r="381">
      <c r="B381" s="32"/>
      <c r="F381" s="277"/>
      <c r="G381" s="277"/>
      <c r="H381" s="278"/>
      <c r="I381" s="279"/>
      <c r="J381" s="277"/>
      <c r="N381" s="280"/>
      <c r="Q381" s="280"/>
      <c r="T381" s="280"/>
    </row>
    <row r="382">
      <c r="B382" s="32"/>
      <c r="F382" s="277"/>
      <c r="G382" s="277"/>
      <c r="H382" s="278"/>
      <c r="I382" s="279"/>
      <c r="J382" s="277"/>
      <c r="N382" s="280"/>
      <c r="Q382" s="280"/>
      <c r="T382" s="280"/>
    </row>
    <row r="383">
      <c r="B383" s="32"/>
      <c r="F383" s="277"/>
      <c r="G383" s="277"/>
      <c r="H383" s="278"/>
      <c r="I383" s="279"/>
      <c r="J383" s="277"/>
      <c r="N383" s="280"/>
      <c r="Q383" s="280"/>
      <c r="T383" s="280"/>
    </row>
    <row r="384">
      <c r="B384" s="32"/>
      <c r="F384" s="277"/>
      <c r="G384" s="277"/>
      <c r="H384" s="278"/>
      <c r="I384" s="279"/>
      <c r="J384" s="277"/>
      <c r="N384" s="280"/>
      <c r="Q384" s="280"/>
      <c r="T384" s="280"/>
    </row>
    <row r="385">
      <c r="B385" s="32"/>
      <c r="F385" s="277"/>
      <c r="G385" s="277"/>
      <c r="H385" s="278"/>
      <c r="I385" s="279"/>
      <c r="J385" s="277"/>
      <c r="N385" s="280"/>
      <c r="Q385" s="280"/>
      <c r="T385" s="280"/>
    </row>
    <row r="386">
      <c r="B386" s="32"/>
      <c r="F386" s="277"/>
      <c r="G386" s="277"/>
      <c r="H386" s="278"/>
      <c r="I386" s="279"/>
      <c r="J386" s="277"/>
      <c r="N386" s="280"/>
      <c r="Q386" s="280"/>
      <c r="T386" s="280"/>
    </row>
    <row r="387">
      <c r="B387" s="32"/>
      <c r="F387" s="277"/>
      <c r="G387" s="277"/>
      <c r="H387" s="278"/>
      <c r="I387" s="279"/>
      <c r="J387" s="277"/>
      <c r="N387" s="280"/>
      <c r="Q387" s="280"/>
      <c r="T387" s="280"/>
    </row>
    <row r="388">
      <c r="B388" s="32"/>
      <c r="F388" s="277"/>
      <c r="G388" s="277"/>
      <c r="H388" s="278"/>
      <c r="I388" s="279"/>
      <c r="J388" s="277"/>
      <c r="N388" s="280"/>
      <c r="Q388" s="280"/>
      <c r="T388" s="280"/>
    </row>
    <row r="389">
      <c r="B389" s="32"/>
      <c r="F389" s="277"/>
      <c r="G389" s="277"/>
      <c r="H389" s="278"/>
      <c r="I389" s="279"/>
      <c r="J389" s="277"/>
      <c r="N389" s="280"/>
      <c r="Q389" s="280"/>
      <c r="T389" s="280"/>
    </row>
    <row r="390">
      <c r="B390" s="32"/>
      <c r="F390" s="277"/>
      <c r="G390" s="277"/>
      <c r="H390" s="278"/>
      <c r="I390" s="279"/>
      <c r="J390" s="277"/>
      <c r="N390" s="280"/>
      <c r="Q390" s="280"/>
      <c r="T390" s="280"/>
    </row>
    <row r="391">
      <c r="B391" s="32"/>
      <c r="F391" s="277"/>
      <c r="G391" s="277"/>
      <c r="H391" s="278"/>
      <c r="I391" s="279"/>
      <c r="J391" s="277"/>
      <c r="N391" s="280"/>
      <c r="Q391" s="280"/>
      <c r="T391" s="280"/>
    </row>
    <row r="392">
      <c r="B392" s="32"/>
      <c r="F392" s="277"/>
      <c r="G392" s="277"/>
      <c r="H392" s="278"/>
      <c r="I392" s="279"/>
      <c r="J392" s="277"/>
      <c r="N392" s="280"/>
      <c r="Q392" s="280"/>
      <c r="T392" s="280"/>
    </row>
    <row r="393">
      <c r="B393" s="32"/>
      <c r="F393" s="277"/>
      <c r="G393" s="277"/>
      <c r="H393" s="278"/>
      <c r="I393" s="279"/>
      <c r="J393" s="277"/>
      <c r="N393" s="280"/>
      <c r="Q393" s="280"/>
      <c r="T393" s="280"/>
    </row>
    <row r="394">
      <c r="B394" s="32"/>
      <c r="F394" s="277"/>
      <c r="G394" s="277"/>
      <c r="H394" s="278"/>
      <c r="I394" s="279"/>
      <c r="J394" s="277"/>
      <c r="N394" s="280"/>
      <c r="Q394" s="280"/>
      <c r="T394" s="280"/>
    </row>
    <row r="395">
      <c r="B395" s="32"/>
      <c r="F395" s="277"/>
      <c r="G395" s="277"/>
      <c r="H395" s="278"/>
      <c r="I395" s="279"/>
      <c r="J395" s="277"/>
      <c r="N395" s="280"/>
      <c r="Q395" s="280"/>
      <c r="T395" s="280"/>
    </row>
    <row r="396">
      <c r="B396" s="32"/>
      <c r="F396" s="277"/>
      <c r="G396" s="277"/>
      <c r="H396" s="278"/>
      <c r="I396" s="279"/>
      <c r="J396" s="277"/>
      <c r="N396" s="280"/>
      <c r="Q396" s="280"/>
      <c r="T396" s="280"/>
    </row>
    <row r="397">
      <c r="B397" s="32"/>
      <c r="F397" s="277"/>
      <c r="G397" s="277"/>
      <c r="H397" s="278"/>
      <c r="I397" s="279"/>
      <c r="J397" s="277"/>
      <c r="N397" s="280"/>
      <c r="Q397" s="280"/>
      <c r="T397" s="280"/>
    </row>
    <row r="398">
      <c r="B398" s="32"/>
      <c r="F398" s="277"/>
      <c r="G398" s="277"/>
      <c r="H398" s="278"/>
      <c r="I398" s="279"/>
      <c r="J398" s="277"/>
      <c r="N398" s="280"/>
      <c r="Q398" s="280"/>
      <c r="T398" s="280"/>
    </row>
    <row r="399">
      <c r="B399" s="32"/>
      <c r="F399" s="277"/>
      <c r="G399" s="277"/>
      <c r="H399" s="278"/>
      <c r="I399" s="279"/>
      <c r="J399" s="277"/>
      <c r="N399" s="280"/>
      <c r="Q399" s="280"/>
      <c r="T399" s="280"/>
    </row>
    <row r="400">
      <c r="B400" s="32"/>
      <c r="F400" s="277"/>
      <c r="G400" s="277"/>
      <c r="H400" s="278"/>
      <c r="I400" s="279"/>
      <c r="J400" s="277"/>
      <c r="N400" s="280"/>
      <c r="Q400" s="280"/>
      <c r="T400" s="280"/>
    </row>
    <row r="401">
      <c r="B401" s="32"/>
      <c r="F401" s="277"/>
      <c r="G401" s="277"/>
      <c r="H401" s="278"/>
      <c r="I401" s="279"/>
      <c r="J401" s="277"/>
      <c r="N401" s="280"/>
      <c r="Q401" s="280"/>
      <c r="T401" s="280"/>
    </row>
    <row r="402">
      <c r="B402" s="32"/>
      <c r="F402" s="277"/>
      <c r="G402" s="277"/>
      <c r="H402" s="278"/>
      <c r="I402" s="279"/>
      <c r="J402" s="277"/>
      <c r="N402" s="280"/>
      <c r="Q402" s="280"/>
      <c r="T402" s="280"/>
    </row>
    <row r="403">
      <c r="B403" s="32"/>
      <c r="F403" s="277"/>
      <c r="G403" s="277"/>
      <c r="H403" s="278"/>
      <c r="I403" s="279"/>
      <c r="J403" s="277"/>
      <c r="N403" s="280"/>
      <c r="Q403" s="280"/>
      <c r="T403" s="280"/>
    </row>
    <row r="404">
      <c r="B404" s="32"/>
      <c r="F404" s="277"/>
      <c r="G404" s="277"/>
      <c r="H404" s="278"/>
      <c r="I404" s="279"/>
      <c r="J404" s="277"/>
      <c r="N404" s="280"/>
      <c r="Q404" s="280"/>
      <c r="T404" s="280"/>
    </row>
    <row r="405">
      <c r="B405" s="32"/>
      <c r="F405" s="277"/>
      <c r="G405" s="277"/>
      <c r="H405" s="278"/>
      <c r="I405" s="279"/>
      <c r="J405" s="277"/>
      <c r="N405" s="280"/>
      <c r="Q405" s="280"/>
      <c r="T405" s="280"/>
    </row>
    <row r="406">
      <c r="B406" s="32"/>
      <c r="F406" s="277"/>
      <c r="G406" s="277"/>
      <c r="H406" s="278"/>
      <c r="I406" s="279"/>
      <c r="J406" s="277"/>
      <c r="N406" s="280"/>
      <c r="Q406" s="280"/>
      <c r="T406" s="280"/>
    </row>
    <row r="407">
      <c r="B407" s="32"/>
      <c r="F407" s="277"/>
      <c r="G407" s="277"/>
      <c r="H407" s="278"/>
      <c r="I407" s="279"/>
      <c r="J407" s="277"/>
      <c r="N407" s="280"/>
      <c r="Q407" s="280"/>
      <c r="T407" s="280"/>
    </row>
    <row r="408">
      <c r="B408" s="32"/>
      <c r="F408" s="277"/>
      <c r="G408" s="277"/>
      <c r="H408" s="278"/>
      <c r="I408" s="279"/>
      <c r="J408" s="277"/>
      <c r="N408" s="280"/>
      <c r="Q408" s="280"/>
      <c r="T408" s="280"/>
    </row>
    <row r="409">
      <c r="B409" s="32"/>
      <c r="F409" s="277"/>
      <c r="G409" s="277"/>
      <c r="H409" s="278"/>
      <c r="I409" s="279"/>
      <c r="J409" s="277"/>
      <c r="N409" s="280"/>
      <c r="Q409" s="280"/>
      <c r="T409" s="280"/>
    </row>
    <row r="410">
      <c r="B410" s="32"/>
      <c r="F410" s="277"/>
      <c r="G410" s="277"/>
      <c r="H410" s="278"/>
      <c r="I410" s="279"/>
      <c r="J410" s="277"/>
      <c r="N410" s="280"/>
      <c r="Q410" s="280"/>
      <c r="T410" s="280"/>
    </row>
    <row r="411">
      <c r="B411" s="32"/>
      <c r="F411" s="277"/>
      <c r="G411" s="277"/>
      <c r="H411" s="278"/>
      <c r="I411" s="279"/>
      <c r="J411" s="277"/>
      <c r="N411" s="280"/>
      <c r="Q411" s="280"/>
      <c r="T411" s="280"/>
    </row>
    <row r="412">
      <c r="B412" s="32"/>
      <c r="F412" s="277"/>
      <c r="G412" s="277"/>
      <c r="H412" s="278"/>
      <c r="I412" s="279"/>
      <c r="J412" s="277"/>
      <c r="N412" s="280"/>
      <c r="Q412" s="280"/>
      <c r="T412" s="280"/>
    </row>
    <row r="413">
      <c r="B413" s="32"/>
      <c r="F413" s="277"/>
      <c r="G413" s="277"/>
      <c r="H413" s="278"/>
      <c r="I413" s="279"/>
      <c r="J413" s="277"/>
      <c r="N413" s="280"/>
      <c r="Q413" s="280"/>
      <c r="T413" s="280"/>
    </row>
    <row r="414">
      <c r="B414" s="32"/>
      <c r="F414" s="277"/>
      <c r="G414" s="277"/>
      <c r="H414" s="278"/>
      <c r="I414" s="279"/>
      <c r="J414" s="277"/>
      <c r="N414" s="280"/>
      <c r="Q414" s="280"/>
      <c r="T414" s="280"/>
    </row>
    <row r="415">
      <c r="B415" s="32"/>
      <c r="F415" s="277"/>
      <c r="G415" s="277"/>
      <c r="H415" s="278"/>
      <c r="I415" s="279"/>
      <c r="J415" s="277"/>
      <c r="N415" s="280"/>
      <c r="Q415" s="280"/>
      <c r="T415" s="280"/>
    </row>
    <row r="416">
      <c r="B416" s="32"/>
      <c r="F416" s="277"/>
      <c r="G416" s="277"/>
      <c r="H416" s="278"/>
      <c r="I416" s="279"/>
      <c r="J416" s="277"/>
      <c r="N416" s="280"/>
      <c r="Q416" s="280"/>
      <c r="T416" s="280"/>
    </row>
    <row r="417">
      <c r="B417" s="32"/>
      <c r="F417" s="277"/>
      <c r="G417" s="277"/>
      <c r="H417" s="278"/>
      <c r="I417" s="279"/>
      <c r="J417" s="277"/>
      <c r="N417" s="280"/>
      <c r="Q417" s="280"/>
      <c r="T417" s="280"/>
    </row>
    <row r="418">
      <c r="B418" s="32"/>
      <c r="F418" s="277"/>
      <c r="G418" s="277"/>
      <c r="H418" s="278"/>
      <c r="I418" s="279"/>
      <c r="J418" s="277"/>
      <c r="N418" s="280"/>
      <c r="Q418" s="280"/>
      <c r="T418" s="280"/>
    </row>
    <row r="419">
      <c r="B419" s="32"/>
      <c r="F419" s="277"/>
      <c r="G419" s="277"/>
      <c r="H419" s="278"/>
      <c r="I419" s="279"/>
      <c r="J419" s="277"/>
      <c r="N419" s="280"/>
      <c r="Q419" s="280"/>
      <c r="T419" s="280"/>
    </row>
    <row r="420">
      <c r="B420" s="32"/>
      <c r="F420" s="277"/>
      <c r="G420" s="277"/>
      <c r="H420" s="278"/>
      <c r="I420" s="279"/>
      <c r="J420" s="277"/>
      <c r="N420" s="280"/>
      <c r="Q420" s="280"/>
      <c r="T420" s="280"/>
    </row>
    <row r="421">
      <c r="B421" s="32"/>
      <c r="F421" s="277"/>
      <c r="G421" s="277"/>
      <c r="H421" s="278"/>
      <c r="I421" s="279"/>
      <c r="J421" s="277"/>
      <c r="N421" s="280"/>
      <c r="Q421" s="280"/>
      <c r="T421" s="280"/>
    </row>
    <row r="422">
      <c r="B422" s="32"/>
      <c r="F422" s="277"/>
      <c r="G422" s="277"/>
      <c r="H422" s="278"/>
      <c r="I422" s="279"/>
      <c r="J422" s="277"/>
      <c r="N422" s="280"/>
      <c r="Q422" s="280"/>
      <c r="T422" s="280"/>
    </row>
    <row r="423">
      <c r="B423" s="32"/>
      <c r="F423" s="277"/>
      <c r="G423" s="277"/>
      <c r="H423" s="278"/>
      <c r="I423" s="279"/>
      <c r="J423" s="277"/>
      <c r="N423" s="280"/>
      <c r="Q423" s="280"/>
      <c r="T423" s="280"/>
    </row>
    <row r="424">
      <c r="B424" s="32"/>
      <c r="F424" s="277"/>
      <c r="G424" s="277"/>
      <c r="H424" s="278"/>
      <c r="I424" s="279"/>
      <c r="J424" s="277"/>
      <c r="N424" s="280"/>
      <c r="Q424" s="280"/>
      <c r="T424" s="280"/>
    </row>
    <row r="425">
      <c r="B425" s="32"/>
      <c r="F425" s="277"/>
      <c r="G425" s="277"/>
      <c r="H425" s="278"/>
      <c r="I425" s="279"/>
      <c r="J425" s="277"/>
      <c r="N425" s="280"/>
      <c r="Q425" s="280"/>
      <c r="T425" s="280"/>
    </row>
    <row r="426">
      <c r="B426" s="32"/>
      <c r="F426" s="277"/>
      <c r="G426" s="277"/>
      <c r="H426" s="278"/>
      <c r="I426" s="279"/>
      <c r="J426" s="277"/>
      <c r="N426" s="280"/>
      <c r="Q426" s="280"/>
      <c r="T426" s="280"/>
    </row>
    <row r="427">
      <c r="B427" s="32"/>
      <c r="F427" s="277"/>
      <c r="G427" s="277"/>
      <c r="H427" s="278"/>
      <c r="I427" s="279"/>
      <c r="J427" s="277"/>
      <c r="N427" s="280"/>
      <c r="Q427" s="280"/>
      <c r="T427" s="280"/>
    </row>
    <row r="428">
      <c r="B428" s="32"/>
      <c r="F428" s="277"/>
      <c r="G428" s="277"/>
      <c r="H428" s="278"/>
      <c r="I428" s="279"/>
      <c r="J428" s="277"/>
      <c r="N428" s="280"/>
      <c r="Q428" s="280"/>
      <c r="T428" s="280"/>
    </row>
    <row r="429">
      <c r="B429" s="32"/>
      <c r="F429" s="277"/>
      <c r="G429" s="277"/>
      <c r="H429" s="278"/>
      <c r="I429" s="279"/>
      <c r="J429" s="277"/>
      <c r="N429" s="280"/>
      <c r="Q429" s="280"/>
      <c r="T429" s="280"/>
    </row>
    <row r="430">
      <c r="B430" s="32"/>
      <c r="F430" s="277"/>
      <c r="G430" s="277"/>
      <c r="H430" s="278"/>
      <c r="I430" s="279"/>
      <c r="J430" s="277"/>
      <c r="N430" s="280"/>
      <c r="Q430" s="280"/>
      <c r="T430" s="280"/>
    </row>
    <row r="431">
      <c r="B431" s="32"/>
      <c r="F431" s="277"/>
      <c r="G431" s="277"/>
      <c r="H431" s="278"/>
      <c r="I431" s="279"/>
      <c r="J431" s="277"/>
      <c r="N431" s="280"/>
      <c r="Q431" s="280"/>
      <c r="T431" s="280"/>
    </row>
    <row r="432">
      <c r="B432" s="32"/>
      <c r="F432" s="277"/>
      <c r="G432" s="277"/>
      <c r="H432" s="278"/>
      <c r="I432" s="279"/>
      <c r="J432" s="277"/>
      <c r="N432" s="280"/>
      <c r="Q432" s="280"/>
      <c r="T432" s="280"/>
    </row>
    <row r="433">
      <c r="B433" s="32"/>
      <c r="F433" s="277"/>
      <c r="G433" s="277"/>
      <c r="H433" s="278"/>
      <c r="I433" s="279"/>
      <c r="J433" s="277"/>
      <c r="N433" s="280"/>
      <c r="Q433" s="280"/>
      <c r="T433" s="280"/>
    </row>
    <row r="434">
      <c r="B434" s="32"/>
      <c r="F434" s="277"/>
      <c r="G434" s="277"/>
      <c r="H434" s="278"/>
      <c r="I434" s="279"/>
      <c r="J434" s="277"/>
      <c r="N434" s="280"/>
      <c r="Q434" s="280"/>
      <c r="T434" s="280"/>
    </row>
    <row r="435">
      <c r="B435" s="32"/>
      <c r="F435" s="277"/>
      <c r="G435" s="277"/>
      <c r="H435" s="278"/>
      <c r="I435" s="279"/>
      <c r="J435" s="277"/>
      <c r="N435" s="280"/>
      <c r="Q435" s="280"/>
      <c r="T435" s="280"/>
    </row>
    <row r="436">
      <c r="B436" s="32"/>
      <c r="F436" s="277"/>
      <c r="G436" s="277"/>
      <c r="H436" s="278"/>
      <c r="I436" s="279"/>
      <c r="J436" s="277"/>
      <c r="N436" s="280"/>
      <c r="Q436" s="280"/>
      <c r="T436" s="280"/>
    </row>
    <row r="437">
      <c r="B437" s="32"/>
      <c r="F437" s="277"/>
      <c r="G437" s="277"/>
      <c r="H437" s="278"/>
      <c r="I437" s="279"/>
      <c r="J437" s="277"/>
      <c r="N437" s="280"/>
      <c r="Q437" s="280"/>
      <c r="T437" s="280"/>
    </row>
    <row r="438">
      <c r="B438" s="32"/>
      <c r="F438" s="277"/>
      <c r="G438" s="277"/>
      <c r="H438" s="278"/>
      <c r="I438" s="279"/>
      <c r="J438" s="277"/>
      <c r="N438" s="280"/>
      <c r="Q438" s="280"/>
      <c r="T438" s="280"/>
    </row>
    <row r="439">
      <c r="B439" s="32"/>
      <c r="F439" s="277"/>
      <c r="G439" s="277"/>
      <c r="H439" s="278"/>
      <c r="I439" s="279"/>
      <c r="J439" s="277"/>
      <c r="N439" s="280"/>
      <c r="Q439" s="280"/>
      <c r="T439" s="280"/>
    </row>
    <row r="440">
      <c r="B440" s="32"/>
      <c r="F440" s="277"/>
      <c r="G440" s="277"/>
      <c r="H440" s="278"/>
      <c r="I440" s="279"/>
      <c r="J440" s="277"/>
      <c r="N440" s="280"/>
      <c r="Q440" s="280"/>
      <c r="T440" s="280"/>
    </row>
    <row r="441">
      <c r="B441" s="32"/>
      <c r="F441" s="277"/>
      <c r="G441" s="277"/>
      <c r="H441" s="278"/>
      <c r="I441" s="279"/>
      <c r="J441" s="277"/>
      <c r="N441" s="280"/>
      <c r="Q441" s="280"/>
      <c r="T441" s="280"/>
    </row>
    <row r="442">
      <c r="B442" s="32"/>
      <c r="F442" s="277"/>
      <c r="G442" s="277"/>
      <c r="H442" s="278"/>
      <c r="I442" s="279"/>
      <c r="J442" s="277"/>
      <c r="N442" s="280"/>
      <c r="Q442" s="280"/>
      <c r="T442" s="280"/>
    </row>
    <row r="443">
      <c r="B443" s="32"/>
      <c r="F443" s="277"/>
      <c r="G443" s="277"/>
      <c r="H443" s="278"/>
      <c r="I443" s="279"/>
      <c r="J443" s="277"/>
      <c r="N443" s="280"/>
      <c r="Q443" s="280"/>
      <c r="T443" s="280"/>
    </row>
    <row r="444">
      <c r="B444" s="32"/>
      <c r="F444" s="277"/>
      <c r="G444" s="277"/>
      <c r="H444" s="278"/>
      <c r="I444" s="279"/>
      <c r="J444" s="277"/>
      <c r="N444" s="280"/>
      <c r="Q444" s="280"/>
      <c r="T444" s="280"/>
    </row>
    <row r="445">
      <c r="B445" s="32"/>
      <c r="F445" s="277"/>
      <c r="G445" s="277"/>
      <c r="H445" s="278"/>
      <c r="I445" s="279"/>
      <c r="J445" s="277"/>
      <c r="N445" s="280"/>
      <c r="Q445" s="280"/>
      <c r="T445" s="280"/>
    </row>
    <row r="446">
      <c r="B446" s="32"/>
      <c r="F446" s="277"/>
      <c r="G446" s="277"/>
      <c r="H446" s="278"/>
      <c r="I446" s="279"/>
      <c r="J446" s="277"/>
      <c r="N446" s="280"/>
      <c r="Q446" s="280"/>
      <c r="T446" s="280"/>
    </row>
    <row r="447">
      <c r="B447" s="32"/>
      <c r="F447" s="277"/>
      <c r="G447" s="277"/>
      <c r="H447" s="278"/>
      <c r="I447" s="279"/>
      <c r="J447" s="277"/>
      <c r="N447" s="280"/>
      <c r="Q447" s="280"/>
      <c r="T447" s="280"/>
    </row>
    <row r="448">
      <c r="B448" s="32"/>
      <c r="F448" s="277"/>
      <c r="G448" s="277"/>
      <c r="H448" s="278"/>
      <c r="I448" s="279"/>
      <c r="J448" s="277"/>
      <c r="N448" s="280"/>
      <c r="Q448" s="280"/>
      <c r="T448" s="280"/>
    </row>
    <row r="449">
      <c r="B449" s="32"/>
      <c r="F449" s="277"/>
      <c r="G449" s="277"/>
      <c r="H449" s="278"/>
      <c r="I449" s="279"/>
      <c r="J449" s="277"/>
      <c r="N449" s="280"/>
      <c r="Q449" s="280"/>
      <c r="T449" s="280"/>
    </row>
    <row r="450">
      <c r="B450" s="32"/>
      <c r="F450" s="277"/>
      <c r="G450" s="277"/>
      <c r="H450" s="278"/>
      <c r="I450" s="279"/>
      <c r="J450" s="277"/>
      <c r="N450" s="280"/>
      <c r="Q450" s="280"/>
      <c r="T450" s="280"/>
    </row>
    <row r="451">
      <c r="B451" s="32"/>
      <c r="F451" s="277"/>
      <c r="G451" s="277"/>
      <c r="H451" s="278"/>
      <c r="I451" s="279"/>
      <c r="J451" s="277"/>
      <c r="N451" s="280"/>
      <c r="Q451" s="280"/>
      <c r="T451" s="280"/>
    </row>
    <row r="452">
      <c r="B452" s="32"/>
      <c r="F452" s="277"/>
      <c r="G452" s="277"/>
      <c r="H452" s="278"/>
      <c r="I452" s="279"/>
      <c r="J452" s="277"/>
      <c r="N452" s="280"/>
      <c r="Q452" s="280"/>
      <c r="T452" s="280"/>
    </row>
    <row r="453">
      <c r="B453" s="32"/>
      <c r="F453" s="277"/>
      <c r="G453" s="277"/>
      <c r="H453" s="278"/>
      <c r="I453" s="279"/>
      <c r="J453" s="277"/>
      <c r="N453" s="280"/>
      <c r="Q453" s="280"/>
      <c r="T453" s="280"/>
    </row>
    <row r="454">
      <c r="B454" s="32"/>
      <c r="F454" s="277"/>
      <c r="G454" s="277"/>
      <c r="H454" s="278"/>
      <c r="I454" s="279"/>
      <c r="J454" s="277"/>
      <c r="N454" s="280"/>
      <c r="Q454" s="280"/>
      <c r="T454" s="280"/>
    </row>
    <row r="455">
      <c r="B455" s="32"/>
      <c r="F455" s="277"/>
      <c r="G455" s="277"/>
      <c r="H455" s="278"/>
      <c r="I455" s="279"/>
      <c r="J455" s="277"/>
      <c r="N455" s="280"/>
      <c r="Q455" s="280"/>
      <c r="T455" s="280"/>
    </row>
    <row r="456">
      <c r="B456" s="32"/>
      <c r="F456" s="277"/>
      <c r="G456" s="277"/>
      <c r="H456" s="278"/>
      <c r="I456" s="279"/>
      <c r="J456" s="277"/>
      <c r="N456" s="280"/>
      <c r="Q456" s="280"/>
      <c r="T456" s="280"/>
    </row>
    <row r="457">
      <c r="B457" s="32"/>
      <c r="F457" s="277"/>
      <c r="G457" s="277"/>
      <c r="H457" s="278"/>
      <c r="I457" s="279"/>
      <c r="J457" s="277"/>
      <c r="N457" s="280"/>
      <c r="Q457" s="280"/>
      <c r="T457" s="280"/>
    </row>
    <row r="458">
      <c r="B458" s="32"/>
      <c r="F458" s="277"/>
      <c r="G458" s="277"/>
      <c r="H458" s="278"/>
      <c r="I458" s="279"/>
      <c r="J458" s="277"/>
      <c r="N458" s="280"/>
      <c r="Q458" s="280"/>
      <c r="T458" s="280"/>
    </row>
    <row r="459">
      <c r="B459" s="32"/>
      <c r="F459" s="277"/>
      <c r="G459" s="277"/>
      <c r="H459" s="278"/>
      <c r="I459" s="279"/>
      <c r="J459" s="277"/>
      <c r="N459" s="280"/>
      <c r="Q459" s="280"/>
      <c r="T459" s="280"/>
    </row>
    <row r="460">
      <c r="B460" s="32"/>
      <c r="F460" s="277"/>
      <c r="G460" s="277"/>
      <c r="H460" s="278"/>
      <c r="I460" s="279"/>
      <c r="J460" s="277"/>
      <c r="N460" s="280"/>
      <c r="Q460" s="280"/>
      <c r="T460" s="280"/>
    </row>
    <row r="461">
      <c r="B461" s="32"/>
      <c r="F461" s="277"/>
      <c r="G461" s="277"/>
      <c r="H461" s="278"/>
      <c r="I461" s="279"/>
      <c r="J461" s="277"/>
      <c r="N461" s="280"/>
      <c r="Q461" s="280"/>
      <c r="T461" s="280"/>
    </row>
    <row r="462">
      <c r="B462" s="32"/>
      <c r="F462" s="277"/>
      <c r="G462" s="277"/>
      <c r="H462" s="278"/>
      <c r="I462" s="279"/>
      <c r="J462" s="277"/>
      <c r="N462" s="280"/>
      <c r="Q462" s="280"/>
      <c r="T462" s="280"/>
    </row>
    <row r="463">
      <c r="B463" s="32"/>
      <c r="F463" s="277"/>
      <c r="G463" s="277"/>
      <c r="H463" s="278"/>
      <c r="I463" s="279"/>
      <c r="J463" s="277"/>
      <c r="N463" s="280"/>
      <c r="Q463" s="280"/>
      <c r="T463" s="280"/>
    </row>
    <row r="464">
      <c r="B464" s="32"/>
      <c r="F464" s="277"/>
      <c r="G464" s="277"/>
      <c r="H464" s="278"/>
      <c r="I464" s="279"/>
      <c r="J464" s="277"/>
      <c r="N464" s="280"/>
      <c r="Q464" s="280"/>
      <c r="T464" s="280"/>
    </row>
    <row r="465">
      <c r="B465" s="32"/>
      <c r="F465" s="277"/>
      <c r="G465" s="277"/>
      <c r="H465" s="278"/>
      <c r="I465" s="279"/>
      <c r="J465" s="277"/>
      <c r="N465" s="280"/>
      <c r="Q465" s="280"/>
      <c r="T465" s="280"/>
    </row>
    <row r="466">
      <c r="B466" s="32"/>
      <c r="F466" s="277"/>
      <c r="G466" s="277"/>
      <c r="H466" s="278"/>
      <c r="I466" s="279"/>
      <c r="J466" s="277"/>
      <c r="N466" s="280"/>
      <c r="Q466" s="280"/>
      <c r="T466" s="280"/>
    </row>
    <row r="467">
      <c r="B467" s="32"/>
      <c r="F467" s="277"/>
      <c r="G467" s="277"/>
      <c r="H467" s="278"/>
      <c r="I467" s="279"/>
      <c r="J467" s="277"/>
      <c r="N467" s="280"/>
      <c r="Q467" s="280"/>
      <c r="T467" s="280"/>
    </row>
    <row r="468">
      <c r="B468" s="32"/>
      <c r="F468" s="277"/>
      <c r="G468" s="277"/>
      <c r="H468" s="278"/>
      <c r="I468" s="279"/>
      <c r="J468" s="277"/>
      <c r="N468" s="280"/>
      <c r="Q468" s="280"/>
      <c r="T468" s="280"/>
    </row>
    <row r="469">
      <c r="B469" s="32"/>
      <c r="F469" s="277"/>
      <c r="G469" s="277"/>
      <c r="H469" s="278"/>
      <c r="I469" s="279"/>
      <c r="J469" s="277"/>
      <c r="N469" s="280"/>
      <c r="Q469" s="280"/>
      <c r="T469" s="280"/>
    </row>
    <row r="470">
      <c r="B470" s="32"/>
      <c r="F470" s="277"/>
      <c r="G470" s="277"/>
      <c r="H470" s="278"/>
      <c r="I470" s="279"/>
      <c r="J470" s="277"/>
      <c r="N470" s="280"/>
      <c r="Q470" s="280"/>
      <c r="T470" s="280"/>
    </row>
    <row r="471">
      <c r="B471" s="32"/>
      <c r="F471" s="277"/>
      <c r="G471" s="277"/>
      <c r="H471" s="278"/>
      <c r="I471" s="279"/>
      <c r="J471" s="277"/>
      <c r="N471" s="280"/>
      <c r="Q471" s="280"/>
      <c r="T471" s="280"/>
    </row>
    <row r="472">
      <c r="B472" s="32"/>
      <c r="F472" s="277"/>
      <c r="G472" s="277"/>
      <c r="H472" s="278"/>
      <c r="I472" s="279"/>
      <c r="J472" s="277"/>
      <c r="N472" s="280"/>
      <c r="Q472" s="280"/>
      <c r="T472" s="280"/>
    </row>
    <row r="473">
      <c r="B473" s="32"/>
      <c r="F473" s="277"/>
      <c r="G473" s="277"/>
      <c r="H473" s="278"/>
      <c r="I473" s="279"/>
      <c r="J473" s="277"/>
      <c r="N473" s="280"/>
      <c r="Q473" s="280"/>
      <c r="T473" s="280"/>
    </row>
    <row r="474">
      <c r="B474" s="32"/>
      <c r="F474" s="277"/>
      <c r="G474" s="277"/>
      <c r="H474" s="278"/>
      <c r="I474" s="279"/>
      <c r="J474" s="277"/>
      <c r="N474" s="280"/>
      <c r="Q474" s="280"/>
      <c r="T474" s="280"/>
    </row>
    <row r="475">
      <c r="B475" s="32"/>
      <c r="F475" s="277"/>
      <c r="G475" s="277"/>
      <c r="H475" s="278"/>
      <c r="I475" s="279"/>
      <c r="J475" s="277"/>
      <c r="N475" s="280"/>
      <c r="Q475" s="280"/>
      <c r="T475" s="280"/>
    </row>
    <row r="476">
      <c r="B476" s="32"/>
      <c r="F476" s="277"/>
      <c r="G476" s="277"/>
      <c r="H476" s="278"/>
      <c r="I476" s="279"/>
      <c r="J476" s="277"/>
      <c r="N476" s="280"/>
      <c r="Q476" s="280"/>
      <c r="T476" s="280"/>
    </row>
    <row r="477">
      <c r="B477" s="32"/>
      <c r="F477" s="277"/>
      <c r="G477" s="277"/>
      <c r="H477" s="278"/>
      <c r="I477" s="279"/>
      <c r="J477" s="277"/>
      <c r="N477" s="280"/>
      <c r="Q477" s="280"/>
      <c r="T477" s="280"/>
    </row>
    <row r="478">
      <c r="B478" s="32"/>
      <c r="F478" s="277"/>
      <c r="G478" s="277"/>
      <c r="H478" s="278"/>
      <c r="I478" s="279"/>
      <c r="J478" s="277"/>
      <c r="N478" s="280"/>
      <c r="Q478" s="280"/>
      <c r="T478" s="280"/>
    </row>
    <row r="479">
      <c r="B479" s="32"/>
      <c r="F479" s="277"/>
      <c r="G479" s="277"/>
      <c r="H479" s="278"/>
      <c r="I479" s="279"/>
      <c r="J479" s="277"/>
      <c r="N479" s="280"/>
      <c r="Q479" s="280"/>
      <c r="T479" s="280"/>
    </row>
    <row r="480">
      <c r="B480" s="32"/>
      <c r="F480" s="277"/>
      <c r="G480" s="277"/>
      <c r="H480" s="278"/>
      <c r="I480" s="279"/>
      <c r="J480" s="277"/>
      <c r="N480" s="280"/>
      <c r="Q480" s="280"/>
      <c r="T480" s="280"/>
    </row>
    <row r="481">
      <c r="B481" s="32"/>
      <c r="F481" s="277"/>
      <c r="G481" s="277"/>
      <c r="H481" s="278"/>
      <c r="I481" s="279"/>
      <c r="J481" s="277"/>
      <c r="N481" s="280"/>
      <c r="Q481" s="280"/>
      <c r="T481" s="280"/>
    </row>
    <row r="482">
      <c r="B482" s="32"/>
      <c r="F482" s="277"/>
      <c r="G482" s="277"/>
      <c r="H482" s="278"/>
      <c r="I482" s="279"/>
      <c r="J482" s="277"/>
      <c r="N482" s="280"/>
      <c r="Q482" s="280"/>
      <c r="T482" s="280"/>
    </row>
    <row r="483">
      <c r="B483" s="32"/>
      <c r="F483" s="277"/>
      <c r="G483" s="277"/>
      <c r="H483" s="278"/>
      <c r="I483" s="279"/>
      <c r="J483" s="277"/>
      <c r="N483" s="280"/>
      <c r="Q483" s="280"/>
      <c r="T483" s="280"/>
    </row>
    <row r="484">
      <c r="B484" s="32"/>
      <c r="F484" s="277"/>
      <c r="G484" s="277"/>
      <c r="H484" s="278"/>
      <c r="I484" s="279"/>
      <c r="J484" s="277"/>
      <c r="N484" s="280"/>
      <c r="Q484" s="280"/>
      <c r="T484" s="280"/>
    </row>
    <row r="485">
      <c r="B485" s="32"/>
      <c r="F485" s="277"/>
      <c r="G485" s="277"/>
      <c r="H485" s="278"/>
      <c r="I485" s="279"/>
      <c r="J485" s="277"/>
      <c r="N485" s="280"/>
      <c r="Q485" s="280"/>
      <c r="T485" s="280"/>
    </row>
    <row r="486">
      <c r="B486" s="32"/>
      <c r="F486" s="277"/>
      <c r="G486" s="277"/>
      <c r="H486" s="278"/>
      <c r="I486" s="279"/>
      <c r="J486" s="277"/>
      <c r="N486" s="280"/>
      <c r="Q486" s="280"/>
      <c r="T486" s="280"/>
    </row>
    <row r="487">
      <c r="B487" s="32"/>
      <c r="F487" s="277"/>
      <c r="G487" s="277"/>
      <c r="H487" s="278"/>
      <c r="I487" s="279"/>
      <c r="J487" s="277"/>
      <c r="N487" s="280"/>
      <c r="Q487" s="280"/>
      <c r="T487" s="280"/>
    </row>
    <row r="488">
      <c r="B488" s="32"/>
      <c r="F488" s="277"/>
      <c r="G488" s="277"/>
      <c r="H488" s="278"/>
      <c r="I488" s="279"/>
      <c r="J488" s="277"/>
      <c r="N488" s="280"/>
      <c r="Q488" s="280"/>
      <c r="T488" s="280"/>
    </row>
    <row r="489">
      <c r="B489" s="32"/>
      <c r="F489" s="277"/>
      <c r="G489" s="277"/>
      <c r="H489" s="278"/>
      <c r="I489" s="279"/>
      <c r="J489" s="277"/>
      <c r="N489" s="280"/>
      <c r="Q489" s="280"/>
      <c r="T489" s="280"/>
    </row>
    <row r="490">
      <c r="B490" s="32"/>
      <c r="F490" s="277"/>
      <c r="G490" s="277"/>
      <c r="H490" s="278"/>
      <c r="I490" s="279"/>
      <c r="J490" s="277"/>
      <c r="N490" s="280"/>
      <c r="Q490" s="280"/>
      <c r="T490" s="280"/>
    </row>
    <row r="491">
      <c r="B491" s="32"/>
      <c r="F491" s="277"/>
      <c r="G491" s="277"/>
      <c r="H491" s="278"/>
      <c r="I491" s="279"/>
      <c r="J491" s="277"/>
      <c r="N491" s="280"/>
      <c r="Q491" s="280"/>
      <c r="T491" s="280"/>
    </row>
    <row r="492">
      <c r="B492" s="32"/>
      <c r="F492" s="277"/>
      <c r="G492" s="277"/>
      <c r="H492" s="278"/>
      <c r="I492" s="279"/>
      <c r="J492" s="277"/>
      <c r="N492" s="280"/>
      <c r="Q492" s="280"/>
      <c r="T492" s="280"/>
    </row>
    <row r="493">
      <c r="B493" s="32"/>
      <c r="F493" s="277"/>
      <c r="G493" s="277"/>
      <c r="H493" s="278"/>
      <c r="I493" s="279"/>
      <c r="J493" s="277"/>
      <c r="N493" s="280"/>
      <c r="Q493" s="280"/>
      <c r="T493" s="280"/>
    </row>
    <row r="494">
      <c r="B494" s="32"/>
      <c r="F494" s="277"/>
      <c r="G494" s="277"/>
      <c r="H494" s="278"/>
      <c r="I494" s="279"/>
      <c r="J494" s="277"/>
      <c r="N494" s="280"/>
      <c r="Q494" s="280"/>
      <c r="T494" s="280"/>
    </row>
    <row r="495">
      <c r="B495" s="32"/>
      <c r="F495" s="277"/>
      <c r="G495" s="277"/>
      <c r="H495" s="278"/>
      <c r="I495" s="279"/>
      <c r="J495" s="277"/>
      <c r="N495" s="280"/>
      <c r="Q495" s="280"/>
      <c r="T495" s="280"/>
    </row>
    <row r="496">
      <c r="B496" s="32"/>
      <c r="F496" s="277"/>
      <c r="G496" s="277"/>
      <c r="H496" s="278"/>
      <c r="I496" s="279"/>
      <c r="J496" s="277"/>
      <c r="N496" s="280"/>
      <c r="Q496" s="280"/>
      <c r="T496" s="280"/>
    </row>
    <row r="497">
      <c r="B497" s="32"/>
      <c r="F497" s="277"/>
      <c r="G497" s="277"/>
      <c r="H497" s="278"/>
      <c r="I497" s="279"/>
      <c r="J497" s="277"/>
      <c r="N497" s="280"/>
      <c r="Q497" s="280"/>
      <c r="T497" s="280"/>
    </row>
    <row r="498">
      <c r="B498" s="32"/>
      <c r="F498" s="277"/>
      <c r="G498" s="277"/>
      <c r="H498" s="278"/>
      <c r="I498" s="279"/>
      <c r="J498" s="277"/>
      <c r="N498" s="280"/>
      <c r="Q498" s="280"/>
      <c r="T498" s="280"/>
    </row>
    <row r="499">
      <c r="B499" s="32"/>
      <c r="F499" s="277"/>
      <c r="G499" s="277"/>
      <c r="H499" s="278"/>
      <c r="I499" s="279"/>
      <c r="J499" s="277"/>
      <c r="N499" s="280"/>
      <c r="Q499" s="280"/>
      <c r="T499" s="280"/>
    </row>
    <row r="500">
      <c r="B500" s="32"/>
      <c r="F500" s="277"/>
      <c r="G500" s="277"/>
      <c r="H500" s="278"/>
      <c r="I500" s="279"/>
      <c r="J500" s="277"/>
      <c r="N500" s="280"/>
      <c r="Q500" s="280"/>
      <c r="T500" s="280"/>
    </row>
    <row r="501">
      <c r="B501" s="32"/>
      <c r="F501" s="277"/>
      <c r="G501" s="277"/>
      <c r="H501" s="278"/>
      <c r="I501" s="279"/>
      <c r="J501" s="277"/>
      <c r="N501" s="280"/>
      <c r="Q501" s="280"/>
      <c r="T501" s="280"/>
    </row>
    <row r="502">
      <c r="B502" s="32"/>
      <c r="F502" s="277"/>
      <c r="G502" s="277"/>
      <c r="H502" s="278"/>
      <c r="I502" s="279"/>
      <c r="J502" s="277"/>
      <c r="N502" s="280"/>
      <c r="Q502" s="280"/>
      <c r="T502" s="280"/>
    </row>
    <row r="503">
      <c r="B503" s="32"/>
      <c r="F503" s="277"/>
      <c r="G503" s="277"/>
      <c r="H503" s="278"/>
      <c r="I503" s="279"/>
      <c r="J503" s="277"/>
      <c r="N503" s="280"/>
      <c r="Q503" s="280"/>
      <c r="T503" s="280"/>
    </row>
    <row r="504">
      <c r="B504" s="32"/>
      <c r="F504" s="277"/>
      <c r="G504" s="277"/>
      <c r="H504" s="278"/>
      <c r="I504" s="279"/>
      <c r="J504" s="277"/>
      <c r="N504" s="280"/>
      <c r="Q504" s="280"/>
      <c r="T504" s="280"/>
    </row>
    <row r="505">
      <c r="B505" s="32"/>
      <c r="F505" s="277"/>
      <c r="G505" s="277"/>
      <c r="H505" s="278"/>
      <c r="I505" s="279"/>
      <c r="J505" s="277"/>
      <c r="N505" s="280"/>
      <c r="Q505" s="280"/>
      <c r="T505" s="280"/>
    </row>
    <row r="506">
      <c r="B506" s="32"/>
      <c r="F506" s="277"/>
      <c r="G506" s="277"/>
      <c r="H506" s="278"/>
      <c r="I506" s="279"/>
      <c r="J506" s="277"/>
      <c r="N506" s="280"/>
      <c r="Q506" s="280"/>
      <c r="T506" s="280"/>
    </row>
    <row r="507">
      <c r="B507" s="32"/>
      <c r="F507" s="277"/>
      <c r="G507" s="277"/>
      <c r="H507" s="278"/>
      <c r="I507" s="279"/>
      <c r="J507" s="277"/>
      <c r="N507" s="280"/>
      <c r="Q507" s="280"/>
      <c r="T507" s="280"/>
    </row>
    <row r="508">
      <c r="B508" s="32"/>
      <c r="F508" s="277"/>
      <c r="G508" s="277"/>
      <c r="H508" s="278"/>
      <c r="I508" s="279"/>
      <c r="J508" s="277"/>
      <c r="N508" s="280"/>
      <c r="Q508" s="280"/>
      <c r="T508" s="280"/>
    </row>
    <row r="509">
      <c r="B509" s="32"/>
      <c r="F509" s="277"/>
      <c r="G509" s="277"/>
      <c r="H509" s="278"/>
      <c r="I509" s="279"/>
      <c r="J509" s="277"/>
      <c r="N509" s="280"/>
      <c r="Q509" s="280"/>
      <c r="T509" s="280"/>
    </row>
    <row r="510">
      <c r="B510" s="32"/>
      <c r="F510" s="277"/>
      <c r="G510" s="277"/>
      <c r="H510" s="278"/>
      <c r="I510" s="279"/>
      <c r="J510" s="277"/>
      <c r="N510" s="280"/>
      <c r="Q510" s="280"/>
      <c r="T510" s="280"/>
    </row>
    <row r="511">
      <c r="B511" s="32"/>
      <c r="F511" s="277"/>
      <c r="G511" s="277"/>
      <c r="H511" s="278"/>
      <c r="I511" s="279"/>
      <c r="J511" s="277"/>
      <c r="N511" s="280"/>
      <c r="Q511" s="280"/>
      <c r="T511" s="280"/>
    </row>
    <row r="512">
      <c r="B512" s="32"/>
      <c r="F512" s="277"/>
      <c r="G512" s="277"/>
      <c r="H512" s="278"/>
      <c r="I512" s="279"/>
      <c r="J512" s="277"/>
      <c r="N512" s="280"/>
      <c r="Q512" s="280"/>
      <c r="T512" s="280"/>
    </row>
    <row r="513">
      <c r="B513" s="32"/>
      <c r="F513" s="277"/>
      <c r="G513" s="277"/>
      <c r="H513" s="278"/>
      <c r="I513" s="279"/>
      <c r="J513" s="277"/>
      <c r="N513" s="280"/>
      <c r="Q513" s="280"/>
      <c r="T513" s="280"/>
    </row>
    <row r="514">
      <c r="B514" s="32"/>
      <c r="F514" s="277"/>
      <c r="G514" s="277"/>
      <c r="H514" s="278"/>
      <c r="I514" s="279"/>
      <c r="J514" s="277"/>
      <c r="N514" s="280"/>
      <c r="Q514" s="280"/>
      <c r="T514" s="280"/>
    </row>
    <row r="515">
      <c r="B515" s="32"/>
      <c r="F515" s="277"/>
      <c r="G515" s="277"/>
      <c r="H515" s="278"/>
      <c r="I515" s="279"/>
      <c r="J515" s="277"/>
      <c r="N515" s="280"/>
      <c r="Q515" s="280"/>
      <c r="T515" s="280"/>
    </row>
    <row r="516">
      <c r="B516" s="32"/>
      <c r="F516" s="277"/>
      <c r="G516" s="277"/>
      <c r="H516" s="278"/>
      <c r="I516" s="279"/>
      <c r="J516" s="277"/>
      <c r="N516" s="280"/>
      <c r="Q516" s="280"/>
      <c r="T516" s="280"/>
    </row>
    <row r="517">
      <c r="B517" s="32"/>
      <c r="F517" s="277"/>
      <c r="G517" s="277"/>
      <c r="H517" s="278"/>
      <c r="I517" s="279"/>
      <c r="J517" s="277"/>
      <c r="N517" s="280"/>
      <c r="Q517" s="280"/>
      <c r="T517" s="280"/>
    </row>
    <row r="518">
      <c r="B518" s="32"/>
      <c r="F518" s="277"/>
      <c r="G518" s="277"/>
      <c r="H518" s="278"/>
      <c r="I518" s="279"/>
      <c r="J518" s="277"/>
      <c r="N518" s="280"/>
      <c r="Q518" s="280"/>
      <c r="T518" s="280"/>
    </row>
    <row r="519">
      <c r="B519" s="32"/>
      <c r="F519" s="277"/>
      <c r="G519" s="277"/>
      <c r="H519" s="278"/>
      <c r="I519" s="279"/>
      <c r="J519" s="277"/>
      <c r="N519" s="280"/>
      <c r="Q519" s="280"/>
      <c r="T519" s="280"/>
    </row>
    <row r="520">
      <c r="B520" s="32"/>
      <c r="F520" s="277"/>
      <c r="G520" s="277"/>
      <c r="H520" s="278"/>
      <c r="I520" s="279"/>
      <c r="J520" s="277"/>
      <c r="N520" s="280"/>
      <c r="Q520" s="280"/>
      <c r="T520" s="280"/>
    </row>
    <row r="521">
      <c r="B521" s="32"/>
      <c r="F521" s="277"/>
      <c r="G521" s="277"/>
      <c r="H521" s="278"/>
      <c r="I521" s="279"/>
      <c r="J521" s="277"/>
      <c r="N521" s="280"/>
      <c r="Q521" s="280"/>
      <c r="T521" s="280"/>
    </row>
    <row r="522">
      <c r="B522" s="32"/>
      <c r="F522" s="277"/>
      <c r="G522" s="277"/>
      <c r="H522" s="278"/>
      <c r="I522" s="279"/>
      <c r="J522" s="277"/>
      <c r="N522" s="280"/>
      <c r="Q522" s="280"/>
      <c r="T522" s="280"/>
    </row>
    <row r="523">
      <c r="B523" s="32"/>
      <c r="F523" s="277"/>
      <c r="G523" s="277"/>
      <c r="H523" s="278"/>
      <c r="I523" s="279"/>
      <c r="J523" s="277"/>
      <c r="N523" s="280"/>
      <c r="Q523" s="280"/>
      <c r="T523" s="280"/>
    </row>
    <row r="524">
      <c r="B524" s="32"/>
      <c r="F524" s="277"/>
      <c r="G524" s="277"/>
      <c r="H524" s="278"/>
      <c r="I524" s="279"/>
      <c r="J524" s="277"/>
      <c r="N524" s="280"/>
      <c r="Q524" s="280"/>
      <c r="T524" s="280"/>
    </row>
    <row r="525">
      <c r="B525" s="32"/>
      <c r="F525" s="277"/>
      <c r="G525" s="277"/>
      <c r="H525" s="278"/>
      <c r="I525" s="279"/>
      <c r="J525" s="277"/>
      <c r="N525" s="280"/>
      <c r="Q525" s="280"/>
      <c r="T525" s="280"/>
    </row>
    <row r="526">
      <c r="B526" s="32"/>
      <c r="F526" s="277"/>
      <c r="G526" s="277"/>
      <c r="H526" s="278"/>
      <c r="I526" s="279"/>
      <c r="J526" s="277"/>
      <c r="N526" s="280"/>
      <c r="Q526" s="280"/>
      <c r="T526" s="280"/>
    </row>
    <row r="527">
      <c r="B527" s="32"/>
      <c r="F527" s="277"/>
      <c r="G527" s="277"/>
      <c r="H527" s="278"/>
      <c r="I527" s="279"/>
      <c r="J527" s="277"/>
      <c r="N527" s="280"/>
      <c r="Q527" s="280"/>
      <c r="T527" s="280"/>
    </row>
    <row r="528">
      <c r="B528" s="32"/>
      <c r="F528" s="277"/>
      <c r="G528" s="277"/>
      <c r="H528" s="278"/>
      <c r="I528" s="279"/>
      <c r="J528" s="277"/>
      <c r="N528" s="280"/>
      <c r="Q528" s="280"/>
      <c r="T528" s="280"/>
    </row>
    <row r="529">
      <c r="B529" s="32"/>
      <c r="F529" s="277"/>
      <c r="G529" s="277"/>
      <c r="H529" s="278"/>
      <c r="I529" s="279"/>
      <c r="J529" s="277"/>
      <c r="N529" s="280"/>
      <c r="Q529" s="280"/>
      <c r="T529" s="280"/>
    </row>
    <row r="530">
      <c r="B530" s="32"/>
      <c r="F530" s="277"/>
      <c r="G530" s="277"/>
      <c r="H530" s="278"/>
      <c r="I530" s="279"/>
      <c r="J530" s="277"/>
      <c r="N530" s="280"/>
      <c r="Q530" s="280"/>
      <c r="T530" s="280"/>
    </row>
    <row r="531">
      <c r="B531" s="32"/>
      <c r="F531" s="277"/>
      <c r="G531" s="277"/>
      <c r="H531" s="278"/>
      <c r="I531" s="279"/>
      <c r="J531" s="277"/>
      <c r="N531" s="280"/>
      <c r="Q531" s="280"/>
      <c r="T531" s="280"/>
    </row>
    <row r="532">
      <c r="B532" s="32"/>
      <c r="F532" s="277"/>
      <c r="G532" s="277"/>
      <c r="H532" s="278"/>
      <c r="I532" s="279"/>
      <c r="J532" s="277"/>
      <c r="N532" s="280"/>
      <c r="Q532" s="280"/>
      <c r="T532" s="280"/>
    </row>
    <row r="533">
      <c r="B533" s="32"/>
      <c r="F533" s="277"/>
      <c r="G533" s="277"/>
      <c r="H533" s="278"/>
      <c r="I533" s="279"/>
      <c r="J533" s="277"/>
      <c r="N533" s="280"/>
      <c r="Q533" s="280"/>
      <c r="T533" s="280"/>
    </row>
    <row r="534">
      <c r="B534" s="32"/>
      <c r="F534" s="277"/>
      <c r="G534" s="277"/>
      <c r="H534" s="278"/>
      <c r="I534" s="279"/>
      <c r="J534" s="277"/>
      <c r="N534" s="280"/>
      <c r="Q534" s="280"/>
      <c r="T534" s="280"/>
    </row>
    <row r="535">
      <c r="B535" s="32"/>
      <c r="F535" s="277"/>
      <c r="G535" s="277"/>
      <c r="H535" s="278"/>
      <c r="I535" s="279"/>
      <c r="J535" s="277"/>
      <c r="N535" s="280"/>
      <c r="Q535" s="280"/>
      <c r="T535" s="280"/>
    </row>
    <row r="536">
      <c r="B536" s="32"/>
      <c r="F536" s="277"/>
      <c r="G536" s="277"/>
      <c r="H536" s="278"/>
      <c r="I536" s="279"/>
      <c r="J536" s="277"/>
      <c r="N536" s="280"/>
      <c r="Q536" s="280"/>
      <c r="T536" s="280"/>
    </row>
    <row r="537">
      <c r="B537" s="32"/>
      <c r="F537" s="277"/>
      <c r="G537" s="277"/>
      <c r="H537" s="278"/>
      <c r="I537" s="279"/>
      <c r="J537" s="277"/>
      <c r="N537" s="280"/>
      <c r="Q537" s="280"/>
      <c r="T537" s="280"/>
    </row>
    <row r="538">
      <c r="B538" s="32"/>
      <c r="F538" s="277"/>
      <c r="G538" s="277"/>
      <c r="H538" s="278"/>
      <c r="I538" s="279"/>
      <c r="J538" s="277"/>
      <c r="N538" s="280"/>
      <c r="Q538" s="280"/>
      <c r="T538" s="280"/>
    </row>
    <row r="539">
      <c r="B539" s="32"/>
      <c r="F539" s="277"/>
      <c r="G539" s="277"/>
      <c r="H539" s="278"/>
      <c r="I539" s="279"/>
      <c r="J539" s="277"/>
      <c r="N539" s="280"/>
      <c r="Q539" s="280"/>
      <c r="T539" s="280"/>
    </row>
    <row r="540">
      <c r="B540" s="32"/>
      <c r="F540" s="277"/>
      <c r="G540" s="277"/>
      <c r="H540" s="278"/>
      <c r="I540" s="279"/>
      <c r="J540" s="277"/>
      <c r="N540" s="280"/>
      <c r="Q540" s="280"/>
      <c r="T540" s="280"/>
    </row>
    <row r="541">
      <c r="B541" s="32"/>
      <c r="F541" s="277"/>
      <c r="G541" s="277"/>
      <c r="H541" s="278"/>
      <c r="I541" s="279"/>
      <c r="J541" s="277"/>
      <c r="N541" s="280"/>
      <c r="Q541" s="280"/>
      <c r="T541" s="280"/>
    </row>
    <row r="542">
      <c r="B542" s="32"/>
      <c r="F542" s="277"/>
      <c r="G542" s="277"/>
      <c r="H542" s="278"/>
      <c r="I542" s="279"/>
      <c r="J542" s="277"/>
      <c r="N542" s="280"/>
      <c r="Q542" s="280"/>
      <c r="T542" s="280"/>
    </row>
    <row r="543">
      <c r="B543" s="32"/>
      <c r="F543" s="277"/>
      <c r="G543" s="277"/>
      <c r="H543" s="278"/>
      <c r="I543" s="279"/>
      <c r="J543" s="277"/>
      <c r="N543" s="280"/>
      <c r="Q543" s="280"/>
      <c r="T543" s="280"/>
    </row>
    <row r="544">
      <c r="B544" s="32"/>
      <c r="F544" s="277"/>
      <c r="G544" s="277"/>
      <c r="H544" s="278"/>
      <c r="I544" s="279"/>
      <c r="J544" s="277"/>
      <c r="N544" s="280"/>
      <c r="Q544" s="280"/>
      <c r="T544" s="280"/>
    </row>
    <row r="545">
      <c r="B545" s="32"/>
      <c r="F545" s="277"/>
      <c r="G545" s="277"/>
      <c r="H545" s="278"/>
      <c r="I545" s="279"/>
      <c r="J545" s="277"/>
      <c r="N545" s="280"/>
      <c r="Q545" s="280"/>
      <c r="T545" s="280"/>
    </row>
    <row r="546">
      <c r="B546" s="32"/>
      <c r="F546" s="277"/>
      <c r="G546" s="277"/>
      <c r="H546" s="278"/>
      <c r="I546" s="279"/>
      <c r="J546" s="277"/>
      <c r="N546" s="280"/>
      <c r="Q546" s="280"/>
      <c r="T546" s="280"/>
    </row>
    <row r="547">
      <c r="B547" s="32"/>
      <c r="F547" s="277"/>
      <c r="G547" s="277"/>
      <c r="H547" s="278"/>
      <c r="I547" s="279"/>
      <c r="J547" s="277"/>
      <c r="N547" s="280"/>
      <c r="Q547" s="280"/>
      <c r="T547" s="280"/>
    </row>
    <row r="548">
      <c r="B548" s="32"/>
      <c r="F548" s="277"/>
      <c r="G548" s="277"/>
      <c r="H548" s="278"/>
      <c r="I548" s="279"/>
      <c r="J548" s="277"/>
      <c r="N548" s="280"/>
      <c r="Q548" s="280"/>
      <c r="T548" s="280"/>
    </row>
    <row r="549">
      <c r="B549" s="32"/>
      <c r="F549" s="277"/>
      <c r="G549" s="277"/>
      <c r="H549" s="278"/>
      <c r="I549" s="279"/>
      <c r="J549" s="277"/>
      <c r="N549" s="280"/>
      <c r="Q549" s="280"/>
      <c r="T549" s="280"/>
    </row>
    <row r="550">
      <c r="B550" s="32"/>
      <c r="F550" s="277"/>
      <c r="G550" s="277"/>
      <c r="H550" s="278"/>
      <c r="I550" s="279"/>
      <c r="J550" s="277"/>
      <c r="N550" s="280"/>
      <c r="Q550" s="280"/>
      <c r="T550" s="280"/>
    </row>
    <row r="551">
      <c r="B551" s="32"/>
      <c r="F551" s="277"/>
      <c r="G551" s="277"/>
      <c r="H551" s="278"/>
      <c r="I551" s="279"/>
      <c r="J551" s="277"/>
      <c r="N551" s="280"/>
      <c r="Q551" s="280"/>
      <c r="T551" s="280"/>
    </row>
    <row r="552">
      <c r="B552" s="32"/>
      <c r="F552" s="277"/>
      <c r="G552" s="277"/>
      <c r="H552" s="278"/>
      <c r="I552" s="279"/>
      <c r="J552" s="277"/>
      <c r="N552" s="280"/>
      <c r="Q552" s="280"/>
      <c r="T552" s="280"/>
    </row>
    <row r="553">
      <c r="B553" s="32"/>
      <c r="F553" s="277"/>
      <c r="G553" s="277"/>
      <c r="H553" s="278"/>
      <c r="I553" s="279"/>
      <c r="J553" s="277"/>
      <c r="N553" s="280"/>
      <c r="Q553" s="280"/>
      <c r="T553" s="280"/>
    </row>
    <row r="554">
      <c r="B554" s="32"/>
      <c r="F554" s="277"/>
      <c r="G554" s="277"/>
      <c r="H554" s="278"/>
      <c r="I554" s="279"/>
      <c r="J554" s="277"/>
      <c r="N554" s="280"/>
      <c r="Q554" s="280"/>
      <c r="T554" s="280"/>
    </row>
    <row r="555">
      <c r="B555" s="32"/>
      <c r="F555" s="277"/>
      <c r="G555" s="277"/>
      <c r="H555" s="278"/>
      <c r="I555" s="279"/>
      <c r="J555" s="277"/>
      <c r="N555" s="280"/>
      <c r="Q555" s="280"/>
      <c r="T555" s="280"/>
    </row>
    <row r="556">
      <c r="B556" s="32"/>
      <c r="F556" s="277"/>
      <c r="G556" s="277"/>
      <c r="H556" s="278"/>
      <c r="I556" s="279"/>
      <c r="J556" s="277"/>
      <c r="N556" s="280"/>
      <c r="Q556" s="280"/>
      <c r="T556" s="280"/>
    </row>
    <row r="557">
      <c r="B557" s="32"/>
      <c r="F557" s="277"/>
      <c r="G557" s="277"/>
      <c r="H557" s="278"/>
      <c r="I557" s="279"/>
      <c r="J557" s="277"/>
      <c r="N557" s="280"/>
      <c r="Q557" s="280"/>
      <c r="T557" s="280"/>
    </row>
    <row r="558">
      <c r="B558" s="32"/>
      <c r="F558" s="277"/>
      <c r="G558" s="277"/>
      <c r="H558" s="278"/>
      <c r="I558" s="279"/>
      <c r="J558" s="277"/>
      <c r="N558" s="280"/>
      <c r="Q558" s="280"/>
      <c r="T558" s="280"/>
    </row>
    <row r="559">
      <c r="B559" s="32"/>
      <c r="F559" s="277"/>
      <c r="G559" s="277"/>
      <c r="H559" s="278"/>
      <c r="I559" s="279"/>
      <c r="J559" s="277"/>
      <c r="N559" s="280"/>
      <c r="Q559" s="280"/>
      <c r="T559" s="280"/>
    </row>
    <row r="560">
      <c r="B560" s="32"/>
      <c r="F560" s="277"/>
      <c r="G560" s="277"/>
      <c r="H560" s="278"/>
      <c r="I560" s="279"/>
      <c r="J560" s="277"/>
      <c r="N560" s="280"/>
      <c r="Q560" s="280"/>
      <c r="T560" s="280"/>
    </row>
    <row r="561">
      <c r="B561" s="32"/>
      <c r="F561" s="277"/>
      <c r="G561" s="277"/>
      <c r="H561" s="278"/>
      <c r="I561" s="279"/>
      <c r="J561" s="277"/>
      <c r="N561" s="280"/>
      <c r="Q561" s="280"/>
      <c r="T561" s="280"/>
    </row>
    <row r="562">
      <c r="B562" s="32"/>
      <c r="F562" s="277"/>
      <c r="G562" s="277"/>
      <c r="H562" s="278"/>
      <c r="I562" s="279"/>
      <c r="J562" s="277"/>
      <c r="N562" s="280"/>
      <c r="Q562" s="280"/>
      <c r="T562" s="280"/>
    </row>
    <row r="563">
      <c r="B563" s="32"/>
      <c r="F563" s="277"/>
      <c r="G563" s="277"/>
      <c r="H563" s="278"/>
      <c r="I563" s="279"/>
      <c r="J563" s="277"/>
      <c r="N563" s="280"/>
      <c r="Q563" s="280"/>
      <c r="T563" s="280"/>
    </row>
    <row r="564">
      <c r="B564" s="32"/>
      <c r="F564" s="277"/>
      <c r="G564" s="277"/>
      <c r="H564" s="278"/>
      <c r="I564" s="279"/>
      <c r="J564" s="277"/>
      <c r="N564" s="280"/>
      <c r="Q564" s="280"/>
      <c r="T564" s="280"/>
    </row>
    <row r="565">
      <c r="B565" s="32"/>
      <c r="F565" s="277"/>
      <c r="G565" s="277"/>
      <c r="H565" s="278"/>
      <c r="I565" s="279"/>
      <c r="J565" s="277"/>
      <c r="N565" s="280"/>
      <c r="Q565" s="280"/>
      <c r="T565" s="280"/>
    </row>
    <row r="566">
      <c r="B566" s="32"/>
      <c r="F566" s="277"/>
      <c r="G566" s="277"/>
      <c r="H566" s="278"/>
      <c r="I566" s="279"/>
      <c r="J566" s="277"/>
      <c r="N566" s="280"/>
      <c r="Q566" s="280"/>
      <c r="T566" s="280"/>
    </row>
    <row r="567">
      <c r="B567" s="32"/>
      <c r="F567" s="277"/>
      <c r="G567" s="277"/>
      <c r="H567" s="278"/>
      <c r="I567" s="279"/>
      <c r="J567" s="277"/>
      <c r="N567" s="280"/>
      <c r="Q567" s="280"/>
      <c r="T567" s="280"/>
    </row>
    <row r="568">
      <c r="B568" s="32"/>
      <c r="F568" s="277"/>
      <c r="G568" s="277"/>
      <c r="H568" s="278"/>
      <c r="I568" s="279"/>
      <c r="J568" s="277"/>
      <c r="N568" s="280"/>
      <c r="Q568" s="280"/>
      <c r="T568" s="280"/>
    </row>
    <row r="569">
      <c r="B569" s="32"/>
      <c r="F569" s="277"/>
      <c r="G569" s="277"/>
      <c r="H569" s="278"/>
      <c r="I569" s="279"/>
      <c r="J569" s="277"/>
      <c r="N569" s="280"/>
      <c r="Q569" s="280"/>
      <c r="T569" s="280"/>
    </row>
    <row r="570">
      <c r="B570" s="32"/>
      <c r="F570" s="277"/>
      <c r="G570" s="277"/>
      <c r="H570" s="278"/>
      <c r="I570" s="279"/>
      <c r="J570" s="277"/>
      <c r="N570" s="280"/>
      <c r="Q570" s="280"/>
      <c r="T570" s="280"/>
    </row>
    <row r="571">
      <c r="B571" s="32"/>
      <c r="F571" s="277"/>
      <c r="G571" s="277"/>
      <c r="H571" s="278"/>
      <c r="I571" s="279"/>
      <c r="J571" s="277"/>
      <c r="N571" s="280"/>
      <c r="Q571" s="280"/>
      <c r="T571" s="280"/>
    </row>
    <row r="572">
      <c r="B572" s="32"/>
      <c r="F572" s="277"/>
      <c r="G572" s="277"/>
      <c r="H572" s="278"/>
      <c r="I572" s="279"/>
      <c r="J572" s="277"/>
      <c r="N572" s="280"/>
      <c r="Q572" s="280"/>
      <c r="T572" s="280"/>
    </row>
    <row r="573">
      <c r="B573" s="32"/>
      <c r="F573" s="277"/>
      <c r="G573" s="277"/>
      <c r="H573" s="278"/>
      <c r="I573" s="279"/>
      <c r="J573" s="277"/>
      <c r="N573" s="280"/>
      <c r="Q573" s="280"/>
      <c r="T573" s="280"/>
    </row>
    <row r="574">
      <c r="B574" s="32"/>
      <c r="F574" s="277"/>
      <c r="G574" s="277"/>
      <c r="H574" s="278"/>
      <c r="I574" s="279"/>
      <c r="J574" s="277"/>
      <c r="N574" s="280"/>
      <c r="Q574" s="280"/>
      <c r="T574" s="280"/>
    </row>
    <row r="575">
      <c r="B575" s="32"/>
      <c r="F575" s="277"/>
      <c r="G575" s="277"/>
      <c r="H575" s="278"/>
      <c r="I575" s="279"/>
      <c r="J575" s="277"/>
      <c r="N575" s="280"/>
      <c r="Q575" s="280"/>
      <c r="T575" s="280"/>
    </row>
    <row r="576">
      <c r="B576" s="32"/>
      <c r="F576" s="277"/>
      <c r="G576" s="277"/>
      <c r="H576" s="278"/>
      <c r="I576" s="279"/>
      <c r="J576" s="277"/>
      <c r="N576" s="280"/>
      <c r="Q576" s="280"/>
      <c r="T576" s="280"/>
    </row>
    <row r="577">
      <c r="B577" s="32"/>
      <c r="F577" s="277"/>
      <c r="G577" s="277"/>
      <c r="H577" s="278"/>
      <c r="I577" s="279"/>
      <c r="J577" s="277"/>
      <c r="N577" s="280"/>
      <c r="Q577" s="280"/>
      <c r="T577" s="280"/>
    </row>
    <row r="578">
      <c r="B578" s="32"/>
      <c r="F578" s="277"/>
      <c r="G578" s="277"/>
      <c r="H578" s="278"/>
      <c r="I578" s="279"/>
      <c r="J578" s="277"/>
      <c r="N578" s="280"/>
      <c r="Q578" s="280"/>
      <c r="T578" s="280"/>
    </row>
    <row r="579">
      <c r="B579" s="32"/>
      <c r="F579" s="277"/>
      <c r="G579" s="277"/>
      <c r="H579" s="278"/>
      <c r="I579" s="279"/>
      <c r="J579" s="277"/>
      <c r="N579" s="280"/>
      <c r="Q579" s="280"/>
      <c r="T579" s="280"/>
    </row>
    <row r="580">
      <c r="B580" s="32"/>
      <c r="F580" s="277"/>
      <c r="G580" s="277"/>
      <c r="H580" s="278"/>
      <c r="I580" s="279"/>
      <c r="J580" s="277"/>
      <c r="N580" s="280"/>
      <c r="Q580" s="280"/>
      <c r="T580" s="280"/>
    </row>
    <row r="581">
      <c r="B581" s="32"/>
      <c r="F581" s="277"/>
      <c r="G581" s="277"/>
      <c r="H581" s="278"/>
      <c r="I581" s="279"/>
      <c r="J581" s="277"/>
      <c r="N581" s="280"/>
      <c r="Q581" s="280"/>
      <c r="T581" s="280"/>
    </row>
    <row r="582">
      <c r="B582" s="32"/>
      <c r="F582" s="277"/>
      <c r="G582" s="277"/>
      <c r="H582" s="278"/>
      <c r="I582" s="279"/>
      <c r="J582" s="277"/>
      <c r="N582" s="280"/>
      <c r="Q582" s="280"/>
      <c r="T582" s="280"/>
    </row>
    <row r="583">
      <c r="B583" s="32"/>
      <c r="F583" s="277"/>
      <c r="G583" s="277"/>
      <c r="H583" s="278"/>
      <c r="I583" s="279"/>
      <c r="J583" s="277"/>
      <c r="N583" s="280"/>
      <c r="Q583" s="280"/>
      <c r="T583" s="280"/>
    </row>
    <row r="584">
      <c r="B584" s="32"/>
      <c r="F584" s="277"/>
      <c r="G584" s="277"/>
      <c r="H584" s="278"/>
      <c r="I584" s="279"/>
      <c r="J584" s="277"/>
      <c r="N584" s="280"/>
      <c r="Q584" s="280"/>
      <c r="T584" s="280"/>
    </row>
    <row r="585">
      <c r="B585" s="32"/>
      <c r="F585" s="277"/>
      <c r="G585" s="277"/>
      <c r="H585" s="278"/>
      <c r="I585" s="279"/>
      <c r="J585" s="277"/>
      <c r="N585" s="280"/>
      <c r="Q585" s="280"/>
      <c r="T585" s="280"/>
    </row>
    <row r="586">
      <c r="B586" s="32"/>
      <c r="F586" s="277"/>
      <c r="G586" s="277"/>
      <c r="H586" s="278"/>
      <c r="I586" s="279"/>
      <c r="J586" s="277"/>
      <c r="N586" s="280"/>
      <c r="Q586" s="280"/>
      <c r="T586" s="280"/>
    </row>
    <row r="587">
      <c r="B587" s="32"/>
      <c r="F587" s="277"/>
      <c r="G587" s="277"/>
      <c r="H587" s="278"/>
      <c r="I587" s="279"/>
      <c r="J587" s="277"/>
      <c r="N587" s="280"/>
      <c r="Q587" s="280"/>
      <c r="T587" s="280"/>
    </row>
    <row r="588">
      <c r="B588" s="32"/>
      <c r="F588" s="277"/>
      <c r="G588" s="277"/>
      <c r="H588" s="278"/>
      <c r="I588" s="279"/>
      <c r="J588" s="277"/>
      <c r="N588" s="280"/>
      <c r="Q588" s="280"/>
      <c r="T588" s="280"/>
    </row>
    <row r="589">
      <c r="B589" s="32"/>
      <c r="F589" s="277"/>
      <c r="G589" s="277"/>
      <c r="H589" s="278"/>
      <c r="I589" s="279"/>
      <c r="J589" s="277"/>
      <c r="N589" s="280"/>
      <c r="Q589" s="280"/>
      <c r="T589" s="280"/>
    </row>
    <row r="590">
      <c r="B590" s="32"/>
      <c r="F590" s="277"/>
      <c r="G590" s="277"/>
      <c r="H590" s="278"/>
      <c r="I590" s="279"/>
      <c r="J590" s="277"/>
      <c r="N590" s="280"/>
      <c r="Q590" s="280"/>
      <c r="T590" s="280"/>
    </row>
    <row r="591">
      <c r="B591" s="32"/>
      <c r="F591" s="277"/>
      <c r="G591" s="277"/>
      <c r="H591" s="278"/>
      <c r="I591" s="279"/>
      <c r="J591" s="277"/>
      <c r="N591" s="280"/>
      <c r="Q591" s="280"/>
      <c r="T591" s="280"/>
    </row>
    <row r="592">
      <c r="B592" s="32"/>
      <c r="F592" s="277"/>
      <c r="G592" s="277"/>
      <c r="H592" s="278"/>
      <c r="I592" s="279"/>
      <c r="J592" s="277"/>
      <c r="N592" s="280"/>
      <c r="Q592" s="280"/>
      <c r="T592" s="280"/>
    </row>
    <row r="593">
      <c r="B593" s="32"/>
      <c r="F593" s="277"/>
      <c r="G593" s="277"/>
      <c r="H593" s="278"/>
      <c r="I593" s="279"/>
      <c r="J593" s="277"/>
      <c r="N593" s="280"/>
      <c r="Q593" s="280"/>
      <c r="T593" s="280"/>
    </row>
    <row r="594">
      <c r="B594" s="32"/>
      <c r="F594" s="277"/>
      <c r="G594" s="277"/>
      <c r="H594" s="278"/>
      <c r="I594" s="279"/>
      <c r="J594" s="277"/>
      <c r="N594" s="280"/>
      <c r="Q594" s="280"/>
      <c r="T594" s="280"/>
    </row>
    <row r="595">
      <c r="B595" s="32"/>
      <c r="F595" s="277"/>
      <c r="G595" s="277"/>
      <c r="H595" s="278"/>
      <c r="I595" s="279"/>
      <c r="J595" s="277"/>
      <c r="N595" s="280"/>
      <c r="Q595" s="280"/>
      <c r="T595" s="280"/>
    </row>
    <row r="596">
      <c r="B596" s="32"/>
      <c r="F596" s="277"/>
      <c r="G596" s="277"/>
      <c r="H596" s="278"/>
      <c r="I596" s="279"/>
      <c r="J596" s="277"/>
      <c r="N596" s="280"/>
      <c r="Q596" s="280"/>
      <c r="T596" s="280"/>
    </row>
    <row r="597">
      <c r="B597" s="32"/>
      <c r="F597" s="277"/>
      <c r="G597" s="277"/>
      <c r="H597" s="278"/>
      <c r="I597" s="279"/>
      <c r="J597" s="277"/>
      <c r="N597" s="280"/>
      <c r="Q597" s="280"/>
      <c r="T597" s="280"/>
    </row>
    <row r="598">
      <c r="B598" s="32"/>
      <c r="F598" s="277"/>
      <c r="G598" s="277"/>
      <c r="H598" s="278"/>
      <c r="I598" s="279"/>
      <c r="J598" s="277"/>
      <c r="N598" s="280"/>
      <c r="Q598" s="280"/>
      <c r="T598" s="280"/>
    </row>
    <row r="599">
      <c r="B599" s="32"/>
      <c r="F599" s="277"/>
      <c r="G599" s="277"/>
      <c r="H599" s="278"/>
      <c r="I599" s="279"/>
      <c r="J599" s="277"/>
      <c r="N599" s="280"/>
      <c r="Q599" s="280"/>
      <c r="T599" s="280"/>
    </row>
    <row r="600">
      <c r="B600" s="32"/>
      <c r="F600" s="277"/>
      <c r="G600" s="277"/>
      <c r="H600" s="278"/>
      <c r="I600" s="279"/>
      <c r="J600" s="277"/>
      <c r="N600" s="280"/>
      <c r="Q600" s="280"/>
      <c r="T600" s="280"/>
    </row>
    <row r="601">
      <c r="B601" s="32"/>
      <c r="F601" s="277"/>
      <c r="G601" s="277"/>
      <c r="H601" s="278"/>
      <c r="I601" s="279"/>
      <c r="J601" s="277"/>
      <c r="N601" s="280"/>
      <c r="Q601" s="280"/>
      <c r="T601" s="280"/>
    </row>
    <row r="602">
      <c r="B602" s="32"/>
      <c r="F602" s="277"/>
      <c r="G602" s="277"/>
      <c r="H602" s="278"/>
      <c r="I602" s="279"/>
      <c r="J602" s="277"/>
      <c r="N602" s="280"/>
      <c r="Q602" s="280"/>
      <c r="T602" s="280"/>
    </row>
    <row r="603">
      <c r="B603" s="32"/>
      <c r="F603" s="277"/>
      <c r="G603" s="277"/>
      <c r="H603" s="278"/>
      <c r="I603" s="279"/>
      <c r="J603" s="277"/>
      <c r="N603" s="280"/>
      <c r="Q603" s="280"/>
      <c r="T603" s="280"/>
    </row>
    <row r="604">
      <c r="B604" s="32"/>
      <c r="F604" s="277"/>
      <c r="G604" s="277"/>
      <c r="H604" s="278"/>
      <c r="I604" s="279"/>
      <c r="J604" s="277"/>
      <c r="N604" s="280"/>
      <c r="Q604" s="280"/>
      <c r="T604" s="280"/>
    </row>
    <row r="605">
      <c r="B605" s="32"/>
      <c r="F605" s="277"/>
      <c r="G605" s="277"/>
      <c r="H605" s="278"/>
      <c r="I605" s="279"/>
      <c r="J605" s="277"/>
      <c r="N605" s="280"/>
      <c r="Q605" s="280"/>
      <c r="T605" s="280"/>
    </row>
    <row r="606">
      <c r="B606" s="32"/>
      <c r="F606" s="277"/>
      <c r="G606" s="277"/>
      <c r="H606" s="278"/>
      <c r="I606" s="279"/>
      <c r="J606" s="277"/>
      <c r="N606" s="280"/>
      <c r="Q606" s="280"/>
      <c r="T606" s="280"/>
    </row>
    <row r="607">
      <c r="B607" s="32"/>
      <c r="F607" s="277"/>
      <c r="G607" s="277"/>
      <c r="H607" s="278"/>
      <c r="I607" s="279"/>
      <c r="J607" s="277"/>
      <c r="N607" s="280"/>
      <c r="Q607" s="280"/>
      <c r="T607" s="280"/>
    </row>
    <row r="608">
      <c r="B608" s="32"/>
      <c r="F608" s="277"/>
      <c r="G608" s="277"/>
      <c r="H608" s="278"/>
      <c r="I608" s="279"/>
      <c r="J608" s="277"/>
      <c r="N608" s="280"/>
      <c r="Q608" s="280"/>
      <c r="T608" s="280"/>
    </row>
    <row r="609">
      <c r="B609" s="32"/>
      <c r="F609" s="277"/>
      <c r="G609" s="277"/>
      <c r="H609" s="278"/>
      <c r="I609" s="279"/>
      <c r="J609" s="277"/>
      <c r="N609" s="280"/>
      <c r="Q609" s="280"/>
      <c r="T609" s="280"/>
    </row>
    <row r="610">
      <c r="B610" s="32"/>
      <c r="F610" s="277"/>
      <c r="G610" s="277"/>
      <c r="H610" s="278"/>
      <c r="I610" s="279"/>
      <c r="J610" s="277"/>
      <c r="N610" s="280"/>
      <c r="Q610" s="280"/>
      <c r="T610" s="280"/>
    </row>
    <row r="611">
      <c r="B611" s="32"/>
      <c r="F611" s="277"/>
      <c r="G611" s="277"/>
      <c r="H611" s="278"/>
      <c r="I611" s="279"/>
      <c r="J611" s="277"/>
      <c r="N611" s="280"/>
      <c r="Q611" s="280"/>
      <c r="T611" s="280"/>
    </row>
    <row r="612">
      <c r="B612" s="32"/>
      <c r="F612" s="277"/>
      <c r="G612" s="277"/>
      <c r="H612" s="278"/>
      <c r="I612" s="279"/>
      <c r="J612" s="277"/>
      <c r="N612" s="280"/>
      <c r="Q612" s="280"/>
      <c r="T612" s="280"/>
    </row>
    <row r="613">
      <c r="B613" s="32"/>
      <c r="F613" s="277"/>
      <c r="G613" s="277"/>
      <c r="H613" s="278"/>
      <c r="I613" s="279"/>
      <c r="J613" s="277"/>
      <c r="N613" s="280"/>
      <c r="Q613" s="280"/>
      <c r="T613" s="280"/>
    </row>
    <row r="614">
      <c r="B614" s="32"/>
      <c r="F614" s="277"/>
      <c r="G614" s="277"/>
      <c r="H614" s="278"/>
      <c r="I614" s="279"/>
      <c r="J614" s="277"/>
      <c r="N614" s="280"/>
      <c r="Q614" s="280"/>
      <c r="T614" s="280"/>
    </row>
    <row r="615">
      <c r="B615" s="32"/>
      <c r="F615" s="277"/>
      <c r="G615" s="277"/>
      <c r="H615" s="278"/>
      <c r="I615" s="279"/>
      <c r="J615" s="277"/>
      <c r="N615" s="280"/>
      <c r="Q615" s="280"/>
      <c r="T615" s="280"/>
    </row>
    <row r="616">
      <c r="B616" s="32"/>
      <c r="F616" s="277"/>
      <c r="G616" s="277"/>
      <c r="H616" s="278"/>
      <c r="I616" s="279"/>
      <c r="J616" s="277"/>
      <c r="N616" s="280"/>
      <c r="Q616" s="280"/>
      <c r="T616" s="280"/>
    </row>
    <row r="617">
      <c r="B617" s="32"/>
      <c r="F617" s="277"/>
      <c r="G617" s="277"/>
      <c r="H617" s="278"/>
      <c r="I617" s="279"/>
      <c r="J617" s="277"/>
      <c r="N617" s="280"/>
      <c r="Q617" s="280"/>
      <c r="T617" s="280"/>
    </row>
    <row r="618">
      <c r="B618" s="32"/>
      <c r="F618" s="277"/>
      <c r="G618" s="277"/>
      <c r="H618" s="278"/>
      <c r="I618" s="279"/>
      <c r="J618" s="277"/>
      <c r="N618" s="280"/>
      <c r="Q618" s="280"/>
      <c r="T618" s="280"/>
    </row>
    <row r="619">
      <c r="B619" s="32"/>
      <c r="F619" s="277"/>
      <c r="G619" s="277"/>
      <c r="H619" s="278"/>
      <c r="I619" s="279"/>
      <c r="J619" s="277"/>
      <c r="N619" s="280"/>
      <c r="Q619" s="280"/>
      <c r="T619" s="280"/>
    </row>
    <row r="620">
      <c r="B620" s="32"/>
      <c r="F620" s="277"/>
      <c r="G620" s="277"/>
      <c r="H620" s="278"/>
      <c r="I620" s="279"/>
      <c r="J620" s="277"/>
      <c r="N620" s="280"/>
      <c r="Q620" s="280"/>
      <c r="T620" s="280"/>
    </row>
    <row r="621">
      <c r="B621" s="32"/>
      <c r="F621" s="277"/>
      <c r="G621" s="277"/>
      <c r="H621" s="278"/>
      <c r="I621" s="279"/>
      <c r="J621" s="277"/>
      <c r="N621" s="280"/>
      <c r="Q621" s="280"/>
      <c r="T621" s="280"/>
    </row>
    <row r="622">
      <c r="B622" s="32"/>
      <c r="F622" s="277"/>
      <c r="G622" s="277"/>
      <c r="H622" s="278"/>
      <c r="I622" s="279"/>
      <c r="J622" s="277"/>
      <c r="N622" s="280"/>
      <c r="Q622" s="280"/>
      <c r="T622" s="280"/>
    </row>
    <row r="623">
      <c r="B623" s="32"/>
      <c r="F623" s="277"/>
      <c r="G623" s="277"/>
      <c r="H623" s="278"/>
      <c r="I623" s="279"/>
      <c r="J623" s="277"/>
      <c r="N623" s="280"/>
      <c r="Q623" s="280"/>
      <c r="T623" s="280"/>
    </row>
    <row r="624">
      <c r="B624" s="32"/>
      <c r="F624" s="277"/>
      <c r="G624" s="277"/>
      <c r="H624" s="278"/>
      <c r="I624" s="279"/>
      <c r="J624" s="277"/>
      <c r="N624" s="280"/>
      <c r="Q624" s="280"/>
      <c r="T624" s="280"/>
    </row>
    <row r="625">
      <c r="B625" s="32"/>
      <c r="F625" s="277"/>
      <c r="G625" s="277"/>
      <c r="H625" s="278"/>
      <c r="I625" s="279"/>
      <c r="J625" s="277"/>
      <c r="N625" s="280"/>
      <c r="Q625" s="280"/>
      <c r="T625" s="280"/>
    </row>
    <row r="626">
      <c r="B626" s="32"/>
      <c r="F626" s="277"/>
      <c r="G626" s="277"/>
      <c r="H626" s="278"/>
      <c r="I626" s="279"/>
      <c r="J626" s="277"/>
      <c r="N626" s="280"/>
      <c r="Q626" s="280"/>
      <c r="T626" s="280"/>
    </row>
    <row r="627">
      <c r="B627" s="32"/>
      <c r="F627" s="277"/>
      <c r="G627" s="277"/>
      <c r="H627" s="278"/>
      <c r="I627" s="279"/>
      <c r="J627" s="277"/>
      <c r="N627" s="280"/>
      <c r="Q627" s="280"/>
      <c r="T627" s="280"/>
    </row>
    <row r="628">
      <c r="B628" s="32"/>
      <c r="F628" s="277"/>
      <c r="G628" s="277"/>
      <c r="H628" s="278"/>
      <c r="I628" s="279"/>
      <c r="J628" s="277"/>
      <c r="N628" s="280"/>
      <c r="Q628" s="280"/>
      <c r="T628" s="280"/>
    </row>
    <row r="629">
      <c r="B629" s="32"/>
      <c r="F629" s="277"/>
      <c r="G629" s="277"/>
      <c r="H629" s="278"/>
      <c r="I629" s="279"/>
      <c r="J629" s="277"/>
      <c r="N629" s="280"/>
      <c r="Q629" s="280"/>
      <c r="T629" s="280"/>
    </row>
    <row r="630">
      <c r="B630" s="32"/>
      <c r="F630" s="277"/>
      <c r="G630" s="277"/>
      <c r="H630" s="278"/>
      <c r="I630" s="279"/>
      <c r="J630" s="277"/>
      <c r="N630" s="280"/>
      <c r="Q630" s="280"/>
      <c r="T630" s="280"/>
    </row>
    <row r="631">
      <c r="B631" s="32"/>
      <c r="F631" s="277"/>
      <c r="G631" s="277"/>
      <c r="H631" s="278"/>
      <c r="I631" s="279"/>
      <c r="J631" s="277"/>
      <c r="N631" s="280"/>
      <c r="Q631" s="280"/>
      <c r="T631" s="280"/>
    </row>
    <row r="632">
      <c r="B632" s="32"/>
      <c r="F632" s="277"/>
      <c r="G632" s="277"/>
      <c r="H632" s="278"/>
      <c r="I632" s="279"/>
      <c r="J632" s="277"/>
      <c r="N632" s="280"/>
      <c r="Q632" s="280"/>
      <c r="T632" s="280"/>
    </row>
    <row r="633">
      <c r="B633" s="32"/>
      <c r="F633" s="277"/>
      <c r="G633" s="277"/>
      <c r="H633" s="278"/>
      <c r="I633" s="279"/>
      <c r="J633" s="277"/>
      <c r="N633" s="280"/>
      <c r="Q633" s="280"/>
      <c r="T633" s="280"/>
    </row>
    <row r="634">
      <c r="B634" s="32"/>
      <c r="F634" s="277"/>
      <c r="G634" s="277"/>
      <c r="H634" s="278"/>
      <c r="I634" s="279"/>
      <c r="J634" s="277"/>
      <c r="N634" s="280"/>
      <c r="Q634" s="280"/>
      <c r="T634" s="280"/>
    </row>
    <row r="635">
      <c r="B635" s="32"/>
      <c r="F635" s="277"/>
      <c r="G635" s="277"/>
      <c r="H635" s="278"/>
      <c r="I635" s="279"/>
      <c r="J635" s="277"/>
      <c r="N635" s="280"/>
      <c r="Q635" s="280"/>
      <c r="T635" s="280"/>
    </row>
    <row r="636">
      <c r="B636" s="32"/>
      <c r="F636" s="277"/>
      <c r="G636" s="277"/>
      <c r="H636" s="278"/>
      <c r="I636" s="279"/>
      <c r="J636" s="277"/>
      <c r="N636" s="280"/>
      <c r="Q636" s="280"/>
      <c r="T636" s="280"/>
    </row>
    <row r="637">
      <c r="B637" s="32"/>
      <c r="F637" s="277"/>
      <c r="G637" s="277"/>
      <c r="H637" s="278"/>
      <c r="I637" s="279"/>
      <c r="J637" s="277"/>
      <c r="N637" s="280"/>
      <c r="Q637" s="280"/>
      <c r="T637" s="280"/>
    </row>
    <row r="638">
      <c r="B638" s="32"/>
      <c r="F638" s="277"/>
      <c r="G638" s="277"/>
      <c r="H638" s="278"/>
      <c r="I638" s="279"/>
      <c r="J638" s="277"/>
      <c r="N638" s="280"/>
      <c r="Q638" s="280"/>
      <c r="T638" s="280"/>
    </row>
    <row r="639">
      <c r="B639" s="32"/>
      <c r="F639" s="277"/>
      <c r="G639" s="277"/>
      <c r="H639" s="278"/>
      <c r="I639" s="279"/>
      <c r="J639" s="277"/>
      <c r="N639" s="280"/>
      <c r="Q639" s="280"/>
      <c r="T639" s="280"/>
    </row>
    <row r="640">
      <c r="B640" s="32"/>
      <c r="F640" s="277"/>
      <c r="G640" s="277"/>
      <c r="H640" s="278"/>
      <c r="I640" s="279"/>
      <c r="J640" s="277"/>
      <c r="N640" s="280"/>
      <c r="Q640" s="280"/>
      <c r="T640" s="280"/>
    </row>
    <row r="641">
      <c r="B641" s="32"/>
      <c r="F641" s="277"/>
      <c r="G641" s="277"/>
      <c r="H641" s="278"/>
      <c r="I641" s="279"/>
      <c r="J641" s="277"/>
      <c r="N641" s="280"/>
      <c r="Q641" s="280"/>
      <c r="T641" s="280"/>
    </row>
    <row r="642">
      <c r="B642" s="32"/>
      <c r="F642" s="277"/>
      <c r="G642" s="277"/>
      <c r="H642" s="278"/>
      <c r="I642" s="279"/>
      <c r="J642" s="277"/>
      <c r="N642" s="280"/>
      <c r="Q642" s="280"/>
      <c r="T642" s="280"/>
    </row>
    <row r="643">
      <c r="B643" s="32"/>
      <c r="F643" s="277"/>
      <c r="G643" s="277"/>
      <c r="H643" s="278"/>
      <c r="I643" s="279"/>
      <c r="J643" s="277"/>
      <c r="N643" s="280"/>
      <c r="Q643" s="280"/>
      <c r="T643" s="280"/>
    </row>
    <row r="644">
      <c r="B644" s="32"/>
      <c r="F644" s="277"/>
      <c r="G644" s="277"/>
      <c r="H644" s="278"/>
      <c r="I644" s="279"/>
      <c r="J644" s="277"/>
      <c r="N644" s="280"/>
      <c r="Q644" s="280"/>
      <c r="T644" s="280"/>
    </row>
    <row r="645">
      <c r="B645" s="32"/>
      <c r="F645" s="277"/>
      <c r="G645" s="277"/>
      <c r="H645" s="278"/>
      <c r="I645" s="279"/>
      <c r="J645" s="277"/>
      <c r="N645" s="280"/>
      <c r="Q645" s="280"/>
      <c r="T645" s="280"/>
    </row>
    <row r="646">
      <c r="B646" s="32"/>
      <c r="F646" s="277"/>
      <c r="G646" s="277"/>
      <c r="H646" s="278"/>
      <c r="I646" s="279"/>
      <c r="J646" s="277"/>
      <c r="N646" s="280"/>
      <c r="Q646" s="280"/>
      <c r="T646" s="280"/>
    </row>
    <row r="647">
      <c r="B647" s="32"/>
      <c r="F647" s="277"/>
      <c r="G647" s="277"/>
      <c r="H647" s="278"/>
      <c r="I647" s="279"/>
      <c r="J647" s="277"/>
      <c r="N647" s="280"/>
      <c r="Q647" s="280"/>
      <c r="T647" s="280"/>
    </row>
    <row r="648">
      <c r="B648" s="32"/>
      <c r="F648" s="277"/>
      <c r="G648" s="277"/>
      <c r="H648" s="278"/>
      <c r="I648" s="279"/>
      <c r="J648" s="277"/>
      <c r="N648" s="280"/>
      <c r="Q648" s="280"/>
      <c r="T648" s="280"/>
    </row>
    <row r="649">
      <c r="B649" s="32"/>
      <c r="F649" s="277"/>
      <c r="G649" s="277"/>
      <c r="H649" s="278"/>
      <c r="I649" s="279"/>
      <c r="J649" s="277"/>
      <c r="N649" s="280"/>
      <c r="Q649" s="280"/>
      <c r="T649" s="280"/>
    </row>
    <row r="650">
      <c r="B650" s="32"/>
      <c r="F650" s="277"/>
      <c r="G650" s="277"/>
      <c r="H650" s="278"/>
      <c r="I650" s="279"/>
      <c r="J650" s="277"/>
      <c r="N650" s="280"/>
      <c r="Q650" s="280"/>
      <c r="T650" s="280"/>
    </row>
    <row r="651">
      <c r="B651" s="32"/>
      <c r="F651" s="277"/>
      <c r="G651" s="277"/>
      <c r="H651" s="278"/>
      <c r="I651" s="279"/>
      <c r="J651" s="277"/>
      <c r="N651" s="280"/>
      <c r="Q651" s="280"/>
      <c r="T651" s="280"/>
    </row>
    <row r="652">
      <c r="B652" s="32"/>
      <c r="F652" s="277"/>
      <c r="G652" s="277"/>
      <c r="H652" s="278"/>
      <c r="I652" s="279"/>
      <c r="J652" s="277"/>
      <c r="N652" s="280"/>
      <c r="Q652" s="280"/>
      <c r="T652" s="280"/>
    </row>
    <row r="653">
      <c r="B653" s="32"/>
      <c r="F653" s="277"/>
      <c r="G653" s="277"/>
      <c r="H653" s="278"/>
      <c r="I653" s="279"/>
      <c r="J653" s="277"/>
      <c r="N653" s="280"/>
      <c r="Q653" s="280"/>
      <c r="T653" s="280"/>
    </row>
    <row r="654">
      <c r="B654" s="32"/>
      <c r="F654" s="277"/>
      <c r="G654" s="277"/>
      <c r="H654" s="278"/>
      <c r="I654" s="279"/>
      <c r="J654" s="277"/>
      <c r="N654" s="280"/>
      <c r="Q654" s="280"/>
      <c r="T654" s="280"/>
    </row>
    <row r="655">
      <c r="B655" s="32"/>
      <c r="F655" s="277"/>
      <c r="G655" s="277"/>
      <c r="H655" s="278"/>
      <c r="I655" s="279"/>
      <c r="J655" s="277"/>
      <c r="N655" s="280"/>
      <c r="Q655" s="280"/>
      <c r="T655" s="280"/>
    </row>
    <row r="656">
      <c r="B656" s="32"/>
      <c r="F656" s="277"/>
      <c r="G656" s="277"/>
      <c r="H656" s="278"/>
      <c r="I656" s="279"/>
      <c r="J656" s="277"/>
      <c r="N656" s="280"/>
      <c r="Q656" s="280"/>
      <c r="T656" s="280"/>
    </row>
    <row r="657">
      <c r="B657" s="32"/>
      <c r="F657" s="277"/>
      <c r="G657" s="277"/>
      <c r="H657" s="278"/>
      <c r="I657" s="279"/>
      <c r="J657" s="277"/>
      <c r="N657" s="280"/>
      <c r="Q657" s="280"/>
      <c r="T657" s="280"/>
    </row>
    <row r="658">
      <c r="B658" s="32"/>
      <c r="F658" s="277"/>
      <c r="G658" s="277"/>
      <c r="H658" s="278"/>
      <c r="I658" s="279"/>
      <c r="J658" s="277"/>
      <c r="N658" s="280"/>
      <c r="Q658" s="280"/>
      <c r="T658" s="280"/>
    </row>
    <row r="659">
      <c r="B659" s="32"/>
      <c r="F659" s="277"/>
      <c r="G659" s="277"/>
      <c r="H659" s="278"/>
      <c r="I659" s="279"/>
      <c r="J659" s="277"/>
      <c r="N659" s="280"/>
      <c r="Q659" s="280"/>
      <c r="T659" s="280"/>
    </row>
    <row r="660">
      <c r="B660" s="32"/>
      <c r="F660" s="277"/>
      <c r="G660" s="277"/>
      <c r="H660" s="278"/>
      <c r="I660" s="279"/>
      <c r="J660" s="277"/>
      <c r="N660" s="280"/>
      <c r="Q660" s="280"/>
      <c r="T660" s="280"/>
    </row>
    <row r="661">
      <c r="B661" s="32"/>
      <c r="F661" s="277"/>
      <c r="G661" s="277"/>
      <c r="H661" s="278"/>
      <c r="I661" s="279"/>
      <c r="J661" s="277"/>
      <c r="N661" s="280"/>
      <c r="Q661" s="280"/>
      <c r="T661" s="280"/>
    </row>
    <row r="662">
      <c r="B662" s="32"/>
      <c r="F662" s="277"/>
      <c r="G662" s="277"/>
      <c r="H662" s="278"/>
      <c r="I662" s="279"/>
      <c r="J662" s="277"/>
      <c r="N662" s="280"/>
      <c r="Q662" s="280"/>
      <c r="T662" s="280"/>
    </row>
    <row r="663">
      <c r="B663" s="32"/>
      <c r="F663" s="277"/>
      <c r="G663" s="277"/>
      <c r="H663" s="278"/>
      <c r="I663" s="279"/>
      <c r="J663" s="277"/>
      <c r="N663" s="280"/>
      <c r="Q663" s="280"/>
      <c r="T663" s="280"/>
    </row>
    <row r="664">
      <c r="B664" s="32"/>
      <c r="F664" s="277"/>
      <c r="G664" s="277"/>
      <c r="H664" s="278"/>
      <c r="I664" s="279"/>
      <c r="J664" s="277"/>
      <c r="N664" s="280"/>
      <c r="Q664" s="280"/>
      <c r="T664" s="280"/>
    </row>
    <row r="665">
      <c r="B665" s="32"/>
      <c r="F665" s="277"/>
      <c r="G665" s="277"/>
      <c r="H665" s="278"/>
      <c r="I665" s="279"/>
      <c r="J665" s="277"/>
      <c r="N665" s="280"/>
      <c r="Q665" s="280"/>
      <c r="T665" s="280"/>
    </row>
    <row r="666">
      <c r="B666" s="32"/>
      <c r="F666" s="277"/>
      <c r="G666" s="277"/>
      <c r="H666" s="278"/>
      <c r="I666" s="279"/>
      <c r="J666" s="277"/>
      <c r="N666" s="280"/>
      <c r="Q666" s="280"/>
      <c r="T666" s="280"/>
    </row>
    <row r="667">
      <c r="B667" s="32"/>
      <c r="F667" s="277"/>
      <c r="G667" s="277"/>
      <c r="H667" s="278"/>
      <c r="I667" s="279"/>
      <c r="J667" s="277"/>
      <c r="N667" s="280"/>
      <c r="Q667" s="280"/>
      <c r="T667" s="280"/>
    </row>
    <row r="668">
      <c r="B668" s="32"/>
      <c r="F668" s="277"/>
      <c r="G668" s="277"/>
      <c r="H668" s="278"/>
      <c r="I668" s="279"/>
      <c r="J668" s="277"/>
      <c r="N668" s="280"/>
      <c r="Q668" s="280"/>
      <c r="T668" s="280"/>
    </row>
    <row r="669">
      <c r="B669" s="32"/>
      <c r="F669" s="277"/>
      <c r="G669" s="277"/>
      <c r="H669" s="278"/>
      <c r="I669" s="279"/>
      <c r="J669" s="277"/>
      <c r="N669" s="280"/>
      <c r="Q669" s="280"/>
      <c r="T669" s="280"/>
    </row>
    <row r="670">
      <c r="B670" s="32"/>
      <c r="F670" s="277"/>
      <c r="G670" s="277"/>
      <c r="H670" s="278"/>
      <c r="I670" s="279"/>
      <c r="J670" s="277"/>
      <c r="N670" s="280"/>
      <c r="Q670" s="280"/>
      <c r="T670" s="280"/>
    </row>
    <row r="671">
      <c r="B671" s="32"/>
      <c r="F671" s="277"/>
      <c r="G671" s="277"/>
      <c r="H671" s="278"/>
      <c r="I671" s="279"/>
      <c r="J671" s="277"/>
      <c r="N671" s="280"/>
      <c r="Q671" s="280"/>
      <c r="T671" s="280"/>
    </row>
    <row r="672">
      <c r="B672" s="32"/>
      <c r="F672" s="277"/>
      <c r="G672" s="277"/>
      <c r="H672" s="278"/>
      <c r="I672" s="279"/>
      <c r="J672" s="277"/>
      <c r="N672" s="280"/>
      <c r="Q672" s="280"/>
      <c r="T672" s="280"/>
    </row>
    <row r="673">
      <c r="B673" s="32"/>
      <c r="F673" s="277"/>
      <c r="G673" s="277"/>
      <c r="H673" s="278"/>
      <c r="I673" s="279"/>
      <c r="J673" s="277"/>
      <c r="N673" s="280"/>
      <c r="Q673" s="280"/>
      <c r="T673" s="280"/>
    </row>
    <row r="674">
      <c r="B674" s="32"/>
      <c r="F674" s="277"/>
      <c r="G674" s="277"/>
      <c r="H674" s="278"/>
      <c r="I674" s="279"/>
      <c r="J674" s="277"/>
      <c r="N674" s="280"/>
      <c r="Q674" s="280"/>
      <c r="T674" s="280"/>
    </row>
    <row r="675">
      <c r="B675" s="32"/>
      <c r="F675" s="277"/>
      <c r="G675" s="277"/>
      <c r="H675" s="278"/>
      <c r="I675" s="279"/>
      <c r="J675" s="277"/>
      <c r="N675" s="280"/>
      <c r="Q675" s="280"/>
      <c r="T675" s="280"/>
    </row>
    <row r="676">
      <c r="B676" s="32"/>
      <c r="F676" s="277"/>
      <c r="G676" s="277"/>
      <c r="H676" s="278"/>
      <c r="I676" s="279"/>
      <c r="J676" s="277"/>
      <c r="N676" s="280"/>
      <c r="Q676" s="280"/>
      <c r="T676" s="280"/>
    </row>
    <row r="677">
      <c r="B677" s="32"/>
      <c r="F677" s="277"/>
      <c r="G677" s="277"/>
      <c r="H677" s="278"/>
      <c r="I677" s="279"/>
      <c r="J677" s="277"/>
      <c r="N677" s="280"/>
      <c r="Q677" s="280"/>
      <c r="T677" s="280"/>
    </row>
    <row r="678">
      <c r="B678" s="32"/>
      <c r="F678" s="277"/>
      <c r="G678" s="277"/>
      <c r="H678" s="278"/>
      <c r="I678" s="279"/>
      <c r="J678" s="277"/>
      <c r="N678" s="280"/>
      <c r="Q678" s="280"/>
      <c r="T678" s="280"/>
    </row>
    <row r="679">
      <c r="B679" s="32"/>
      <c r="F679" s="277"/>
      <c r="G679" s="277"/>
      <c r="H679" s="278"/>
      <c r="I679" s="279"/>
      <c r="J679" s="277"/>
      <c r="N679" s="280"/>
      <c r="Q679" s="280"/>
      <c r="T679" s="280"/>
    </row>
    <row r="680">
      <c r="B680" s="32"/>
      <c r="F680" s="277"/>
      <c r="G680" s="277"/>
      <c r="H680" s="278"/>
      <c r="I680" s="279"/>
      <c r="J680" s="277"/>
      <c r="N680" s="280"/>
      <c r="Q680" s="280"/>
      <c r="T680" s="280"/>
    </row>
    <row r="681">
      <c r="B681" s="32"/>
      <c r="F681" s="277"/>
      <c r="G681" s="277"/>
      <c r="H681" s="278"/>
      <c r="I681" s="279"/>
      <c r="J681" s="277"/>
      <c r="N681" s="280"/>
      <c r="Q681" s="280"/>
      <c r="T681" s="280"/>
    </row>
    <row r="682">
      <c r="B682" s="32"/>
      <c r="F682" s="277"/>
      <c r="G682" s="277"/>
      <c r="H682" s="278"/>
      <c r="I682" s="279"/>
      <c r="J682" s="277"/>
      <c r="N682" s="280"/>
      <c r="Q682" s="280"/>
      <c r="T682" s="280"/>
    </row>
    <row r="683">
      <c r="B683" s="32"/>
      <c r="F683" s="277"/>
      <c r="G683" s="277"/>
      <c r="H683" s="278"/>
      <c r="I683" s="279"/>
      <c r="J683" s="277"/>
      <c r="N683" s="280"/>
      <c r="Q683" s="280"/>
      <c r="T683" s="280"/>
    </row>
    <row r="684">
      <c r="B684" s="32"/>
      <c r="F684" s="277"/>
      <c r="G684" s="277"/>
      <c r="H684" s="278"/>
      <c r="I684" s="279"/>
      <c r="J684" s="277"/>
      <c r="N684" s="280"/>
      <c r="Q684" s="280"/>
      <c r="T684" s="280"/>
    </row>
    <row r="685">
      <c r="B685" s="32"/>
      <c r="F685" s="277"/>
      <c r="G685" s="277"/>
      <c r="H685" s="278"/>
      <c r="I685" s="279"/>
      <c r="J685" s="277"/>
      <c r="N685" s="280"/>
      <c r="Q685" s="280"/>
      <c r="T685" s="280"/>
    </row>
    <row r="686">
      <c r="B686" s="32"/>
      <c r="F686" s="277"/>
      <c r="G686" s="277"/>
      <c r="H686" s="278"/>
      <c r="I686" s="279"/>
      <c r="J686" s="277"/>
      <c r="N686" s="280"/>
      <c r="Q686" s="280"/>
      <c r="T686" s="280"/>
    </row>
    <row r="687">
      <c r="B687" s="32"/>
      <c r="F687" s="277"/>
      <c r="G687" s="277"/>
      <c r="H687" s="278"/>
      <c r="I687" s="279"/>
      <c r="J687" s="277"/>
      <c r="N687" s="280"/>
      <c r="Q687" s="280"/>
      <c r="T687" s="280"/>
    </row>
    <row r="688">
      <c r="B688" s="32"/>
      <c r="F688" s="277"/>
      <c r="G688" s="277"/>
      <c r="H688" s="278"/>
      <c r="I688" s="279"/>
      <c r="J688" s="277"/>
      <c r="N688" s="280"/>
      <c r="Q688" s="280"/>
      <c r="T688" s="280"/>
    </row>
    <row r="689">
      <c r="B689" s="32"/>
      <c r="F689" s="277"/>
      <c r="G689" s="277"/>
      <c r="H689" s="278"/>
      <c r="I689" s="279"/>
      <c r="J689" s="277"/>
      <c r="N689" s="280"/>
      <c r="Q689" s="280"/>
      <c r="T689" s="280"/>
    </row>
    <row r="690">
      <c r="B690" s="32"/>
      <c r="F690" s="277"/>
      <c r="G690" s="277"/>
      <c r="H690" s="278"/>
      <c r="I690" s="279"/>
      <c r="J690" s="277"/>
      <c r="N690" s="280"/>
      <c r="Q690" s="280"/>
      <c r="T690" s="280"/>
    </row>
    <row r="691">
      <c r="B691" s="32"/>
      <c r="F691" s="277"/>
      <c r="G691" s="277"/>
      <c r="H691" s="278"/>
      <c r="I691" s="279"/>
      <c r="J691" s="277"/>
      <c r="N691" s="280"/>
      <c r="Q691" s="280"/>
      <c r="T691" s="280"/>
    </row>
    <row r="692">
      <c r="B692" s="32"/>
      <c r="F692" s="277"/>
      <c r="G692" s="277"/>
      <c r="H692" s="278"/>
      <c r="I692" s="279"/>
      <c r="J692" s="277"/>
      <c r="N692" s="280"/>
      <c r="Q692" s="280"/>
      <c r="T692" s="280"/>
    </row>
    <row r="693">
      <c r="B693" s="32"/>
      <c r="F693" s="277"/>
      <c r="G693" s="277"/>
      <c r="H693" s="278"/>
      <c r="I693" s="279"/>
      <c r="J693" s="277"/>
      <c r="N693" s="280"/>
      <c r="Q693" s="280"/>
      <c r="T693" s="280"/>
    </row>
    <row r="694">
      <c r="B694" s="32"/>
      <c r="F694" s="277"/>
      <c r="G694" s="277"/>
      <c r="H694" s="278"/>
      <c r="I694" s="279"/>
      <c r="J694" s="277"/>
      <c r="N694" s="280"/>
      <c r="Q694" s="280"/>
      <c r="T694" s="280"/>
    </row>
    <row r="695">
      <c r="B695" s="32"/>
      <c r="F695" s="277"/>
      <c r="G695" s="277"/>
      <c r="H695" s="278"/>
      <c r="I695" s="279"/>
      <c r="J695" s="277"/>
      <c r="N695" s="280"/>
      <c r="Q695" s="280"/>
      <c r="T695" s="280"/>
    </row>
    <row r="696">
      <c r="B696" s="32"/>
      <c r="F696" s="277"/>
      <c r="G696" s="277"/>
      <c r="H696" s="278"/>
      <c r="I696" s="279"/>
      <c r="J696" s="277"/>
      <c r="N696" s="280"/>
      <c r="Q696" s="280"/>
      <c r="T696" s="280"/>
    </row>
    <row r="697">
      <c r="B697" s="32"/>
      <c r="F697" s="277"/>
      <c r="G697" s="277"/>
      <c r="H697" s="278"/>
      <c r="I697" s="279"/>
      <c r="J697" s="277"/>
      <c r="N697" s="280"/>
      <c r="Q697" s="280"/>
      <c r="T697" s="280"/>
    </row>
    <row r="698">
      <c r="B698" s="32"/>
      <c r="F698" s="277"/>
      <c r="G698" s="277"/>
      <c r="H698" s="278"/>
      <c r="I698" s="279"/>
      <c r="J698" s="277"/>
      <c r="N698" s="280"/>
      <c r="Q698" s="280"/>
      <c r="T698" s="280"/>
    </row>
    <row r="699">
      <c r="B699" s="32"/>
      <c r="F699" s="277"/>
      <c r="G699" s="277"/>
      <c r="H699" s="278"/>
      <c r="I699" s="279"/>
      <c r="J699" s="277"/>
      <c r="N699" s="280"/>
      <c r="Q699" s="280"/>
      <c r="T699" s="280"/>
    </row>
    <row r="700">
      <c r="B700" s="32"/>
      <c r="F700" s="277"/>
      <c r="G700" s="277"/>
      <c r="H700" s="278"/>
      <c r="I700" s="279"/>
      <c r="J700" s="277"/>
      <c r="N700" s="280"/>
      <c r="Q700" s="280"/>
      <c r="T700" s="280"/>
    </row>
    <row r="701">
      <c r="B701" s="32"/>
      <c r="F701" s="277"/>
      <c r="G701" s="277"/>
      <c r="H701" s="278"/>
      <c r="I701" s="279"/>
      <c r="J701" s="277"/>
      <c r="N701" s="280"/>
      <c r="Q701" s="280"/>
      <c r="T701" s="280"/>
    </row>
    <row r="702">
      <c r="B702" s="32"/>
      <c r="F702" s="277"/>
      <c r="G702" s="277"/>
      <c r="H702" s="278"/>
      <c r="I702" s="279"/>
      <c r="J702" s="277"/>
      <c r="N702" s="280"/>
      <c r="Q702" s="280"/>
      <c r="T702" s="280"/>
    </row>
    <row r="703">
      <c r="B703" s="32"/>
      <c r="F703" s="277"/>
      <c r="G703" s="277"/>
      <c r="H703" s="278"/>
      <c r="I703" s="279"/>
      <c r="J703" s="277"/>
      <c r="N703" s="280"/>
      <c r="Q703" s="280"/>
      <c r="T703" s="280"/>
    </row>
    <row r="704">
      <c r="B704" s="32"/>
      <c r="F704" s="277"/>
      <c r="G704" s="277"/>
      <c r="H704" s="278"/>
      <c r="I704" s="279"/>
      <c r="J704" s="277"/>
      <c r="N704" s="280"/>
      <c r="Q704" s="280"/>
      <c r="T704" s="280"/>
    </row>
    <row r="705">
      <c r="B705" s="32"/>
      <c r="F705" s="277"/>
      <c r="G705" s="277"/>
      <c r="H705" s="278"/>
      <c r="I705" s="279"/>
      <c r="J705" s="277"/>
      <c r="N705" s="280"/>
      <c r="Q705" s="280"/>
      <c r="T705" s="280"/>
    </row>
    <row r="706">
      <c r="B706" s="32"/>
      <c r="F706" s="277"/>
      <c r="G706" s="277"/>
      <c r="H706" s="278"/>
      <c r="I706" s="279"/>
      <c r="J706" s="277"/>
      <c r="N706" s="280"/>
      <c r="Q706" s="280"/>
      <c r="T706" s="280"/>
    </row>
    <row r="707">
      <c r="B707" s="32"/>
      <c r="F707" s="277"/>
      <c r="G707" s="277"/>
      <c r="H707" s="278"/>
      <c r="I707" s="279"/>
      <c r="J707" s="277"/>
      <c r="N707" s="280"/>
      <c r="Q707" s="280"/>
      <c r="T707" s="280"/>
    </row>
    <row r="708">
      <c r="B708" s="32"/>
      <c r="F708" s="277"/>
      <c r="G708" s="277"/>
      <c r="H708" s="278"/>
      <c r="I708" s="279"/>
      <c r="J708" s="277"/>
      <c r="N708" s="280"/>
      <c r="Q708" s="280"/>
      <c r="T708" s="280"/>
    </row>
    <row r="709">
      <c r="B709" s="32"/>
      <c r="F709" s="277"/>
      <c r="G709" s="277"/>
      <c r="H709" s="278"/>
      <c r="I709" s="279"/>
      <c r="J709" s="277"/>
      <c r="N709" s="280"/>
      <c r="Q709" s="280"/>
      <c r="T709" s="280"/>
    </row>
    <row r="710">
      <c r="B710" s="32"/>
      <c r="F710" s="277"/>
      <c r="G710" s="277"/>
      <c r="H710" s="278"/>
      <c r="I710" s="279"/>
      <c r="J710" s="277"/>
      <c r="N710" s="280"/>
      <c r="Q710" s="280"/>
      <c r="T710" s="280"/>
    </row>
    <row r="711">
      <c r="B711" s="32"/>
      <c r="F711" s="277"/>
      <c r="G711" s="277"/>
      <c r="H711" s="278"/>
      <c r="I711" s="279"/>
      <c r="J711" s="277"/>
      <c r="N711" s="280"/>
      <c r="Q711" s="280"/>
      <c r="T711" s="280"/>
    </row>
    <row r="712">
      <c r="B712" s="32"/>
      <c r="F712" s="277"/>
      <c r="G712" s="277"/>
      <c r="H712" s="278"/>
      <c r="I712" s="279"/>
      <c r="J712" s="277"/>
      <c r="N712" s="280"/>
      <c r="Q712" s="280"/>
      <c r="T712" s="280"/>
    </row>
    <row r="713">
      <c r="B713" s="32"/>
      <c r="F713" s="277"/>
      <c r="G713" s="277"/>
      <c r="H713" s="278"/>
      <c r="I713" s="279"/>
      <c r="J713" s="277"/>
      <c r="N713" s="280"/>
      <c r="Q713" s="280"/>
      <c r="T713" s="280"/>
    </row>
    <row r="714">
      <c r="B714" s="32"/>
      <c r="F714" s="277"/>
      <c r="G714" s="277"/>
      <c r="H714" s="278"/>
      <c r="I714" s="279"/>
      <c r="J714" s="277"/>
      <c r="N714" s="280"/>
      <c r="Q714" s="280"/>
      <c r="T714" s="280"/>
    </row>
    <row r="715">
      <c r="B715" s="32"/>
      <c r="F715" s="277"/>
      <c r="G715" s="277"/>
      <c r="H715" s="278"/>
      <c r="I715" s="279"/>
      <c r="J715" s="277"/>
      <c r="N715" s="280"/>
      <c r="Q715" s="280"/>
      <c r="T715" s="280"/>
    </row>
    <row r="716">
      <c r="B716" s="32"/>
      <c r="F716" s="277"/>
      <c r="G716" s="277"/>
      <c r="H716" s="278"/>
      <c r="I716" s="279"/>
      <c r="J716" s="277"/>
      <c r="N716" s="280"/>
      <c r="Q716" s="280"/>
      <c r="T716" s="280"/>
    </row>
    <row r="717">
      <c r="B717" s="32"/>
      <c r="F717" s="277"/>
      <c r="G717" s="277"/>
      <c r="H717" s="278"/>
      <c r="I717" s="279"/>
      <c r="J717" s="277"/>
      <c r="N717" s="280"/>
      <c r="Q717" s="280"/>
      <c r="T717" s="280"/>
    </row>
    <row r="718">
      <c r="B718" s="32"/>
      <c r="F718" s="277"/>
      <c r="G718" s="277"/>
      <c r="H718" s="278"/>
      <c r="I718" s="279"/>
      <c r="J718" s="277"/>
      <c r="N718" s="280"/>
      <c r="Q718" s="280"/>
      <c r="T718" s="280"/>
    </row>
    <row r="719">
      <c r="B719" s="32"/>
      <c r="F719" s="277"/>
      <c r="G719" s="277"/>
      <c r="H719" s="278"/>
      <c r="I719" s="279"/>
      <c r="J719" s="277"/>
      <c r="N719" s="280"/>
      <c r="Q719" s="280"/>
      <c r="T719" s="280"/>
    </row>
    <row r="720">
      <c r="B720" s="32"/>
      <c r="F720" s="277"/>
      <c r="G720" s="277"/>
      <c r="H720" s="278"/>
      <c r="I720" s="279"/>
      <c r="J720" s="277"/>
      <c r="N720" s="280"/>
      <c r="Q720" s="280"/>
      <c r="T720" s="280"/>
    </row>
    <row r="721">
      <c r="B721" s="32"/>
      <c r="F721" s="277"/>
      <c r="G721" s="277"/>
      <c r="H721" s="278"/>
      <c r="I721" s="279"/>
      <c r="J721" s="277"/>
      <c r="N721" s="280"/>
      <c r="Q721" s="280"/>
      <c r="T721" s="280"/>
    </row>
    <row r="722">
      <c r="B722" s="32"/>
      <c r="F722" s="277"/>
      <c r="G722" s="277"/>
      <c r="H722" s="278"/>
      <c r="I722" s="279"/>
      <c r="J722" s="277"/>
      <c r="N722" s="280"/>
      <c r="Q722" s="280"/>
      <c r="T722" s="280"/>
    </row>
    <row r="723">
      <c r="B723" s="32"/>
      <c r="F723" s="277"/>
      <c r="G723" s="277"/>
      <c r="H723" s="278"/>
      <c r="I723" s="279"/>
      <c r="J723" s="277"/>
      <c r="N723" s="280"/>
      <c r="Q723" s="280"/>
      <c r="T723" s="280"/>
    </row>
    <row r="724">
      <c r="B724" s="32"/>
      <c r="F724" s="277"/>
      <c r="G724" s="277"/>
      <c r="H724" s="278"/>
      <c r="I724" s="279"/>
      <c r="J724" s="277"/>
      <c r="N724" s="280"/>
      <c r="Q724" s="280"/>
      <c r="T724" s="280"/>
    </row>
    <row r="725">
      <c r="B725" s="32"/>
      <c r="F725" s="277"/>
      <c r="G725" s="277"/>
      <c r="H725" s="278"/>
      <c r="I725" s="279"/>
      <c r="J725" s="277"/>
      <c r="N725" s="280"/>
      <c r="Q725" s="280"/>
      <c r="T725" s="280"/>
    </row>
    <row r="726">
      <c r="B726" s="32"/>
      <c r="F726" s="277"/>
      <c r="G726" s="277"/>
      <c r="H726" s="278"/>
      <c r="I726" s="279"/>
      <c r="J726" s="277"/>
      <c r="N726" s="280"/>
      <c r="Q726" s="280"/>
      <c r="T726" s="280"/>
    </row>
    <row r="727">
      <c r="B727" s="32"/>
      <c r="F727" s="277"/>
      <c r="G727" s="277"/>
      <c r="H727" s="278"/>
      <c r="I727" s="279"/>
      <c r="J727" s="277"/>
      <c r="N727" s="280"/>
      <c r="Q727" s="280"/>
      <c r="T727" s="280"/>
    </row>
    <row r="728">
      <c r="B728" s="32"/>
      <c r="F728" s="277"/>
      <c r="G728" s="277"/>
      <c r="H728" s="278"/>
      <c r="I728" s="279"/>
      <c r="J728" s="277"/>
      <c r="N728" s="280"/>
      <c r="Q728" s="280"/>
      <c r="T728" s="280"/>
    </row>
    <row r="729">
      <c r="B729" s="32"/>
      <c r="F729" s="277"/>
      <c r="G729" s="277"/>
      <c r="H729" s="278"/>
      <c r="I729" s="279"/>
      <c r="J729" s="277"/>
      <c r="N729" s="280"/>
      <c r="Q729" s="280"/>
      <c r="T729" s="280"/>
    </row>
    <row r="730">
      <c r="B730" s="32"/>
      <c r="F730" s="277"/>
      <c r="G730" s="277"/>
      <c r="H730" s="278"/>
      <c r="I730" s="279"/>
      <c r="J730" s="277"/>
      <c r="N730" s="280"/>
      <c r="Q730" s="280"/>
      <c r="T730" s="280"/>
    </row>
    <row r="731">
      <c r="B731" s="32"/>
      <c r="F731" s="277"/>
      <c r="G731" s="277"/>
      <c r="H731" s="278"/>
      <c r="I731" s="279"/>
      <c r="J731" s="277"/>
      <c r="N731" s="280"/>
      <c r="Q731" s="280"/>
      <c r="T731" s="280"/>
    </row>
    <row r="732">
      <c r="B732" s="32"/>
      <c r="F732" s="277"/>
      <c r="G732" s="277"/>
      <c r="H732" s="278"/>
      <c r="I732" s="279"/>
      <c r="J732" s="277"/>
      <c r="N732" s="280"/>
      <c r="Q732" s="280"/>
      <c r="T732" s="280"/>
    </row>
    <row r="733">
      <c r="B733" s="32"/>
      <c r="F733" s="277"/>
      <c r="G733" s="277"/>
      <c r="H733" s="278"/>
      <c r="I733" s="279"/>
      <c r="J733" s="277"/>
      <c r="N733" s="280"/>
      <c r="Q733" s="280"/>
      <c r="T733" s="280"/>
    </row>
    <row r="734">
      <c r="B734" s="32"/>
      <c r="F734" s="277"/>
      <c r="G734" s="277"/>
      <c r="H734" s="278"/>
      <c r="I734" s="279"/>
      <c r="J734" s="277"/>
      <c r="N734" s="280"/>
      <c r="Q734" s="280"/>
      <c r="T734" s="280"/>
    </row>
    <row r="735">
      <c r="B735" s="32"/>
      <c r="F735" s="277"/>
      <c r="G735" s="277"/>
      <c r="H735" s="278"/>
      <c r="I735" s="279"/>
      <c r="J735" s="277"/>
      <c r="N735" s="280"/>
      <c r="Q735" s="280"/>
      <c r="T735" s="280"/>
    </row>
    <row r="736">
      <c r="B736" s="32"/>
      <c r="F736" s="277"/>
      <c r="G736" s="277"/>
      <c r="H736" s="278"/>
      <c r="I736" s="279"/>
      <c r="J736" s="277"/>
      <c r="N736" s="280"/>
      <c r="Q736" s="280"/>
      <c r="T736" s="280"/>
    </row>
    <row r="737">
      <c r="B737" s="32"/>
      <c r="F737" s="277"/>
      <c r="G737" s="277"/>
      <c r="H737" s="278"/>
      <c r="I737" s="279"/>
      <c r="J737" s="277"/>
      <c r="N737" s="280"/>
      <c r="Q737" s="280"/>
      <c r="T737" s="280"/>
    </row>
    <row r="738">
      <c r="B738" s="32"/>
      <c r="F738" s="277"/>
      <c r="G738" s="277"/>
      <c r="H738" s="278"/>
      <c r="I738" s="279"/>
      <c r="J738" s="277"/>
      <c r="N738" s="280"/>
      <c r="Q738" s="280"/>
      <c r="T738" s="280"/>
    </row>
    <row r="739">
      <c r="B739" s="32"/>
      <c r="F739" s="277"/>
      <c r="G739" s="277"/>
      <c r="H739" s="278"/>
      <c r="I739" s="279"/>
      <c r="J739" s="277"/>
      <c r="N739" s="280"/>
      <c r="Q739" s="280"/>
      <c r="T739" s="280"/>
    </row>
    <row r="740">
      <c r="B740" s="32"/>
      <c r="F740" s="277"/>
      <c r="G740" s="277"/>
      <c r="H740" s="278"/>
      <c r="I740" s="279"/>
      <c r="J740" s="277"/>
      <c r="N740" s="280"/>
      <c r="Q740" s="280"/>
      <c r="T740" s="280"/>
    </row>
    <row r="741">
      <c r="B741" s="32"/>
      <c r="F741" s="277"/>
      <c r="G741" s="277"/>
      <c r="H741" s="278"/>
      <c r="I741" s="279"/>
      <c r="J741" s="277"/>
      <c r="N741" s="280"/>
      <c r="Q741" s="280"/>
      <c r="T741" s="280"/>
    </row>
    <row r="742">
      <c r="B742" s="32"/>
      <c r="F742" s="277"/>
      <c r="G742" s="277"/>
      <c r="H742" s="278"/>
      <c r="I742" s="279"/>
      <c r="J742" s="277"/>
      <c r="N742" s="280"/>
      <c r="Q742" s="280"/>
      <c r="T742" s="280"/>
    </row>
    <row r="743">
      <c r="B743" s="32"/>
      <c r="F743" s="277"/>
      <c r="G743" s="277"/>
      <c r="H743" s="278"/>
      <c r="I743" s="279"/>
      <c r="J743" s="277"/>
      <c r="N743" s="280"/>
      <c r="Q743" s="280"/>
      <c r="T743" s="280"/>
    </row>
    <row r="744">
      <c r="B744" s="32"/>
      <c r="F744" s="277"/>
      <c r="G744" s="277"/>
      <c r="H744" s="278"/>
      <c r="I744" s="279"/>
      <c r="J744" s="277"/>
      <c r="N744" s="280"/>
      <c r="Q744" s="280"/>
      <c r="T744" s="280"/>
    </row>
    <row r="745">
      <c r="B745" s="32"/>
      <c r="F745" s="277"/>
      <c r="G745" s="277"/>
      <c r="H745" s="278"/>
      <c r="I745" s="279"/>
      <c r="J745" s="277"/>
      <c r="N745" s="280"/>
      <c r="Q745" s="280"/>
      <c r="T745" s="280"/>
    </row>
    <row r="746">
      <c r="B746" s="32"/>
      <c r="F746" s="277"/>
      <c r="G746" s="277"/>
      <c r="H746" s="278"/>
      <c r="I746" s="279"/>
      <c r="J746" s="277"/>
      <c r="N746" s="280"/>
      <c r="Q746" s="280"/>
      <c r="T746" s="280"/>
    </row>
    <row r="747">
      <c r="B747" s="32"/>
      <c r="F747" s="277"/>
      <c r="G747" s="277"/>
      <c r="H747" s="278"/>
      <c r="I747" s="279"/>
      <c r="J747" s="277"/>
      <c r="N747" s="280"/>
      <c r="Q747" s="280"/>
      <c r="T747" s="280"/>
    </row>
    <row r="748">
      <c r="B748" s="32"/>
      <c r="F748" s="277"/>
      <c r="G748" s="277"/>
      <c r="H748" s="278"/>
      <c r="I748" s="279"/>
      <c r="J748" s="277"/>
      <c r="N748" s="280"/>
      <c r="Q748" s="280"/>
      <c r="T748" s="280"/>
    </row>
    <row r="749">
      <c r="B749" s="32"/>
      <c r="F749" s="277"/>
      <c r="G749" s="277"/>
      <c r="H749" s="278"/>
      <c r="I749" s="279"/>
      <c r="J749" s="277"/>
      <c r="N749" s="280"/>
      <c r="Q749" s="280"/>
      <c r="T749" s="280"/>
    </row>
    <row r="750">
      <c r="B750" s="32"/>
      <c r="F750" s="277"/>
      <c r="G750" s="277"/>
      <c r="H750" s="278"/>
      <c r="I750" s="279"/>
      <c r="J750" s="277"/>
      <c r="N750" s="280"/>
      <c r="Q750" s="280"/>
      <c r="T750" s="280"/>
    </row>
    <row r="751">
      <c r="B751" s="32"/>
      <c r="F751" s="277"/>
      <c r="G751" s="277"/>
      <c r="H751" s="278"/>
      <c r="I751" s="279"/>
      <c r="J751" s="277"/>
      <c r="N751" s="280"/>
      <c r="Q751" s="280"/>
      <c r="T751" s="280"/>
    </row>
    <row r="752">
      <c r="B752" s="32"/>
      <c r="F752" s="277"/>
      <c r="G752" s="277"/>
      <c r="H752" s="278"/>
      <c r="I752" s="279"/>
      <c r="J752" s="277"/>
      <c r="N752" s="280"/>
      <c r="Q752" s="280"/>
      <c r="T752" s="280"/>
    </row>
    <row r="753">
      <c r="B753" s="32"/>
      <c r="F753" s="277"/>
      <c r="G753" s="277"/>
      <c r="H753" s="278"/>
      <c r="I753" s="279"/>
      <c r="J753" s="277"/>
      <c r="N753" s="280"/>
      <c r="Q753" s="280"/>
      <c r="T753" s="280"/>
    </row>
    <row r="754">
      <c r="B754" s="32"/>
      <c r="F754" s="277"/>
      <c r="G754" s="277"/>
      <c r="H754" s="278"/>
      <c r="I754" s="279"/>
      <c r="J754" s="277"/>
      <c r="N754" s="280"/>
      <c r="Q754" s="280"/>
      <c r="T754" s="280"/>
    </row>
    <row r="755">
      <c r="B755" s="32"/>
      <c r="F755" s="277"/>
      <c r="G755" s="277"/>
      <c r="H755" s="278"/>
      <c r="I755" s="279"/>
      <c r="J755" s="277"/>
      <c r="N755" s="280"/>
      <c r="Q755" s="280"/>
      <c r="T755" s="280"/>
    </row>
    <row r="756">
      <c r="B756" s="32"/>
      <c r="F756" s="277"/>
      <c r="G756" s="277"/>
      <c r="H756" s="278"/>
      <c r="I756" s="279"/>
      <c r="J756" s="277"/>
      <c r="N756" s="280"/>
      <c r="Q756" s="280"/>
      <c r="T756" s="280"/>
    </row>
    <row r="757">
      <c r="B757" s="32"/>
      <c r="F757" s="277"/>
      <c r="G757" s="277"/>
      <c r="H757" s="278"/>
      <c r="I757" s="279"/>
      <c r="J757" s="277"/>
      <c r="N757" s="280"/>
      <c r="Q757" s="280"/>
      <c r="T757" s="280"/>
    </row>
    <row r="758">
      <c r="B758" s="32"/>
      <c r="F758" s="277"/>
      <c r="G758" s="277"/>
      <c r="H758" s="278"/>
      <c r="I758" s="279"/>
      <c r="J758" s="277"/>
      <c r="N758" s="280"/>
      <c r="Q758" s="280"/>
      <c r="T758" s="280"/>
    </row>
    <row r="759">
      <c r="B759" s="32"/>
      <c r="F759" s="277"/>
      <c r="G759" s="277"/>
      <c r="H759" s="278"/>
      <c r="I759" s="279"/>
      <c r="J759" s="277"/>
      <c r="N759" s="280"/>
      <c r="Q759" s="280"/>
      <c r="T759" s="280"/>
    </row>
    <row r="760">
      <c r="B760" s="32"/>
      <c r="F760" s="277"/>
      <c r="G760" s="277"/>
      <c r="H760" s="278"/>
      <c r="I760" s="279"/>
      <c r="J760" s="277"/>
      <c r="N760" s="280"/>
      <c r="Q760" s="280"/>
      <c r="T760" s="280"/>
    </row>
    <row r="761">
      <c r="B761" s="32"/>
      <c r="F761" s="277"/>
      <c r="G761" s="277"/>
      <c r="H761" s="278"/>
      <c r="I761" s="279"/>
      <c r="J761" s="277"/>
      <c r="N761" s="280"/>
      <c r="Q761" s="280"/>
      <c r="T761" s="280"/>
    </row>
    <row r="762">
      <c r="B762" s="32"/>
      <c r="F762" s="277"/>
      <c r="G762" s="277"/>
      <c r="H762" s="278"/>
      <c r="I762" s="279"/>
      <c r="J762" s="277"/>
      <c r="N762" s="280"/>
      <c r="Q762" s="280"/>
      <c r="T762" s="280"/>
    </row>
    <row r="763">
      <c r="B763" s="32"/>
      <c r="F763" s="277"/>
      <c r="G763" s="277"/>
      <c r="H763" s="278"/>
      <c r="I763" s="279"/>
      <c r="J763" s="277"/>
      <c r="N763" s="280"/>
      <c r="Q763" s="280"/>
      <c r="T763" s="280"/>
    </row>
    <row r="764">
      <c r="B764" s="32"/>
      <c r="F764" s="277"/>
      <c r="G764" s="277"/>
      <c r="H764" s="278"/>
      <c r="I764" s="279"/>
      <c r="J764" s="277"/>
      <c r="N764" s="280"/>
      <c r="Q764" s="280"/>
      <c r="T764" s="280"/>
    </row>
    <row r="765">
      <c r="B765" s="32"/>
      <c r="F765" s="277"/>
      <c r="G765" s="277"/>
      <c r="H765" s="278"/>
      <c r="I765" s="279"/>
      <c r="J765" s="277"/>
      <c r="N765" s="280"/>
      <c r="Q765" s="280"/>
      <c r="T765" s="280"/>
    </row>
    <row r="766">
      <c r="B766" s="32"/>
      <c r="F766" s="277"/>
      <c r="G766" s="277"/>
      <c r="H766" s="278"/>
      <c r="I766" s="279"/>
      <c r="J766" s="277"/>
      <c r="N766" s="280"/>
      <c r="Q766" s="280"/>
      <c r="T766" s="280"/>
    </row>
    <row r="767">
      <c r="B767" s="32"/>
      <c r="F767" s="277"/>
      <c r="G767" s="277"/>
      <c r="H767" s="278"/>
      <c r="I767" s="279"/>
      <c r="J767" s="277"/>
      <c r="N767" s="280"/>
      <c r="Q767" s="280"/>
      <c r="T767" s="280"/>
    </row>
    <row r="768">
      <c r="B768" s="32"/>
      <c r="F768" s="277"/>
      <c r="G768" s="277"/>
      <c r="H768" s="278"/>
      <c r="I768" s="279"/>
      <c r="J768" s="277"/>
      <c r="N768" s="280"/>
      <c r="Q768" s="280"/>
      <c r="T768" s="280"/>
    </row>
    <row r="769">
      <c r="B769" s="32"/>
      <c r="F769" s="277"/>
      <c r="G769" s="277"/>
      <c r="H769" s="278"/>
      <c r="I769" s="279"/>
      <c r="J769" s="277"/>
      <c r="N769" s="280"/>
      <c r="Q769" s="280"/>
      <c r="T769" s="280"/>
    </row>
    <row r="770">
      <c r="B770" s="32"/>
      <c r="F770" s="277"/>
      <c r="G770" s="277"/>
      <c r="H770" s="278"/>
      <c r="I770" s="279"/>
      <c r="J770" s="277"/>
      <c r="N770" s="280"/>
      <c r="Q770" s="280"/>
      <c r="T770" s="280"/>
    </row>
    <row r="771">
      <c r="B771" s="32"/>
      <c r="F771" s="277"/>
      <c r="G771" s="277"/>
      <c r="H771" s="278"/>
      <c r="I771" s="279"/>
      <c r="J771" s="277"/>
      <c r="N771" s="280"/>
      <c r="Q771" s="280"/>
      <c r="T771" s="280"/>
    </row>
    <row r="772">
      <c r="B772" s="32"/>
      <c r="F772" s="277"/>
      <c r="G772" s="277"/>
      <c r="H772" s="278"/>
      <c r="I772" s="279"/>
      <c r="J772" s="277"/>
      <c r="N772" s="280"/>
      <c r="Q772" s="280"/>
      <c r="T772" s="280"/>
    </row>
    <row r="773">
      <c r="B773" s="32"/>
      <c r="F773" s="277"/>
      <c r="G773" s="277"/>
      <c r="H773" s="278"/>
      <c r="I773" s="279"/>
      <c r="J773" s="277"/>
      <c r="N773" s="280"/>
      <c r="Q773" s="280"/>
      <c r="T773" s="280"/>
    </row>
    <row r="774">
      <c r="B774" s="32"/>
      <c r="F774" s="277"/>
      <c r="G774" s="277"/>
      <c r="H774" s="278"/>
      <c r="I774" s="279"/>
      <c r="J774" s="277"/>
      <c r="N774" s="280"/>
      <c r="Q774" s="280"/>
      <c r="T774" s="280"/>
    </row>
    <row r="775">
      <c r="B775" s="32"/>
      <c r="F775" s="277"/>
      <c r="G775" s="277"/>
      <c r="H775" s="278"/>
      <c r="I775" s="279"/>
      <c r="J775" s="277"/>
      <c r="N775" s="280"/>
      <c r="Q775" s="280"/>
      <c r="T775" s="280"/>
    </row>
    <row r="776">
      <c r="B776" s="32"/>
      <c r="F776" s="277"/>
      <c r="G776" s="277"/>
      <c r="H776" s="278"/>
      <c r="I776" s="279"/>
      <c r="J776" s="277"/>
      <c r="N776" s="280"/>
      <c r="Q776" s="280"/>
      <c r="T776" s="280"/>
    </row>
    <row r="777">
      <c r="B777" s="32"/>
      <c r="F777" s="277"/>
      <c r="G777" s="277"/>
      <c r="H777" s="278"/>
      <c r="I777" s="279"/>
      <c r="J777" s="277"/>
      <c r="N777" s="280"/>
      <c r="Q777" s="280"/>
      <c r="T777" s="280"/>
    </row>
    <row r="778">
      <c r="B778" s="32"/>
      <c r="F778" s="277"/>
      <c r="G778" s="277"/>
      <c r="H778" s="278"/>
      <c r="I778" s="279"/>
      <c r="J778" s="277"/>
      <c r="N778" s="280"/>
      <c r="Q778" s="280"/>
      <c r="T778" s="280"/>
    </row>
    <row r="779">
      <c r="B779" s="32"/>
      <c r="F779" s="277"/>
      <c r="G779" s="277"/>
      <c r="H779" s="278"/>
      <c r="I779" s="279"/>
      <c r="J779" s="277"/>
      <c r="N779" s="280"/>
      <c r="Q779" s="280"/>
      <c r="T779" s="280"/>
    </row>
    <row r="780">
      <c r="B780" s="32"/>
      <c r="F780" s="277"/>
      <c r="G780" s="277"/>
      <c r="H780" s="278"/>
      <c r="I780" s="279"/>
      <c r="J780" s="277"/>
      <c r="N780" s="280"/>
      <c r="Q780" s="280"/>
      <c r="T780" s="280"/>
    </row>
    <row r="781">
      <c r="B781" s="32"/>
      <c r="F781" s="277"/>
      <c r="G781" s="277"/>
      <c r="H781" s="278"/>
      <c r="I781" s="279"/>
      <c r="J781" s="277"/>
      <c r="N781" s="280"/>
      <c r="Q781" s="280"/>
      <c r="T781" s="280"/>
    </row>
    <row r="782">
      <c r="B782" s="32"/>
      <c r="F782" s="277"/>
      <c r="G782" s="277"/>
      <c r="H782" s="278"/>
      <c r="I782" s="279"/>
      <c r="J782" s="277"/>
      <c r="N782" s="280"/>
      <c r="Q782" s="280"/>
      <c r="T782" s="280"/>
    </row>
    <row r="783">
      <c r="B783" s="32"/>
      <c r="F783" s="277"/>
      <c r="G783" s="277"/>
      <c r="H783" s="278"/>
      <c r="I783" s="279"/>
      <c r="J783" s="277"/>
      <c r="N783" s="280"/>
      <c r="Q783" s="280"/>
      <c r="T783" s="280"/>
    </row>
    <row r="784">
      <c r="B784" s="32"/>
      <c r="F784" s="277"/>
      <c r="G784" s="277"/>
      <c r="H784" s="278"/>
      <c r="I784" s="279"/>
      <c r="J784" s="277"/>
      <c r="N784" s="280"/>
      <c r="Q784" s="280"/>
      <c r="T784" s="280"/>
    </row>
    <row r="785">
      <c r="B785" s="32"/>
      <c r="F785" s="277"/>
      <c r="G785" s="277"/>
      <c r="H785" s="278"/>
      <c r="I785" s="279"/>
      <c r="J785" s="277"/>
      <c r="N785" s="280"/>
      <c r="Q785" s="280"/>
      <c r="T785" s="280"/>
    </row>
    <row r="786">
      <c r="B786" s="32"/>
      <c r="F786" s="277"/>
      <c r="G786" s="277"/>
      <c r="H786" s="278"/>
      <c r="I786" s="279"/>
      <c r="J786" s="277"/>
      <c r="N786" s="280"/>
      <c r="Q786" s="280"/>
      <c r="T786" s="280"/>
    </row>
    <row r="787">
      <c r="B787" s="32"/>
      <c r="F787" s="277"/>
      <c r="G787" s="277"/>
      <c r="H787" s="278"/>
      <c r="I787" s="279"/>
      <c r="J787" s="277"/>
      <c r="N787" s="280"/>
      <c r="Q787" s="280"/>
      <c r="T787" s="280"/>
    </row>
    <row r="788">
      <c r="B788" s="32"/>
      <c r="F788" s="277"/>
      <c r="G788" s="277"/>
      <c r="H788" s="278"/>
      <c r="I788" s="279"/>
      <c r="J788" s="277"/>
      <c r="N788" s="280"/>
      <c r="Q788" s="280"/>
      <c r="T788" s="280"/>
    </row>
    <row r="789">
      <c r="B789" s="32"/>
      <c r="F789" s="277"/>
      <c r="G789" s="277"/>
      <c r="H789" s="278"/>
      <c r="I789" s="279"/>
      <c r="J789" s="277"/>
      <c r="N789" s="280"/>
      <c r="Q789" s="280"/>
      <c r="T789" s="280"/>
    </row>
    <row r="790">
      <c r="B790" s="32"/>
      <c r="F790" s="277"/>
      <c r="G790" s="277"/>
      <c r="H790" s="278"/>
      <c r="I790" s="279"/>
      <c r="J790" s="277"/>
      <c r="N790" s="280"/>
      <c r="Q790" s="280"/>
      <c r="T790" s="280"/>
    </row>
    <row r="791">
      <c r="B791" s="32"/>
      <c r="F791" s="277"/>
      <c r="G791" s="277"/>
      <c r="H791" s="278"/>
      <c r="I791" s="279"/>
      <c r="J791" s="277"/>
      <c r="N791" s="280"/>
      <c r="Q791" s="280"/>
      <c r="T791" s="280"/>
    </row>
    <row r="792">
      <c r="B792" s="32"/>
      <c r="F792" s="277"/>
      <c r="G792" s="277"/>
      <c r="H792" s="278"/>
      <c r="I792" s="279"/>
      <c r="J792" s="277"/>
      <c r="N792" s="280"/>
      <c r="Q792" s="280"/>
      <c r="T792" s="280"/>
    </row>
    <row r="793">
      <c r="B793" s="32"/>
      <c r="F793" s="277"/>
      <c r="G793" s="277"/>
      <c r="H793" s="278"/>
      <c r="I793" s="279"/>
      <c r="J793" s="277"/>
      <c r="N793" s="280"/>
      <c r="Q793" s="280"/>
      <c r="T793" s="280"/>
    </row>
    <row r="794">
      <c r="B794" s="32"/>
      <c r="F794" s="277"/>
      <c r="G794" s="277"/>
      <c r="H794" s="278"/>
      <c r="I794" s="279"/>
      <c r="J794" s="277"/>
      <c r="N794" s="280"/>
      <c r="Q794" s="280"/>
      <c r="T794" s="280"/>
    </row>
    <row r="795">
      <c r="B795" s="32"/>
      <c r="F795" s="277"/>
      <c r="G795" s="277"/>
      <c r="H795" s="278"/>
      <c r="I795" s="279"/>
      <c r="J795" s="277"/>
      <c r="N795" s="280"/>
      <c r="Q795" s="280"/>
      <c r="T795" s="280"/>
    </row>
    <row r="796">
      <c r="B796" s="32"/>
      <c r="F796" s="277"/>
      <c r="G796" s="277"/>
      <c r="H796" s="278"/>
      <c r="I796" s="279"/>
      <c r="J796" s="277"/>
      <c r="N796" s="280"/>
      <c r="Q796" s="280"/>
      <c r="T796" s="280"/>
    </row>
    <row r="797">
      <c r="B797" s="32"/>
      <c r="F797" s="277"/>
      <c r="G797" s="277"/>
      <c r="H797" s="278"/>
      <c r="I797" s="279"/>
      <c r="J797" s="277"/>
      <c r="N797" s="280"/>
      <c r="Q797" s="280"/>
      <c r="T797" s="280"/>
    </row>
    <row r="798">
      <c r="B798" s="32"/>
      <c r="F798" s="277"/>
      <c r="G798" s="277"/>
      <c r="H798" s="278"/>
      <c r="I798" s="279"/>
      <c r="J798" s="277"/>
      <c r="N798" s="280"/>
      <c r="Q798" s="280"/>
      <c r="T798" s="280"/>
    </row>
    <row r="799">
      <c r="B799" s="32"/>
      <c r="F799" s="277"/>
      <c r="G799" s="277"/>
      <c r="H799" s="278"/>
      <c r="I799" s="279"/>
      <c r="J799" s="277"/>
      <c r="N799" s="280"/>
      <c r="Q799" s="280"/>
      <c r="T799" s="280"/>
    </row>
    <row r="800">
      <c r="B800" s="32"/>
      <c r="F800" s="277"/>
      <c r="G800" s="277"/>
      <c r="H800" s="278"/>
      <c r="I800" s="279"/>
      <c r="J800" s="277"/>
      <c r="N800" s="280"/>
      <c r="Q800" s="280"/>
      <c r="T800" s="280"/>
    </row>
    <row r="801">
      <c r="B801" s="32"/>
      <c r="F801" s="277"/>
      <c r="G801" s="277"/>
      <c r="H801" s="278"/>
      <c r="I801" s="279"/>
      <c r="J801" s="277"/>
      <c r="N801" s="280"/>
      <c r="Q801" s="280"/>
      <c r="T801" s="280"/>
    </row>
    <row r="802">
      <c r="B802" s="32"/>
      <c r="F802" s="277"/>
      <c r="G802" s="277"/>
      <c r="H802" s="278"/>
      <c r="I802" s="279"/>
      <c r="J802" s="277"/>
      <c r="N802" s="280"/>
      <c r="Q802" s="280"/>
      <c r="T802" s="280"/>
    </row>
    <row r="803">
      <c r="B803" s="32"/>
      <c r="F803" s="277"/>
      <c r="G803" s="277"/>
      <c r="H803" s="278"/>
      <c r="I803" s="279"/>
      <c r="J803" s="277"/>
      <c r="N803" s="280"/>
      <c r="Q803" s="280"/>
      <c r="T803" s="280"/>
    </row>
    <row r="804">
      <c r="B804" s="32"/>
      <c r="F804" s="277"/>
      <c r="G804" s="277"/>
      <c r="H804" s="278"/>
      <c r="I804" s="279"/>
      <c r="J804" s="277"/>
      <c r="N804" s="280"/>
      <c r="Q804" s="280"/>
      <c r="T804" s="280"/>
    </row>
    <row r="805">
      <c r="B805" s="32"/>
      <c r="F805" s="277"/>
      <c r="G805" s="277"/>
      <c r="H805" s="278"/>
      <c r="I805" s="279"/>
      <c r="J805" s="277"/>
      <c r="N805" s="280"/>
      <c r="Q805" s="280"/>
      <c r="T805" s="280"/>
    </row>
    <row r="806">
      <c r="B806" s="32"/>
      <c r="F806" s="277"/>
      <c r="G806" s="277"/>
      <c r="H806" s="278"/>
      <c r="I806" s="279"/>
      <c r="J806" s="277"/>
      <c r="N806" s="280"/>
      <c r="Q806" s="280"/>
      <c r="T806" s="280"/>
    </row>
    <row r="807">
      <c r="B807" s="32"/>
      <c r="F807" s="277"/>
      <c r="G807" s="277"/>
      <c r="H807" s="278"/>
      <c r="I807" s="279"/>
      <c r="J807" s="277"/>
      <c r="N807" s="280"/>
      <c r="Q807" s="280"/>
      <c r="T807" s="280"/>
    </row>
    <row r="808">
      <c r="B808" s="32"/>
      <c r="F808" s="277"/>
      <c r="G808" s="277"/>
      <c r="H808" s="278"/>
      <c r="I808" s="279"/>
      <c r="J808" s="277"/>
      <c r="N808" s="280"/>
      <c r="Q808" s="280"/>
      <c r="T808" s="280"/>
    </row>
    <row r="809">
      <c r="B809" s="32"/>
      <c r="F809" s="277"/>
      <c r="G809" s="277"/>
      <c r="H809" s="278"/>
      <c r="I809" s="279"/>
      <c r="J809" s="277"/>
      <c r="N809" s="280"/>
      <c r="Q809" s="280"/>
      <c r="T809" s="280"/>
    </row>
    <row r="810">
      <c r="B810" s="32"/>
      <c r="F810" s="277"/>
      <c r="G810" s="277"/>
      <c r="H810" s="278"/>
      <c r="I810" s="279"/>
      <c r="J810" s="277"/>
      <c r="N810" s="280"/>
      <c r="Q810" s="280"/>
      <c r="T810" s="280"/>
    </row>
    <row r="811">
      <c r="B811" s="32"/>
      <c r="F811" s="277"/>
      <c r="G811" s="277"/>
      <c r="H811" s="278"/>
      <c r="I811" s="279"/>
      <c r="J811" s="277"/>
      <c r="N811" s="280"/>
      <c r="Q811" s="280"/>
      <c r="T811" s="280"/>
    </row>
    <row r="812">
      <c r="B812" s="32"/>
      <c r="F812" s="277"/>
      <c r="G812" s="277"/>
      <c r="H812" s="278"/>
      <c r="I812" s="279"/>
      <c r="J812" s="277"/>
      <c r="N812" s="280"/>
      <c r="Q812" s="280"/>
      <c r="T812" s="280"/>
    </row>
    <row r="813">
      <c r="B813" s="32"/>
      <c r="F813" s="277"/>
      <c r="G813" s="277"/>
      <c r="H813" s="278"/>
      <c r="I813" s="279"/>
      <c r="J813" s="277"/>
      <c r="N813" s="280"/>
      <c r="Q813" s="280"/>
      <c r="T813" s="280"/>
    </row>
    <row r="814">
      <c r="B814" s="32"/>
      <c r="F814" s="277"/>
      <c r="G814" s="277"/>
      <c r="H814" s="278"/>
      <c r="I814" s="279"/>
      <c r="J814" s="277"/>
      <c r="N814" s="280"/>
      <c r="Q814" s="280"/>
      <c r="T814" s="280"/>
    </row>
    <row r="815">
      <c r="B815" s="32"/>
      <c r="F815" s="277"/>
      <c r="G815" s="277"/>
      <c r="H815" s="278"/>
      <c r="I815" s="279"/>
      <c r="J815" s="277"/>
      <c r="N815" s="280"/>
      <c r="Q815" s="280"/>
      <c r="T815" s="280"/>
    </row>
    <row r="816">
      <c r="B816" s="32"/>
      <c r="F816" s="277"/>
      <c r="G816" s="277"/>
      <c r="H816" s="278"/>
      <c r="I816" s="279"/>
      <c r="J816" s="277"/>
      <c r="N816" s="280"/>
      <c r="Q816" s="280"/>
      <c r="T816" s="280"/>
    </row>
    <row r="817">
      <c r="B817" s="32"/>
      <c r="F817" s="277"/>
      <c r="G817" s="277"/>
      <c r="H817" s="278"/>
      <c r="I817" s="279"/>
      <c r="J817" s="277"/>
      <c r="N817" s="280"/>
      <c r="Q817" s="280"/>
      <c r="T817" s="280"/>
    </row>
    <row r="818">
      <c r="B818" s="32"/>
      <c r="F818" s="277"/>
      <c r="G818" s="277"/>
      <c r="H818" s="278"/>
      <c r="I818" s="279"/>
      <c r="J818" s="277"/>
      <c r="N818" s="280"/>
      <c r="Q818" s="280"/>
      <c r="T818" s="280"/>
    </row>
    <row r="819">
      <c r="B819" s="32"/>
      <c r="F819" s="277"/>
      <c r="G819" s="277"/>
      <c r="H819" s="278"/>
      <c r="I819" s="279"/>
      <c r="J819" s="277"/>
      <c r="N819" s="280"/>
      <c r="Q819" s="280"/>
      <c r="T819" s="280"/>
    </row>
    <row r="820">
      <c r="B820" s="32"/>
      <c r="F820" s="277"/>
      <c r="G820" s="277"/>
      <c r="H820" s="278"/>
      <c r="I820" s="279"/>
      <c r="J820" s="277"/>
      <c r="N820" s="280"/>
      <c r="Q820" s="280"/>
      <c r="T820" s="280"/>
    </row>
    <row r="821">
      <c r="B821" s="32"/>
      <c r="F821" s="277"/>
      <c r="G821" s="277"/>
      <c r="H821" s="278"/>
      <c r="I821" s="279"/>
      <c r="J821" s="277"/>
      <c r="N821" s="280"/>
      <c r="Q821" s="280"/>
      <c r="T821" s="280"/>
    </row>
    <row r="822">
      <c r="B822" s="32"/>
      <c r="F822" s="277"/>
      <c r="G822" s="277"/>
      <c r="H822" s="278"/>
      <c r="I822" s="279"/>
      <c r="J822" s="277"/>
      <c r="N822" s="280"/>
      <c r="Q822" s="280"/>
      <c r="T822" s="280"/>
    </row>
    <row r="823">
      <c r="B823" s="32"/>
      <c r="F823" s="277"/>
      <c r="G823" s="277"/>
      <c r="H823" s="278"/>
      <c r="I823" s="279"/>
      <c r="J823" s="277"/>
      <c r="N823" s="280"/>
      <c r="Q823" s="280"/>
      <c r="T823" s="280"/>
    </row>
    <row r="824">
      <c r="B824" s="32"/>
      <c r="F824" s="277"/>
      <c r="G824" s="277"/>
      <c r="H824" s="278"/>
      <c r="I824" s="279"/>
      <c r="J824" s="277"/>
      <c r="N824" s="280"/>
      <c r="Q824" s="280"/>
      <c r="T824" s="280"/>
    </row>
    <row r="825">
      <c r="B825" s="32"/>
      <c r="F825" s="277"/>
      <c r="G825" s="277"/>
      <c r="H825" s="278"/>
      <c r="I825" s="279"/>
      <c r="J825" s="277"/>
      <c r="N825" s="280"/>
      <c r="Q825" s="280"/>
      <c r="T825" s="280"/>
    </row>
    <row r="826">
      <c r="B826" s="32"/>
      <c r="F826" s="277"/>
      <c r="G826" s="277"/>
      <c r="H826" s="278"/>
      <c r="I826" s="279"/>
      <c r="J826" s="277"/>
      <c r="N826" s="280"/>
      <c r="Q826" s="280"/>
      <c r="T826" s="280"/>
    </row>
    <row r="827">
      <c r="B827" s="32"/>
      <c r="F827" s="277"/>
      <c r="G827" s="277"/>
      <c r="H827" s="278"/>
      <c r="I827" s="279"/>
      <c r="J827" s="277"/>
      <c r="N827" s="280"/>
      <c r="Q827" s="280"/>
      <c r="T827" s="280"/>
    </row>
    <row r="828">
      <c r="B828" s="32"/>
      <c r="F828" s="277"/>
      <c r="G828" s="277"/>
      <c r="H828" s="278"/>
      <c r="I828" s="279"/>
      <c r="J828" s="277"/>
      <c r="N828" s="280"/>
      <c r="Q828" s="280"/>
      <c r="T828" s="280"/>
    </row>
    <row r="829">
      <c r="B829" s="32"/>
      <c r="F829" s="277"/>
      <c r="G829" s="277"/>
      <c r="H829" s="278"/>
      <c r="I829" s="279"/>
      <c r="J829" s="277"/>
      <c r="N829" s="280"/>
      <c r="Q829" s="280"/>
      <c r="T829" s="280"/>
    </row>
    <row r="830">
      <c r="B830" s="32"/>
      <c r="F830" s="277"/>
      <c r="G830" s="277"/>
      <c r="H830" s="278"/>
      <c r="I830" s="279"/>
      <c r="J830" s="277"/>
      <c r="N830" s="280"/>
      <c r="Q830" s="280"/>
      <c r="T830" s="280"/>
    </row>
    <row r="831">
      <c r="B831" s="32"/>
      <c r="F831" s="277"/>
      <c r="G831" s="277"/>
      <c r="H831" s="278"/>
      <c r="I831" s="279"/>
      <c r="J831" s="277"/>
      <c r="N831" s="280"/>
      <c r="Q831" s="280"/>
      <c r="T831" s="280"/>
    </row>
    <row r="832">
      <c r="B832" s="32"/>
      <c r="F832" s="277"/>
      <c r="G832" s="277"/>
      <c r="H832" s="278"/>
      <c r="I832" s="279"/>
      <c r="J832" s="277"/>
      <c r="N832" s="280"/>
      <c r="Q832" s="280"/>
      <c r="T832" s="280"/>
    </row>
    <row r="833">
      <c r="B833" s="32"/>
      <c r="F833" s="277"/>
      <c r="G833" s="277"/>
      <c r="H833" s="278"/>
      <c r="I833" s="279"/>
      <c r="J833" s="277"/>
      <c r="N833" s="280"/>
      <c r="Q833" s="280"/>
      <c r="T833" s="280"/>
    </row>
    <row r="834">
      <c r="B834" s="32"/>
      <c r="F834" s="277"/>
      <c r="G834" s="277"/>
      <c r="H834" s="278"/>
      <c r="I834" s="279"/>
      <c r="J834" s="277"/>
      <c r="N834" s="280"/>
      <c r="Q834" s="280"/>
      <c r="T834" s="280"/>
    </row>
    <row r="835">
      <c r="B835" s="32"/>
      <c r="F835" s="277"/>
      <c r="G835" s="277"/>
      <c r="H835" s="278"/>
      <c r="I835" s="279"/>
      <c r="J835" s="277"/>
      <c r="N835" s="280"/>
      <c r="Q835" s="280"/>
      <c r="T835" s="280"/>
    </row>
    <row r="836">
      <c r="B836" s="32"/>
      <c r="F836" s="277"/>
      <c r="G836" s="277"/>
      <c r="H836" s="278"/>
      <c r="I836" s="279"/>
      <c r="J836" s="277"/>
      <c r="N836" s="280"/>
      <c r="Q836" s="280"/>
      <c r="T836" s="280"/>
    </row>
    <row r="837">
      <c r="B837" s="32"/>
      <c r="F837" s="277"/>
      <c r="G837" s="277"/>
      <c r="H837" s="278"/>
      <c r="I837" s="279"/>
      <c r="J837" s="277"/>
      <c r="N837" s="280"/>
      <c r="Q837" s="280"/>
      <c r="T837" s="280"/>
    </row>
    <row r="838">
      <c r="B838" s="32"/>
      <c r="F838" s="277"/>
      <c r="G838" s="277"/>
      <c r="H838" s="278"/>
      <c r="I838" s="279"/>
      <c r="J838" s="277"/>
      <c r="N838" s="280"/>
      <c r="Q838" s="280"/>
      <c r="T838" s="280"/>
    </row>
    <row r="839">
      <c r="B839" s="32"/>
      <c r="F839" s="277"/>
      <c r="G839" s="277"/>
      <c r="H839" s="278"/>
      <c r="I839" s="279"/>
      <c r="J839" s="277"/>
      <c r="N839" s="280"/>
      <c r="Q839" s="280"/>
      <c r="T839" s="280"/>
    </row>
    <row r="840">
      <c r="B840" s="32"/>
      <c r="F840" s="277"/>
      <c r="G840" s="277"/>
      <c r="H840" s="278"/>
      <c r="I840" s="279"/>
      <c r="J840" s="277"/>
      <c r="N840" s="280"/>
      <c r="Q840" s="280"/>
      <c r="T840" s="280"/>
    </row>
    <row r="841">
      <c r="B841" s="32"/>
      <c r="F841" s="277"/>
      <c r="G841" s="277"/>
      <c r="H841" s="278"/>
      <c r="I841" s="279"/>
      <c r="J841" s="277"/>
      <c r="N841" s="280"/>
      <c r="Q841" s="280"/>
      <c r="T841" s="280"/>
    </row>
    <row r="842">
      <c r="B842" s="32"/>
      <c r="F842" s="277"/>
      <c r="G842" s="277"/>
      <c r="H842" s="278"/>
      <c r="I842" s="279"/>
      <c r="J842" s="277"/>
      <c r="N842" s="280"/>
      <c r="Q842" s="280"/>
      <c r="T842" s="280"/>
    </row>
    <row r="843">
      <c r="B843" s="32"/>
      <c r="F843" s="277"/>
      <c r="G843" s="277"/>
      <c r="H843" s="278"/>
      <c r="I843" s="279"/>
      <c r="J843" s="277"/>
      <c r="N843" s="280"/>
      <c r="Q843" s="280"/>
      <c r="T843" s="280"/>
    </row>
    <row r="844">
      <c r="B844" s="32"/>
      <c r="F844" s="277"/>
      <c r="G844" s="277"/>
      <c r="H844" s="278"/>
      <c r="I844" s="279"/>
      <c r="J844" s="277"/>
      <c r="N844" s="280"/>
      <c r="Q844" s="280"/>
      <c r="T844" s="280"/>
    </row>
    <row r="845">
      <c r="B845" s="32"/>
      <c r="F845" s="277"/>
      <c r="G845" s="277"/>
      <c r="H845" s="278"/>
      <c r="I845" s="279"/>
      <c r="J845" s="277"/>
      <c r="N845" s="280"/>
      <c r="Q845" s="280"/>
      <c r="T845" s="280"/>
    </row>
    <row r="846">
      <c r="B846" s="32"/>
      <c r="F846" s="277"/>
      <c r="G846" s="277"/>
      <c r="H846" s="278"/>
      <c r="I846" s="279"/>
      <c r="J846" s="277"/>
      <c r="N846" s="280"/>
      <c r="Q846" s="280"/>
      <c r="T846" s="280"/>
    </row>
    <row r="847">
      <c r="B847" s="32"/>
      <c r="F847" s="277"/>
      <c r="G847" s="277"/>
      <c r="H847" s="278"/>
      <c r="I847" s="279"/>
      <c r="J847" s="277"/>
      <c r="N847" s="280"/>
      <c r="Q847" s="280"/>
      <c r="T847" s="280"/>
    </row>
    <row r="848">
      <c r="B848" s="32"/>
      <c r="F848" s="277"/>
      <c r="G848" s="277"/>
      <c r="H848" s="278"/>
      <c r="I848" s="279"/>
      <c r="J848" s="277"/>
      <c r="N848" s="280"/>
      <c r="Q848" s="280"/>
      <c r="T848" s="280"/>
    </row>
    <row r="849">
      <c r="B849" s="32"/>
      <c r="F849" s="277"/>
      <c r="G849" s="277"/>
      <c r="H849" s="278"/>
      <c r="I849" s="279"/>
      <c r="J849" s="277"/>
      <c r="N849" s="280"/>
      <c r="Q849" s="280"/>
      <c r="T849" s="280"/>
    </row>
    <row r="850">
      <c r="B850" s="32"/>
      <c r="F850" s="277"/>
      <c r="G850" s="277"/>
      <c r="H850" s="278"/>
      <c r="I850" s="279"/>
      <c r="J850" s="277"/>
      <c r="N850" s="280"/>
      <c r="Q850" s="280"/>
      <c r="T850" s="280"/>
    </row>
    <row r="851">
      <c r="B851" s="32"/>
      <c r="F851" s="277"/>
      <c r="G851" s="277"/>
      <c r="H851" s="278"/>
      <c r="I851" s="279"/>
      <c r="J851" s="277"/>
      <c r="N851" s="280"/>
      <c r="Q851" s="280"/>
      <c r="T851" s="280"/>
    </row>
    <row r="852">
      <c r="B852" s="32"/>
      <c r="F852" s="277"/>
      <c r="G852" s="277"/>
      <c r="H852" s="278"/>
      <c r="I852" s="279"/>
      <c r="J852" s="277"/>
      <c r="N852" s="280"/>
      <c r="Q852" s="280"/>
      <c r="T852" s="280"/>
    </row>
    <row r="853">
      <c r="B853" s="32"/>
      <c r="F853" s="277"/>
      <c r="G853" s="277"/>
      <c r="H853" s="278"/>
      <c r="I853" s="279"/>
      <c r="J853" s="277"/>
      <c r="N853" s="280"/>
      <c r="Q853" s="280"/>
      <c r="T853" s="280"/>
    </row>
    <row r="854">
      <c r="B854" s="32"/>
      <c r="F854" s="277"/>
      <c r="G854" s="277"/>
      <c r="H854" s="278"/>
      <c r="I854" s="279"/>
      <c r="J854" s="277"/>
      <c r="N854" s="280"/>
      <c r="Q854" s="280"/>
      <c r="T854" s="280"/>
    </row>
    <row r="855">
      <c r="B855" s="32"/>
      <c r="F855" s="277"/>
      <c r="G855" s="277"/>
      <c r="H855" s="278"/>
      <c r="I855" s="279"/>
      <c r="J855" s="277"/>
      <c r="N855" s="280"/>
      <c r="Q855" s="280"/>
      <c r="T855" s="280"/>
    </row>
    <row r="856">
      <c r="B856" s="32"/>
      <c r="F856" s="277"/>
      <c r="G856" s="277"/>
      <c r="H856" s="278"/>
      <c r="I856" s="279"/>
      <c r="J856" s="277"/>
      <c r="N856" s="280"/>
      <c r="Q856" s="280"/>
      <c r="T856" s="280"/>
    </row>
    <row r="857">
      <c r="B857" s="32"/>
      <c r="F857" s="277"/>
      <c r="G857" s="277"/>
      <c r="H857" s="278"/>
      <c r="I857" s="279"/>
      <c r="J857" s="277"/>
      <c r="N857" s="280"/>
      <c r="Q857" s="280"/>
      <c r="T857" s="280"/>
    </row>
    <row r="858">
      <c r="B858" s="32"/>
      <c r="F858" s="277"/>
      <c r="G858" s="277"/>
      <c r="H858" s="278"/>
      <c r="I858" s="279"/>
      <c r="J858" s="277"/>
      <c r="N858" s="280"/>
      <c r="Q858" s="280"/>
      <c r="T858" s="280"/>
    </row>
    <row r="859">
      <c r="B859" s="32"/>
      <c r="F859" s="277"/>
      <c r="G859" s="277"/>
      <c r="H859" s="278"/>
      <c r="I859" s="279"/>
      <c r="J859" s="277"/>
      <c r="N859" s="280"/>
      <c r="Q859" s="280"/>
      <c r="T859" s="280"/>
    </row>
    <row r="860">
      <c r="B860" s="32"/>
      <c r="F860" s="277"/>
      <c r="G860" s="277"/>
      <c r="H860" s="278"/>
      <c r="I860" s="279"/>
      <c r="J860" s="277"/>
      <c r="N860" s="280"/>
      <c r="Q860" s="280"/>
      <c r="T860" s="280"/>
    </row>
    <row r="861">
      <c r="B861" s="32"/>
      <c r="F861" s="277"/>
      <c r="G861" s="277"/>
      <c r="H861" s="278"/>
      <c r="I861" s="279"/>
      <c r="J861" s="277"/>
      <c r="N861" s="280"/>
      <c r="Q861" s="280"/>
      <c r="T861" s="280"/>
    </row>
    <row r="862">
      <c r="B862" s="32"/>
      <c r="F862" s="277"/>
      <c r="G862" s="277"/>
      <c r="H862" s="278"/>
      <c r="I862" s="279"/>
      <c r="J862" s="277"/>
      <c r="N862" s="280"/>
      <c r="Q862" s="280"/>
      <c r="T862" s="280"/>
    </row>
    <row r="863">
      <c r="B863" s="32"/>
      <c r="F863" s="277"/>
      <c r="G863" s="277"/>
      <c r="H863" s="278"/>
      <c r="I863" s="279"/>
      <c r="J863" s="277"/>
      <c r="N863" s="280"/>
      <c r="Q863" s="280"/>
      <c r="T863" s="280"/>
    </row>
    <row r="864">
      <c r="B864" s="32"/>
      <c r="F864" s="277"/>
      <c r="G864" s="277"/>
      <c r="H864" s="278"/>
      <c r="I864" s="279"/>
      <c r="J864" s="277"/>
      <c r="N864" s="280"/>
      <c r="Q864" s="280"/>
      <c r="T864" s="280"/>
    </row>
    <row r="865">
      <c r="B865" s="32"/>
      <c r="F865" s="277"/>
      <c r="G865" s="277"/>
      <c r="H865" s="278"/>
      <c r="I865" s="279"/>
      <c r="J865" s="277"/>
      <c r="N865" s="280"/>
      <c r="Q865" s="280"/>
      <c r="T865" s="280"/>
    </row>
    <row r="866">
      <c r="B866" s="32"/>
      <c r="F866" s="277"/>
      <c r="G866" s="277"/>
      <c r="H866" s="278"/>
      <c r="I866" s="279"/>
      <c r="J866" s="277"/>
      <c r="N866" s="280"/>
      <c r="Q866" s="280"/>
      <c r="T866" s="280"/>
    </row>
    <row r="867">
      <c r="B867" s="32"/>
      <c r="F867" s="277"/>
      <c r="G867" s="277"/>
      <c r="H867" s="278"/>
      <c r="I867" s="279"/>
      <c r="J867" s="277"/>
      <c r="N867" s="280"/>
      <c r="Q867" s="280"/>
      <c r="T867" s="280"/>
    </row>
    <row r="868">
      <c r="B868" s="32"/>
      <c r="F868" s="277"/>
      <c r="G868" s="277"/>
      <c r="H868" s="278"/>
      <c r="I868" s="279"/>
      <c r="J868" s="277"/>
      <c r="N868" s="280"/>
      <c r="Q868" s="280"/>
      <c r="T868" s="280"/>
    </row>
    <row r="869">
      <c r="B869" s="32"/>
      <c r="F869" s="277"/>
      <c r="G869" s="277"/>
      <c r="H869" s="278"/>
      <c r="I869" s="279"/>
      <c r="J869" s="277"/>
      <c r="N869" s="280"/>
      <c r="Q869" s="280"/>
      <c r="T869" s="280"/>
    </row>
    <row r="870">
      <c r="B870" s="32"/>
      <c r="F870" s="277"/>
      <c r="G870" s="277"/>
      <c r="H870" s="278"/>
      <c r="I870" s="279"/>
      <c r="J870" s="277"/>
      <c r="N870" s="280"/>
      <c r="Q870" s="280"/>
      <c r="T870" s="280"/>
    </row>
    <row r="871">
      <c r="B871" s="32"/>
      <c r="F871" s="277"/>
      <c r="G871" s="277"/>
      <c r="H871" s="278"/>
      <c r="I871" s="279"/>
      <c r="J871" s="277"/>
      <c r="N871" s="280"/>
      <c r="Q871" s="280"/>
      <c r="T871" s="280"/>
    </row>
    <row r="872">
      <c r="B872" s="32"/>
      <c r="F872" s="277"/>
      <c r="G872" s="277"/>
      <c r="H872" s="278"/>
      <c r="I872" s="279"/>
      <c r="J872" s="277"/>
      <c r="N872" s="280"/>
      <c r="Q872" s="280"/>
      <c r="T872" s="280"/>
    </row>
    <row r="873">
      <c r="B873" s="32"/>
      <c r="F873" s="277"/>
      <c r="G873" s="277"/>
      <c r="H873" s="278"/>
      <c r="I873" s="279"/>
      <c r="J873" s="277"/>
      <c r="N873" s="280"/>
      <c r="Q873" s="280"/>
      <c r="T873" s="280"/>
    </row>
    <row r="874">
      <c r="B874" s="32"/>
      <c r="F874" s="277"/>
      <c r="G874" s="277"/>
      <c r="H874" s="278"/>
      <c r="I874" s="279"/>
      <c r="J874" s="277"/>
      <c r="N874" s="280"/>
      <c r="Q874" s="280"/>
      <c r="T874" s="280"/>
    </row>
    <row r="875">
      <c r="B875" s="32"/>
      <c r="F875" s="277"/>
      <c r="G875" s="277"/>
      <c r="H875" s="278"/>
      <c r="I875" s="279"/>
      <c r="J875" s="277"/>
      <c r="N875" s="280"/>
      <c r="Q875" s="280"/>
      <c r="T875" s="280"/>
    </row>
    <row r="876">
      <c r="B876" s="32"/>
      <c r="F876" s="277"/>
      <c r="G876" s="277"/>
      <c r="H876" s="278"/>
      <c r="I876" s="279"/>
      <c r="J876" s="277"/>
      <c r="N876" s="280"/>
      <c r="Q876" s="280"/>
      <c r="T876" s="280"/>
    </row>
    <row r="877">
      <c r="B877" s="32"/>
      <c r="F877" s="277"/>
      <c r="G877" s="277"/>
      <c r="H877" s="278"/>
      <c r="I877" s="279"/>
      <c r="J877" s="277"/>
      <c r="N877" s="280"/>
      <c r="Q877" s="280"/>
      <c r="T877" s="280"/>
    </row>
    <row r="878">
      <c r="B878" s="32"/>
      <c r="F878" s="277"/>
      <c r="G878" s="277"/>
      <c r="H878" s="278"/>
      <c r="I878" s="279"/>
      <c r="J878" s="277"/>
      <c r="N878" s="280"/>
      <c r="Q878" s="280"/>
      <c r="T878" s="280"/>
    </row>
    <row r="879">
      <c r="B879" s="32"/>
      <c r="F879" s="277"/>
      <c r="G879" s="277"/>
      <c r="H879" s="278"/>
      <c r="I879" s="279"/>
      <c r="J879" s="277"/>
      <c r="N879" s="280"/>
      <c r="Q879" s="280"/>
      <c r="T879" s="280"/>
    </row>
    <row r="880">
      <c r="B880" s="32"/>
      <c r="F880" s="277"/>
      <c r="G880" s="277"/>
      <c r="H880" s="278"/>
      <c r="I880" s="279"/>
      <c r="J880" s="277"/>
      <c r="N880" s="280"/>
      <c r="Q880" s="280"/>
      <c r="T880" s="280"/>
    </row>
    <row r="881">
      <c r="B881" s="32"/>
      <c r="F881" s="277"/>
      <c r="G881" s="277"/>
      <c r="H881" s="278"/>
      <c r="I881" s="279"/>
      <c r="J881" s="277"/>
      <c r="N881" s="280"/>
      <c r="Q881" s="280"/>
      <c r="T881" s="280"/>
    </row>
    <row r="882">
      <c r="B882" s="32"/>
      <c r="F882" s="277"/>
      <c r="G882" s="277"/>
      <c r="H882" s="278"/>
      <c r="I882" s="279"/>
      <c r="J882" s="277"/>
      <c r="N882" s="280"/>
      <c r="Q882" s="280"/>
      <c r="T882" s="280"/>
    </row>
    <row r="883">
      <c r="B883" s="32"/>
      <c r="F883" s="277"/>
      <c r="G883" s="277"/>
      <c r="H883" s="278"/>
      <c r="I883" s="279"/>
      <c r="J883" s="277"/>
      <c r="N883" s="280"/>
      <c r="Q883" s="280"/>
      <c r="T883" s="280"/>
    </row>
    <row r="884">
      <c r="B884" s="32"/>
      <c r="F884" s="277"/>
      <c r="G884" s="277"/>
      <c r="H884" s="278"/>
      <c r="I884" s="279"/>
      <c r="J884" s="277"/>
      <c r="N884" s="280"/>
      <c r="Q884" s="280"/>
      <c r="T884" s="280"/>
    </row>
    <row r="885">
      <c r="B885" s="32"/>
      <c r="F885" s="277"/>
      <c r="G885" s="277"/>
      <c r="H885" s="278"/>
      <c r="I885" s="279"/>
      <c r="J885" s="277"/>
      <c r="N885" s="280"/>
      <c r="Q885" s="280"/>
      <c r="T885" s="280"/>
    </row>
    <row r="886">
      <c r="B886" s="32"/>
      <c r="F886" s="277"/>
      <c r="G886" s="277"/>
      <c r="H886" s="278"/>
      <c r="I886" s="279"/>
      <c r="J886" s="277"/>
      <c r="N886" s="280"/>
      <c r="Q886" s="280"/>
      <c r="T886" s="280"/>
    </row>
    <row r="887">
      <c r="B887" s="32"/>
      <c r="F887" s="277"/>
      <c r="G887" s="277"/>
      <c r="H887" s="278"/>
      <c r="I887" s="279"/>
      <c r="J887" s="277"/>
      <c r="N887" s="280"/>
      <c r="Q887" s="280"/>
      <c r="T887" s="280"/>
    </row>
    <row r="888">
      <c r="B888" s="32"/>
      <c r="F888" s="277"/>
      <c r="G888" s="277"/>
      <c r="H888" s="278"/>
      <c r="I888" s="279"/>
      <c r="J888" s="277"/>
      <c r="N888" s="280"/>
      <c r="Q888" s="280"/>
      <c r="T888" s="280"/>
    </row>
    <row r="889">
      <c r="B889" s="32"/>
      <c r="F889" s="277"/>
      <c r="G889" s="277"/>
      <c r="H889" s="278"/>
      <c r="I889" s="279"/>
      <c r="J889" s="277"/>
      <c r="N889" s="280"/>
      <c r="Q889" s="280"/>
      <c r="T889" s="280"/>
    </row>
    <row r="890">
      <c r="B890" s="32"/>
      <c r="F890" s="277"/>
      <c r="G890" s="277"/>
      <c r="H890" s="278"/>
      <c r="I890" s="279"/>
      <c r="J890" s="277"/>
      <c r="N890" s="280"/>
      <c r="Q890" s="280"/>
      <c r="T890" s="280"/>
    </row>
    <row r="891">
      <c r="B891" s="32"/>
      <c r="F891" s="277"/>
      <c r="G891" s="277"/>
      <c r="H891" s="278"/>
      <c r="I891" s="279"/>
      <c r="J891" s="277"/>
      <c r="N891" s="280"/>
      <c r="Q891" s="280"/>
      <c r="T891" s="280"/>
    </row>
    <row r="892">
      <c r="B892" s="32"/>
      <c r="F892" s="277"/>
      <c r="G892" s="277"/>
      <c r="H892" s="278"/>
      <c r="I892" s="279"/>
      <c r="J892" s="277"/>
      <c r="N892" s="280"/>
      <c r="Q892" s="280"/>
      <c r="T892" s="280"/>
    </row>
    <row r="893">
      <c r="B893" s="32"/>
      <c r="F893" s="277"/>
      <c r="G893" s="277"/>
      <c r="H893" s="278"/>
      <c r="I893" s="279"/>
      <c r="J893" s="277"/>
      <c r="N893" s="280"/>
      <c r="Q893" s="280"/>
      <c r="T893" s="280"/>
    </row>
    <row r="894">
      <c r="B894" s="32"/>
      <c r="F894" s="277"/>
      <c r="G894" s="277"/>
      <c r="H894" s="278"/>
      <c r="I894" s="279"/>
      <c r="J894" s="277"/>
      <c r="N894" s="280"/>
      <c r="Q894" s="280"/>
      <c r="T894" s="280"/>
    </row>
    <row r="895">
      <c r="B895" s="32"/>
      <c r="F895" s="277"/>
      <c r="G895" s="277"/>
      <c r="H895" s="278"/>
      <c r="I895" s="279"/>
      <c r="J895" s="277"/>
      <c r="N895" s="280"/>
      <c r="Q895" s="280"/>
      <c r="T895" s="280"/>
    </row>
    <row r="896">
      <c r="B896" s="32"/>
      <c r="F896" s="277"/>
      <c r="G896" s="277"/>
      <c r="H896" s="278"/>
      <c r="I896" s="279"/>
      <c r="J896" s="277"/>
      <c r="N896" s="280"/>
      <c r="Q896" s="280"/>
      <c r="T896" s="280"/>
    </row>
    <row r="897">
      <c r="B897" s="32"/>
      <c r="F897" s="277"/>
      <c r="G897" s="277"/>
      <c r="H897" s="278"/>
      <c r="I897" s="279"/>
      <c r="J897" s="277"/>
      <c r="N897" s="280"/>
      <c r="Q897" s="280"/>
      <c r="T897" s="280"/>
    </row>
    <row r="898">
      <c r="B898" s="32"/>
      <c r="F898" s="277"/>
      <c r="G898" s="277"/>
      <c r="H898" s="278"/>
      <c r="I898" s="279"/>
      <c r="J898" s="277"/>
      <c r="N898" s="280"/>
      <c r="Q898" s="280"/>
      <c r="T898" s="280"/>
    </row>
    <row r="899">
      <c r="B899" s="32"/>
      <c r="F899" s="277"/>
      <c r="G899" s="277"/>
      <c r="H899" s="278"/>
      <c r="I899" s="279"/>
      <c r="J899" s="277"/>
      <c r="N899" s="280"/>
      <c r="Q899" s="280"/>
      <c r="T899" s="280"/>
    </row>
    <row r="900">
      <c r="B900" s="32"/>
      <c r="F900" s="277"/>
      <c r="G900" s="277"/>
      <c r="H900" s="278"/>
      <c r="I900" s="279"/>
      <c r="J900" s="277"/>
      <c r="N900" s="280"/>
      <c r="Q900" s="280"/>
      <c r="T900" s="280"/>
    </row>
    <row r="901">
      <c r="B901" s="32"/>
      <c r="F901" s="277"/>
      <c r="G901" s="277"/>
      <c r="H901" s="278"/>
      <c r="I901" s="279"/>
      <c r="J901" s="277"/>
      <c r="N901" s="280"/>
      <c r="Q901" s="280"/>
      <c r="T901" s="280"/>
    </row>
    <row r="902">
      <c r="B902" s="32"/>
      <c r="F902" s="277"/>
      <c r="G902" s="277"/>
      <c r="H902" s="278"/>
      <c r="I902" s="279"/>
      <c r="J902" s="277"/>
      <c r="N902" s="280"/>
      <c r="Q902" s="280"/>
      <c r="T902" s="280"/>
    </row>
    <row r="903">
      <c r="B903" s="32"/>
      <c r="F903" s="277"/>
      <c r="G903" s="277"/>
      <c r="H903" s="278"/>
      <c r="I903" s="279"/>
      <c r="J903" s="277"/>
      <c r="N903" s="280"/>
      <c r="Q903" s="280"/>
      <c r="T903" s="280"/>
    </row>
    <row r="904">
      <c r="B904" s="32"/>
      <c r="F904" s="277"/>
      <c r="G904" s="277"/>
      <c r="H904" s="278"/>
      <c r="I904" s="279"/>
      <c r="J904" s="277"/>
      <c r="N904" s="280"/>
      <c r="Q904" s="280"/>
      <c r="T904" s="280"/>
    </row>
    <row r="905">
      <c r="B905" s="32"/>
      <c r="F905" s="277"/>
      <c r="G905" s="277"/>
      <c r="H905" s="278"/>
      <c r="I905" s="279"/>
      <c r="J905" s="277"/>
      <c r="N905" s="280"/>
      <c r="Q905" s="280"/>
      <c r="T905" s="280"/>
    </row>
    <row r="906">
      <c r="B906" s="32"/>
      <c r="F906" s="277"/>
      <c r="G906" s="277"/>
      <c r="H906" s="278"/>
      <c r="I906" s="279"/>
      <c r="J906" s="277"/>
      <c r="N906" s="280"/>
      <c r="Q906" s="280"/>
      <c r="T906" s="280"/>
    </row>
    <row r="907">
      <c r="B907" s="32"/>
      <c r="F907" s="277"/>
      <c r="G907" s="277"/>
      <c r="H907" s="278"/>
      <c r="I907" s="279"/>
      <c r="J907" s="277"/>
      <c r="N907" s="280"/>
      <c r="Q907" s="280"/>
      <c r="T907" s="280"/>
    </row>
    <row r="908">
      <c r="B908" s="32"/>
      <c r="F908" s="277"/>
      <c r="G908" s="277"/>
      <c r="H908" s="278"/>
      <c r="I908" s="279"/>
      <c r="J908" s="277"/>
      <c r="N908" s="280"/>
      <c r="Q908" s="280"/>
      <c r="T908" s="280"/>
    </row>
    <row r="909">
      <c r="B909" s="32"/>
      <c r="F909" s="277"/>
      <c r="G909" s="277"/>
      <c r="H909" s="278"/>
      <c r="I909" s="279"/>
      <c r="J909" s="277"/>
      <c r="N909" s="280"/>
      <c r="Q909" s="280"/>
      <c r="T909" s="280"/>
    </row>
    <row r="910">
      <c r="B910" s="32"/>
      <c r="F910" s="277"/>
      <c r="G910" s="277"/>
      <c r="H910" s="278"/>
      <c r="I910" s="279"/>
      <c r="J910" s="277"/>
      <c r="N910" s="280"/>
      <c r="Q910" s="280"/>
      <c r="T910" s="280"/>
    </row>
    <row r="911">
      <c r="B911" s="32"/>
      <c r="F911" s="277"/>
      <c r="G911" s="277"/>
      <c r="H911" s="278"/>
      <c r="I911" s="279"/>
      <c r="J911" s="277"/>
      <c r="N911" s="280"/>
      <c r="Q911" s="280"/>
      <c r="T911" s="280"/>
    </row>
    <row r="912">
      <c r="B912" s="32"/>
      <c r="F912" s="277"/>
      <c r="G912" s="277"/>
      <c r="H912" s="278"/>
      <c r="I912" s="279"/>
      <c r="J912" s="277"/>
      <c r="N912" s="280"/>
      <c r="Q912" s="280"/>
      <c r="T912" s="280"/>
    </row>
    <row r="913">
      <c r="B913" s="32"/>
      <c r="F913" s="277"/>
      <c r="G913" s="277"/>
      <c r="H913" s="278"/>
      <c r="I913" s="279"/>
      <c r="J913" s="277"/>
      <c r="N913" s="280"/>
      <c r="Q913" s="280"/>
      <c r="T913" s="280"/>
    </row>
    <row r="914">
      <c r="B914" s="32"/>
      <c r="F914" s="277"/>
      <c r="G914" s="277"/>
      <c r="H914" s="278"/>
      <c r="I914" s="279"/>
      <c r="J914" s="277"/>
      <c r="N914" s="280"/>
      <c r="Q914" s="280"/>
      <c r="T914" s="280"/>
    </row>
    <row r="915">
      <c r="B915" s="32"/>
      <c r="F915" s="277"/>
      <c r="G915" s="277"/>
      <c r="H915" s="278"/>
      <c r="I915" s="279"/>
      <c r="J915" s="277"/>
      <c r="N915" s="280"/>
      <c r="Q915" s="280"/>
      <c r="T915" s="280"/>
    </row>
    <row r="916">
      <c r="B916" s="32"/>
      <c r="F916" s="277"/>
      <c r="G916" s="277"/>
      <c r="H916" s="278"/>
      <c r="I916" s="279"/>
      <c r="J916" s="277"/>
      <c r="N916" s="280"/>
      <c r="Q916" s="280"/>
      <c r="T916" s="280"/>
    </row>
    <row r="917">
      <c r="B917" s="32"/>
      <c r="F917" s="277"/>
      <c r="G917" s="277"/>
      <c r="H917" s="278"/>
      <c r="I917" s="279"/>
      <c r="J917" s="277"/>
      <c r="N917" s="280"/>
      <c r="Q917" s="280"/>
      <c r="T917" s="280"/>
    </row>
    <row r="918">
      <c r="B918" s="32"/>
      <c r="F918" s="277"/>
      <c r="G918" s="277"/>
      <c r="H918" s="278"/>
      <c r="I918" s="279"/>
      <c r="J918" s="277"/>
      <c r="N918" s="280"/>
      <c r="Q918" s="280"/>
      <c r="T918" s="280"/>
    </row>
    <row r="919">
      <c r="B919" s="32"/>
      <c r="F919" s="277"/>
      <c r="G919" s="277"/>
      <c r="H919" s="278"/>
      <c r="I919" s="279"/>
      <c r="J919" s="277"/>
      <c r="N919" s="280"/>
      <c r="Q919" s="280"/>
      <c r="T919" s="280"/>
    </row>
    <row r="920">
      <c r="B920" s="32"/>
      <c r="F920" s="277"/>
      <c r="G920" s="277"/>
      <c r="H920" s="278"/>
      <c r="I920" s="279"/>
      <c r="J920" s="277"/>
      <c r="N920" s="280"/>
      <c r="Q920" s="280"/>
      <c r="T920" s="280"/>
    </row>
    <row r="921">
      <c r="B921" s="32"/>
      <c r="F921" s="277"/>
      <c r="G921" s="277"/>
      <c r="H921" s="278"/>
      <c r="I921" s="279"/>
      <c r="J921" s="277"/>
      <c r="N921" s="280"/>
      <c r="Q921" s="280"/>
      <c r="T921" s="280"/>
    </row>
    <row r="922">
      <c r="B922" s="32"/>
      <c r="F922" s="277"/>
      <c r="G922" s="277"/>
      <c r="H922" s="278"/>
      <c r="I922" s="279"/>
      <c r="J922" s="277"/>
      <c r="N922" s="280"/>
      <c r="Q922" s="280"/>
      <c r="T922" s="280"/>
    </row>
    <row r="923">
      <c r="B923" s="32"/>
      <c r="F923" s="277"/>
      <c r="G923" s="277"/>
      <c r="H923" s="278"/>
      <c r="I923" s="279"/>
      <c r="J923" s="277"/>
      <c r="N923" s="280"/>
      <c r="Q923" s="280"/>
      <c r="T923" s="280"/>
    </row>
    <row r="924">
      <c r="B924" s="32"/>
      <c r="F924" s="277"/>
      <c r="G924" s="277"/>
      <c r="H924" s="278"/>
      <c r="I924" s="279"/>
      <c r="J924" s="277"/>
      <c r="N924" s="280"/>
      <c r="Q924" s="280"/>
      <c r="T924" s="280"/>
    </row>
    <row r="925">
      <c r="B925" s="32"/>
      <c r="F925" s="277"/>
      <c r="G925" s="277"/>
      <c r="H925" s="278"/>
      <c r="I925" s="279"/>
      <c r="J925" s="277"/>
      <c r="N925" s="280"/>
      <c r="Q925" s="280"/>
      <c r="T925" s="280"/>
    </row>
    <row r="926">
      <c r="B926" s="32"/>
      <c r="F926" s="277"/>
      <c r="G926" s="277"/>
      <c r="H926" s="278"/>
      <c r="I926" s="279"/>
      <c r="J926" s="277"/>
      <c r="N926" s="280"/>
      <c r="Q926" s="280"/>
      <c r="T926" s="280"/>
    </row>
    <row r="927">
      <c r="B927" s="32"/>
      <c r="F927" s="277"/>
      <c r="G927" s="277"/>
      <c r="H927" s="278"/>
      <c r="I927" s="279"/>
      <c r="J927" s="277"/>
      <c r="N927" s="280"/>
      <c r="Q927" s="280"/>
      <c r="T927" s="280"/>
    </row>
    <row r="928">
      <c r="B928" s="32"/>
      <c r="F928" s="277"/>
      <c r="G928" s="277"/>
      <c r="H928" s="278"/>
      <c r="I928" s="279"/>
      <c r="J928" s="277"/>
      <c r="N928" s="280"/>
      <c r="Q928" s="280"/>
      <c r="T928" s="280"/>
    </row>
    <row r="929">
      <c r="B929" s="32"/>
      <c r="F929" s="277"/>
      <c r="G929" s="277"/>
      <c r="H929" s="278"/>
      <c r="I929" s="279"/>
      <c r="J929" s="277"/>
      <c r="N929" s="280"/>
      <c r="Q929" s="280"/>
      <c r="T929" s="280"/>
    </row>
    <row r="930">
      <c r="B930" s="32"/>
      <c r="F930" s="277"/>
      <c r="G930" s="277"/>
      <c r="H930" s="278"/>
      <c r="I930" s="279"/>
      <c r="J930" s="277"/>
      <c r="N930" s="280"/>
      <c r="Q930" s="280"/>
      <c r="T930" s="280"/>
    </row>
    <row r="931">
      <c r="B931" s="32"/>
      <c r="F931" s="277"/>
      <c r="G931" s="277"/>
      <c r="H931" s="278"/>
      <c r="I931" s="279"/>
      <c r="J931" s="277"/>
      <c r="N931" s="280"/>
      <c r="Q931" s="280"/>
      <c r="T931" s="280"/>
    </row>
    <row r="932">
      <c r="B932" s="32"/>
      <c r="F932" s="277"/>
      <c r="G932" s="277"/>
      <c r="H932" s="278"/>
      <c r="I932" s="279"/>
      <c r="J932" s="277"/>
      <c r="N932" s="280"/>
      <c r="Q932" s="280"/>
      <c r="T932" s="280"/>
    </row>
    <row r="933">
      <c r="B933" s="32"/>
      <c r="F933" s="277"/>
      <c r="G933" s="277"/>
      <c r="H933" s="278"/>
      <c r="I933" s="279"/>
      <c r="J933" s="277"/>
      <c r="N933" s="280"/>
      <c r="Q933" s="280"/>
      <c r="T933" s="280"/>
    </row>
    <row r="934">
      <c r="B934" s="32"/>
      <c r="F934" s="277"/>
      <c r="G934" s="277"/>
      <c r="H934" s="278"/>
      <c r="I934" s="279"/>
      <c r="J934" s="277"/>
      <c r="N934" s="280"/>
      <c r="Q934" s="280"/>
      <c r="T934" s="280"/>
    </row>
    <row r="935">
      <c r="B935" s="32"/>
      <c r="F935" s="277"/>
      <c r="G935" s="277"/>
      <c r="H935" s="278"/>
      <c r="I935" s="279"/>
      <c r="J935" s="277"/>
      <c r="N935" s="280"/>
      <c r="Q935" s="280"/>
      <c r="T935" s="280"/>
    </row>
    <row r="936">
      <c r="B936" s="32"/>
      <c r="F936" s="277"/>
      <c r="G936" s="277"/>
      <c r="H936" s="278"/>
      <c r="I936" s="279"/>
      <c r="J936" s="277"/>
      <c r="N936" s="280"/>
      <c r="Q936" s="280"/>
      <c r="T936" s="280"/>
    </row>
    <row r="937">
      <c r="B937" s="32"/>
      <c r="F937" s="277"/>
      <c r="G937" s="277"/>
      <c r="H937" s="278"/>
      <c r="I937" s="279"/>
      <c r="J937" s="277"/>
      <c r="N937" s="280"/>
      <c r="Q937" s="280"/>
      <c r="T937" s="280"/>
    </row>
    <row r="938">
      <c r="B938" s="32"/>
      <c r="F938" s="277"/>
      <c r="G938" s="277"/>
      <c r="H938" s="278"/>
      <c r="I938" s="279"/>
      <c r="J938" s="277"/>
      <c r="N938" s="280"/>
      <c r="Q938" s="280"/>
      <c r="T938" s="280"/>
    </row>
    <row r="939">
      <c r="B939" s="32"/>
      <c r="F939" s="277"/>
      <c r="G939" s="277"/>
      <c r="H939" s="278"/>
      <c r="I939" s="279"/>
      <c r="J939" s="277"/>
      <c r="N939" s="280"/>
      <c r="Q939" s="280"/>
      <c r="T939" s="280"/>
    </row>
    <row r="940">
      <c r="B940" s="32"/>
      <c r="F940" s="277"/>
      <c r="G940" s="277"/>
      <c r="H940" s="278"/>
      <c r="I940" s="279"/>
      <c r="J940" s="277"/>
      <c r="N940" s="280"/>
      <c r="Q940" s="280"/>
      <c r="T940" s="280"/>
    </row>
    <row r="941">
      <c r="B941" s="32"/>
      <c r="F941" s="277"/>
      <c r="G941" s="277"/>
      <c r="H941" s="278"/>
      <c r="I941" s="279"/>
      <c r="J941" s="277"/>
      <c r="N941" s="280"/>
      <c r="Q941" s="280"/>
      <c r="T941" s="280"/>
    </row>
    <row r="942">
      <c r="B942" s="32"/>
      <c r="F942" s="277"/>
      <c r="G942" s="277"/>
      <c r="H942" s="278"/>
      <c r="I942" s="279"/>
      <c r="J942" s="277"/>
      <c r="N942" s="280"/>
      <c r="Q942" s="280"/>
      <c r="T942" s="280"/>
    </row>
    <row r="943">
      <c r="B943" s="32"/>
      <c r="F943" s="277"/>
      <c r="G943" s="277"/>
      <c r="H943" s="278"/>
      <c r="I943" s="279"/>
      <c r="J943" s="277"/>
      <c r="N943" s="280"/>
      <c r="Q943" s="280"/>
      <c r="T943" s="280"/>
    </row>
    <row r="944">
      <c r="B944" s="32"/>
      <c r="F944" s="277"/>
      <c r="G944" s="277"/>
      <c r="H944" s="278"/>
      <c r="I944" s="279"/>
      <c r="J944" s="277"/>
      <c r="N944" s="280"/>
      <c r="Q944" s="280"/>
      <c r="T944" s="280"/>
    </row>
  </sheetData>
  <autoFilter ref="$Y$1:$AA$944"/>
  <mergeCells count="32">
    <mergeCell ref="C1:C2"/>
    <mergeCell ref="D1:E2"/>
    <mergeCell ref="C3:E3"/>
    <mergeCell ref="B5:C5"/>
    <mergeCell ref="D5:E5"/>
    <mergeCell ref="D6:E6"/>
    <mergeCell ref="D7:E7"/>
    <mergeCell ref="D8:E8"/>
    <mergeCell ref="E11:E12"/>
    <mergeCell ref="F11:F12"/>
    <mergeCell ref="G11:G12"/>
    <mergeCell ref="I11:I12"/>
    <mergeCell ref="J11:J12"/>
    <mergeCell ref="K11:K12"/>
    <mergeCell ref="L11:T11"/>
    <mergeCell ref="B7:C7"/>
    <mergeCell ref="B8:C8"/>
    <mergeCell ref="A9:C9"/>
    <mergeCell ref="A11:A12"/>
    <mergeCell ref="B11:B12"/>
    <mergeCell ref="C11:C12"/>
    <mergeCell ref="D11:D12"/>
    <mergeCell ref="A66:C66"/>
    <mergeCell ref="A67:C67"/>
    <mergeCell ref="A68:C68"/>
    <mergeCell ref="A59:C59"/>
    <mergeCell ref="A60:C60"/>
    <mergeCell ref="A61:C61"/>
    <mergeCell ref="A62:C62"/>
    <mergeCell ref="A63:C63"/>
    <mergeCell ref="A64:C64"/>
    <mergeCell ref="A65:C65"/>
  </mergeCells>
  <conditionalFormatting sqref="M8">
    <cfRule type="notContainsBlanks" dxfId="5" priority="1">
      <formula>LEN(TRIM(M8))&gt;0</formula>
    </cfRule>
  </conditionalFormatting>
  <conditionalFormatting sqref="M8">
    <cfRule type="notContainsBlanks" dxfId="6" priority="2">
      <formula>LEN(TRIM(M8))&gt;0</formula>
    </cfRule>
  </conditionalFormatting>
  <hyperlinks>
    <hyperlink r:id="rId4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  <legacyDrawing r:id="rId6"/>
</worksheet>
</file>